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FA EColi Inactivation" sheetId="1" state="visible" r:id="rId3"/>
    <sheet name="PFA Fecal Coli Inactivation" sheetId="2" state="visible" r:id="rId4"/>
    <sheet name="PFA Total Coli Inactivation" sheetId="3" state="visible" r:id="rId5"/>
    <sheet name="PFA Enterococci Inactivation" sheetId="4" state="visible" r:id="rId6"/>
    <sheet name="PAA EColi Inactivation" sheetId="5" state="visible" r:id="rId7"/>
    <sheet name="PAA Fecal Coli Inactivation" sheetId="6" state="visible" r:id="rId8"/>
    <sheet name="PAA Total Coli Inactivation" sheetId="7" state="visible" r:id="rId9"/>
    <sheet name="PAA Enterococci Inactivation" sheetId="8" state="visible" r:id="rId10"/>
    <sheet name="Cl2 EColi Inactivation" sheetId="9" state="visible" r:id="rId11"/>
    <sheet name="Cl2 Fecal Coli Inactivation" sheetId="10" state="visible" r:id="rId12"/>
    <sheet name="Cl2 Total Coli Inactivation" sheetId="11" state="visible" r:id="rId13"/>
    <sheet name="Cl2 Enterococci Inactivation" sheetId="12" state="visible" r:id="rId14"/>
  </sheets>
  <definedNames>
    <definedName function="false" hidden="true" localSheetId="0" name="solver_adj" vbProcedure="false">'PFA EColi Inactivation'!$C$2,'PFA EColi Inactivation'!$E$2,'PFA EColi Inactivation'!$E$3,'PFA EColi Inactivation'!$G$2</definedName>
    <definedName function="false" hidden="true" localSheetId="0" name="solver_cvg" vbProcedure="false">0.0001</definedName>
    <definedName function="false" hidden="true" localSheetId="0" name="solver_drv" vbProcedure="false">1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0</definedName>
    <definedName function="false" hidden="true" localSheetId="0" name="solver_nwt" vbProcedure="false">1</definedName>
    <definedName function="false" hidden="true" localSheetId="0" name="solver_opt" vbProcedure="false">'pfa ecoli inactivation'!#ref!</definedName>
    <definedName function="false" hidden="true" localSheetId="0" name="solver_pre" vbProcedure="false">0.000001</definedName>
    <definedName function="false" hidden="true" localSheetId="0" name="solver_rbv" vbProcedure="false">1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1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2</definedName>
    <definedName function="false" hidden="true" localSheetId="0" name="solver_ver" vbProcedure="false">3</definedName>
    <definedName function="false" hidden="true" localSheetId="1" name="solver_adj" vbProcedure="false">'PFA Fecal Coli Inactivation'!$C$2,'PFA Fecal Coli Inactivation'!$E$2,'PFA Fecal Coli Inactivation'!$E$3,'PFA Fecal Coli Inactivation'!$G$2</definedName>
    <definedName function="false" hidden="true" localSheetId="1" name="solver_cvg" vbProcedure="false">0.0001</definedName>
    <definedName function="false" hidden="true" localSheetId="1" name="solver_drv" vbProcedure="false">1</definedName>
    <definedName function="false" hidden="true" localSheetId="1" name="solver_eng" vbProcedure="false">1</definedName>
    <definedName function="false" hidden="true" localSheetId="1" name="solver_est" vbProcedure="false">1</definedName>
    <definedName function="false" hidden="true" localSheetId="1" name="solver_itr" vbProcedure="false">2147483647</definedName>
    <definedName function="false" hidden="true" localSheetId="1" name="solver_mip" vbProcedure="false">2147483647</definedName>
    <definedName function="false" hidden="true" localSheetId="1" name="solver_mni" vbProcedure="false">30</definedName>
    <definedName function="false" hidden="true" localSheetId="1" name="solver_mrt" vbProcedure="false">0.075</definedName>
    <definedName function="false" hidden="true" localSheetId="1" name="solver_msl" vbProcedure="false">2</definedName>
    <definedName function="false" hidden="true" localSheetId="1" name="solver_neg" vbProcedure="false">1</definedName>
    <definedName function="false" hidden="true" localSheetId="1" name="solver_nod" vbProcedure="false">2147483647</definedName>
    <definedName function="false" hidden="true" localSheetId="1" name="solver_num" vbProcedure="false">0</definedName>
    <definedName function="false" hidden="true" localSheetId="1" name="solver_nwt" vbProcedure="false">1</definedName>
    <definedName function="false" hidden="true" localSheetId="1" name="solver_opt" vbProcedure="false">'pfa fecal coli inactivation'!#ref!</definedName>
    <definedName function="false" hidden="true" localSheetId="1" name="solver_pre" vbProcedure="false">0.000001</definedName>
    <definedName function="false" hidden="true" localSheetId="1" name="solver_rbv" vbProcedure="false">1</definedName>
    <definedName function="false" hidden="true" localSheetId="1" name="solver_rlx" vbProcedure="false">2</definedName>
    <definedName function="false" hidden="true" localSheetId="1" name="solver_rsd" vbProcedure="false">0</definedName>
    <definedName function="false" hidden="true" localSheetId="1" name="solver_scl" vbProcedure="false">1</definedName>
    <definedName function="false" hidden="true" localSheetId="1" name="solver_sho" vbProcedure="false">2</definedName>
    <definedName function="false" hidden="true" localSheetId="1" name="solver_ssz" vbProcedure="false">100</definedName>
    <definedName function="false" hidden="true" localSheetId="1" name="solver_tim" vbProcedure="false">2147483647</definedName>
    <definedName function="false" hidden="true" localSheetId="1" name="solver_tol" vbProcedure="false">0.01</definedName>
    <definedName function="false" hidden="true" localSheetId="1" name="solver_typ" vbProcedure="false">2</definedName>
    <definedName function="false" hidden="true" localSheetId="1" name="solver_val" vbProcedure="false">2</definedName>
    <definedName function="false" hidden="true" localSheetId="1" name="solver_ver" vbProcedure="false">3</definedName>
    <definedName function="false" hidden="true" localSheetId="2" name="solver_adj" vbProcedure="false">'PFA Total Coli Inactivation'!$C$2,'PFA Total Coli Inactivation'!$E$2,'PFA Total Coli Inactivation'!$E$3,'PFA Total Coli Inactivation'!$G$2</definedName>
    <definedName function="false" hidden="true" localSheetId="2" name="solver_cvg" vbProcedure="false">0.0001</definedName>
    <definedName function="false" hidden="true" localSheetId="2" name="solver_drv" vbProcedure="false">1</definedName>
    <definedName function="false" hidden="true" localSheetId="2" name="solver_eng" vbProcedure="false">1</definedName>
    <definedName function="false" hidden="true" localSheetId="2" name="solver_est" vbProcedure="false">1</definedName>
    <definedName function="false" hidden="true" localSheetId="2" name="solver_itr" vbProcedure="false">2147483647</definedName>
    <definedName function="false" hidden="true" localSheetId="2" name="solver_mip" vbProcedure="false">2147483647</definedName>
    <definedName function="false" hidden="true" localSheetId="2" name="solver_mni" vbProcedure="false">30</definedName>
    <definedName function="false" hidden="true" localSheetId="2" name="solver_mrt" vbProcedure="false">0.075</definedName>
    <definedName function="false" hidden="true" localSheetId="2" name="solver_msl" vbProcedure="false">2</definedName>
    <definedName function="false" hidden="true" localSheetId="2" name="solver_neg" vbProcedure="false">1</definedName>
    <definedName function="false" hidden="true" localSheetId="2" name="solver_nod" vbProcedure="false">2147483647</definedName>
    <definedName function="false" hidden="true" localSheetId="2" name="solver_num" vbProcedure="false">0</definedName>
    <definedName function="false" hidden="true" localSheetId="2" name="solver_nwt" vbProcedure="false">1</definedName>
    <definedName function="false" hidden="true" localSheetId="2" name="solver_opt" vbProcedure="false">'pfa total coli inactivation'!#ref!</definedName>
    <definedName function="false" hidden="true" localSheetId="2" name="solver_pre" vbProcedure="false">0.000001</definedName>
    <definedName function="false" hidden="true" localSheetId="2" name="solver_rbv" vbProcedure="false">1</definedName>
    <definedName function="false" hidden="true" localSheetId="2" name="solver_rlx" vbProcedure="false">2</definedName>
    <definedName function="false" hidden="true" localSheetId="2" name="solver_rsd" vbProcedure="false">0</definedName>
    <definedName function="false" hidden="true" localSheetId="2" name="solver_scl" vbProcedure="false">1</definedName>
    <definedName function="false" hidden="true" localSheetId="2" name="solver_sho" vbProcedure="false">2</definedName>
    <definedName function="false" hidden="true" localSheetId="2" name="solver_ssz" vbProcedure="false">100</definedName>
    <definedName function="false" hidden="true" localSheetId="2" name="solver_tim" vbProcedure="false">2147483647</definedName>
    <definedName function="false" hidden="true" localSheetId="2" name="solver_tol" vbProcedure="false">0.01</definedName>
    <definedName function="false" hidden="true" localSheetId="2" name="solver_typ" vbProcedure="false">2</definedName>
    <definedName function="false" hidden="true" localSheetId="2" name="solver_val" vbProcedure="false">2</definedName>
    <definedName function="false" hidden="true" localSheetId="2" name="solver_ver" vbProcedure="false">3</definedName>
    <definedName function="false" hidden="true" localSheetId="3" name="solver_adj" vbProcedure="false">'PFA Enterococci Inactivation'!$C$2,'PFA Enterococci Inactivation'!$E$2,'PFA Enterococci Inactivation'!$E$3,'PFA Enterococci Inactivation'!$G$2</definedName>
    <definedName function="false" hidden="true" localSheetId="3" name="solver_cvg" vbProcedure="false">0.0001</definedName>
    <definedName function="false" hidden="true" localSheetId="3" name="solver_drv" vbProcedure="false">1</definedName>
    <definedName function="false" hidden="true" localSheetId="3" name="solver_eng" vbProcedure="false">1</definedName>
    <definedName function="false" hidden="true" localSheetId="3" name="solver_est" vbProcedure="false">1</definedName>
    <definedName function="false" hidden="true" localSheetId="3" name="solver_itr" vbProcedure="false">2147483647</definedName>
    <definedName function="false" hidden="true" localSheetId="3" name="solver_mip" vbProcedure="false">2147483647</definedName>
    <definedName function="false" hidden="true" localSheetId="3" name="solver_mni" vbProcedure="false">30</definedName>
    <definedName function="false" hidden="true" localSheetId="3" name="solver_mrt" vbProcedure="false">0.075</definedName>
    <definedName function="false" hidden="true" localSheetId="3" name="solver_msl" vbProcedure="false">2</definedName>
    <definedName function="false" hidden="true" localSheetId="3" name="solver_neg" vbProcedure="false">1</definedName>
    <definedName function="false" hidden="true" localSheetId="3" name="solver_nod" vbProcedure="false">2147483647</definedName>
    <definedName function="false" hidden="true" localSheetId="3" name="solver_num" vbProcedure="false">0</definedName>
    <definedName function="false" hidden="true" localSheetId="3" name="solver_nwt" vbProcedure="false">1</definedName>
    <definedName function="false" hidden="true" localSheetId="3" name="solver_opt" vbProcedure="false">'pfa enterococci inactivation'!#ref!</definedName>
    <definedName function="false" hidden="true" localSheetId="3" name="solver_pre" vbProcedure="false">0.000001</definedName>
    <definedName function="false" hidden="true" localSheetId="3" name="solver_rbv" vbProcedure="false">1</definedName>
    <definedName function="false" hidden="true" localSheetId="3" name="solver_rlx" vbProcedure="false">2</definedName>
    <definedName function="false" hidden="true" localSheetId="3" name="solver_rsd" vbProcedure="false">0</definedName>
    <definedName function="false" hidden="true" localSheetId="3" name="solver_scl" vbProcedure="false">1</definedName>
    <definedName function="false" hidden="true" localSheetId="3" name="solver_sho" vbProcedure="false">2</definedName>
    <definedName function="false" hidden="true" localSheetId="3" name="solver_ssz" vbProcedure="false">100</definedName>
    <definedName function="false" hidden="true" localSheetId="3" name="solver_tim" vbProcedure="false">2147483647</definedName>
    <definedName function="false" hidden="true" localSheetId="3" name="solver_tol" vbProcedure="false">0.01</definedName>
    <definedName function="false" hidden="true" localSheetId="3" name="solver_typ" vbProcedure="false">2</definedName>
    <definedName function="false" hidden="true" localSheetId="3" name="solver_val" vbProcedure="false">2</definedName>
    <definedName function="false" hidden="true" localSheetId="3" name="solver_ver" vbProcedure="false">3</definedName>
    <definedName function="false" hidden="true" localSheetId="4" name="solver_adj" vbProcedure="false">'PAA EColi Inactivation'!$C$2,'PAA EColi Inactivation'!$E$2,'PAA EColi Inactivation'!$E$3,'PAA EColi Inactivation'!$G$2</definedName>
    <definedName function="false" hidden="true" localSheetId="4" name="solver_cvg" vbProcedure="false">0.0001</definedName>
    <definedName function="false" hidden="true" localSheetId="4" name="solver_drv" vbProcedure="false">1</definedName>
    <definedName function="false" hidden="true" localSheetId="4" name="solver_eng" vbProcedure="false">1</definedName>
    <definedName function="false" hidden="true" localSheetId="4" name="solver_est" vbProcedure="false">1</definedName>
    <definedName function="false" hidden="true" localSheetId="4" name="solver_itr" vbProcedure="false">2147483647</definedName>
    <definedName function="false" hidden="true" localSheetId="4" name="solver_mip" vbProcedure="false">2147483647</definedName>
    <definedName function="false" hidden="true" localSheetId="4" name="solver_mni" vbProcedure="false">30</definedName>
    <definedName function="false" hidden="true" localSheetId="4" name="solver_mrt" vbProcedure="false">0.075</definedName>
    <definedName function="false" hidden="true" localSheetId="4" name="solver_msl" vbProcedure="false">2</definedName>
    <definedName function="false" hidden="true" localSheetId="4" name="solver_neg" vbProcedure="false">1</definedName>
    <definedName function="false" hidden="true" localSheetId="4" name="solver_nod" vbProcedure="false">2147483647</definedName>
    <definedName function="false" hidden="true" localSheetId="4" name="solver_num" vbProcedure="false">0</definedName>
    <definedName function="false" hidden="true" localSheetId="4" name="solver_nwt" vbProcedure="false">1</definedName>
    <definedName function="false" hidden="true" localSheetId="4" name="solver_opt" vbProcedure="false">'paa ecoli inactivation'!#ref!</definedName>
    <definedName function="false" hidden="true" localSheetId="4" name="solver_pre" vbProcedure="false">0.000001</definedName>
    <definedName function="false" hidden="true" localSheetId="4" name="solver_rbv" vbProcedure="false">1</definedName>
    <definedName function="false" hidden="true" localSheetId="4" name="solver_rlx" vbProcedure="false">2</definedName>
    <definedName function="false" hidden="true" localSheetId="4" name="solver_rsd" vbProcedure="false">0</definedName>
    <definedName function="false" hidden="true" localSheetId="4" name="solver_scl" vbProcedure="false">1</definedName>
    <definedName function="false" hidden="true" localSheetId="4" name="solver_sho" vbProcedure="false">2</definedName>
    <definedName function="false" hidden="true" localSheetId="4" name="solver_ssz" vbProcedure="false">100</definedName>
    <definedName function="false" hidden="true" localSheetId="4" name="solver_tim" vbProcedure="false">2147483647</definedName>
    <definedName function="false" hidden="true" localSheetId="4" name="solver_tol" vbProcedure="false">0.01</definedName>
    <definedName function="false" hidden="true" localSheetId="4" name="solver_typ" vbProcedure="false">2</definedName>
    <definedName function="false" hidden="true" localSheetId="4" name="solver_val" vbProcedure="false">2</definedName>
    <definedName function="false" hidden="true" localSheetId="4" name="solver_ver" vbProcedure="false">3</definedName>
    <definedName function="false" hidden="true" localSheetId="5" name="solver_adj" vbProcedure="false">'PAA Fecal Coli Inactivation'!$C$2,'PAA Fecal Coli Inactivation'!$E$2,'PAA Fecal Coli Inactivation'!$E$3,'PAA Fecal Coli Inactivation'!$G$2</definedName>
    <definedName function="false" hidden="true" localSheetId="5" name="solver_cvg" vbProcedure="false">0.0001</definedName>
    <definedName function="false" hidden="true" localSheetId="5" name="solver_drv" vbProcedure="false">1</definedName>
    <definedName function="false" hidden="true" localSheetId="5" name="solver_eng" vbProcedure="false">1</definedName>
    <definedName function="false" hidden="true" localSheetId="5" name="solver_est" vbProcedure="false">1</definedName>
    <definedName function="false" hidden="true" localSheetId="5" name="solver_itr" vbProcedure="false">2147483647</definedName>
    <definedName function="false" hidden="true" localSheetId="5" name="solver_mip" vbProcedure="false">2147483647</definedName>
    <definedName function="false" hidden="true" localSheetId="5" name="solver_mni" vbProcedure="false">30</definedName>
    <definedName function="false" hidden="true" localSheetId="5" name="solver_mrt" vbProcedure="false">0.075</definedName>
    <definedName function="false" hidden="true" localSheetId="5" name="solver_msl" vbProcedure="false">2</definedName>
    <definedName function="false" hidden="true" localSheetId="5" name="solver_neg" vbProcedure="false">1</definedName>
    <definedName function="false" hidden="true" localSheetId="5" name="solver_nod" vbProcedure="false">2147483647</definedName>
    <definedName function="false" hidden="true" localSheetId="5" name="solver_num" vbProcedure="false">0</definedName>
    <definedName function="false" hidden="true" localSheetId="5" name="solver_nwt" vbProcedure="false">1</definedName>
    <definedName function="false" hidden="true" localSheetId="5" name="solver_opt" vbProcedure="false">'paa fecal coli inactivation'!#ref!</definedName>
    <definedName function="false" hidden="true" localSheetId="5" name="solver_pre" vbProcedure="false">0.000001</definedName>
    <definedName function="false" hidden="true" localSheetId="5" name="solver_rbv" vbProcedure="false">1</definedName>
    <definedName function="false" hidden="true" localSheetId="5" name="solver_rlx" vbProcedure="false">2</definedName>
    <definedName function="false" hidden="true" localSheetId="5" name="solver_rsd" vbProcedure="false">0</definedName>
    <definedName function="false" hidden="true" localSheetId="5" name="solver_scl" vbProcedure="false">1</definedName>
    <definedName function="false" hidden="true" localSheetId="5" name="solver_sho" vbProcedure="false">2</definedName>
    <definedName function="false" hidden="true" localSheetId="5" name="solver_ssz" vbProcedure="false">100</definedName>
    <definedName function="false" hidden="true" localSheetId="5" name="solver_tim" vbProcedure="false">2147483647</definedName>
    <definedName function="false" hidden="true" localSheetId="5" name="solver_tol" vbProcedure="false">0.01</definedName>
    <definedName function="false" hidden="true" localSheetId="5" name="solver_typ" vbProcedure="false">2</definedName>
    <definedName function="false" hidden="true" localSheetId="5" name="solver_val" vbProcedure="false">2</definedName>
    <definedName function="false" hidden="true" localSheetId="5" name="solver_ver" vbProcedure="false">3</definedName>
    <definedName function="false" hidden="true" localSheetId="6" name="solver_adj" vbProcedure="false">'PAA Total Coli Inactivation'!$C$2,'PAA Total Coli Inactivation'!$E$2,'PAA Total Coli Inactivation'!$E$3,'PAA Total Coli Inactivation'!$G$2</definedName>
    <definedName function="false" hidden="true" localSheetId="6" name="solver_cvg" vbProcedure="false">0.0001</definedName>
    <definedName function="false" hidden="true" localSheetId="6" name="solver_drv" vbProcedure="false">1</definedName>
    <definedName function="false" hidden="true" localSheetId="6" name="solver_eng" vbProcedure="false">1</definedName>
    <definedName function="false" hidden="true" localSheetId="6" name="solver_est" vbProcedure="false">1</definedName>
    <definedName function="false" hidden="true" localSheetId="6" name="solver_itr" vbProcedure="false">2147483647</definedName>
    <definedName function="false" hidden="true" localSheetId="6" name="solver_mip" vbProcedure="false">2147483647</definedName>
    <definedName function="false" hidden="true" localSheetId="6" name="solver_mni" vbProcedure="false">30</definedName>
    <definedName function="false" hidden="true" localSheetId="6" name="solver_mrt" vbProcedure="false">0.075</definedName>
    <definedName function="false" hidden="true" localSheetId="6" name="solver_msl" vbProcedure="false">2</definedName>
    <definedName function="false" hidden="true" localSheetId="6" name="solver_neg" vbProcedure="false">1</definedName>
    <definedName function="false" hidden="true" localSheetId="6" name="solver_nod" vbProcedure="false">2147483647</definedName>
    <definedName function="false" hidden="true" localSheetId="6" name="solver_num" vbProcedure="false">0</definedName>
    <definedName function="false" hidden="true" localSheetId="6" name="solver_nwt" vbProcedure="false">1</definedName>
    <definedName function="false" hidden="true" localSheetId="6" name="solver_opt" vbProcedure="false">'paa total coli inactivation'!#ref!</definedName>
    <definedName function="false" hidden="true" localSheetId="6" name="solver_pre" vbProcedure="false">0.000001</definedName>
    <definedName function="false" hidden="true" localSheetId="6" name="solver_rbv" vbProcedure="false">1</definedName>
    <definedName function="false" hidden="true" localSheetId="6" name="solver_rlx" vbProcedure="false">2</definedName>
    <definedName function="false" hidden="true" localSheetId="6" name="solver_rsd" vbProcedure="false">0</definedName>
    <definedName function="false" hidden="true" localSheetId="6" name="solver_scl" vbProcedure="false">1</definedName>
    <definedName function="false" hidden="true" localSheetId="6" name="solver_sho" vbProcedure="false">2</definedName>
    <definedName function="false" hidden="true" localSheetId="6" name="solver_ssz" vbProcedure="false">100</definedName>
    <definedName function="false" hidden="true" localSheetId="6" name="solver_tim" vbProcedure="false">2147483647</definedName>
    <definedName function="false" hidden="true" localSheetId="6" name="solver_tol" vbProcedure="false">0.01</definedName>
    <definedName function="false" hidden="true" localSheetId="6" name="solver_typ" vbProcedure="false">2</definedName>
    <definedName function="false" hidden="true" localSheetId="6" name="solver_val" vbProcedure="false">2</definedName>
    <definedName function="false" hidden="true" localSheetId="6" name="solver_ver" vbProcedure="false">3</definedName>
    <definedName function="false" hidden="true" localSheetId="7" name="solver_adj" vbProcedure="false">'PAA Enterococci Inactivation'!$C$2,'PAA Enterococci Inactivation'!$E$2,'PAA Enterococci Inactivation'!$E$3,'PAA Enterococci Inactivation'!$G$2</definedName>
    <definedName function="false" hidden="true" localSheetId="7" name="solver_cvg" vbProcedure="false">0.0001</definedName>
    <definedName function="false" hidden="true" localSheetId="7" name="solver_drv" vbProcedure="false">1</definedName>
    <definedName function="false" hidden="true" localSheetId="7" name="solver_eng" vbProcedure="false">1</definedName>
    <definedName function="false" hidden="true" localSheetId="7" name="solver_est" vbProcedure="false">1</definedName>
    <definedName function="false" hidden="true" localSheetId="7" name="solver_itr" vbProcedure="false">2147483647</definedName>
    <definedName function="false" hidden="true" localSheetId="7" name="solver_mip" vbProcedure="false">2147483647</definedName>
    <definedName function="false" hidden="true" localSheetId="7" name="solver_mni" vbProcedure="false">30</definedName>
    <definedName function="false" hidden="true" localSheetId="7" name="solver_mrt" vbProcedure="false">0.075</definedName>
    <definedName function="false" hidden="true" localSheetId="7" name="solver_msl" vbProcedure="false">2</definedName>
    <definedName function="false" hidden="true" localSheetId="7" name="solver_neg" vbProcedure="false">1</definedName>
    <definedName function="false" hidden="true" localSheetId="7" name="solver_nod" vbProcedure="false">2147483647</definedName>
    <definedName function="false" hidden="true" localSheetId="7" name="solver_num" vbProcedure="false">0</definedName>
    <definedName function="false" hidden="true" localSheetId="7" name="solver_nwt" vbProcedure="false">1</definedName>
    <definedName function="false" hidden="true" localSheetId="7" name="solver_opt" vbProcedure="false">'paa enterococci inactivation'!#ref!</definedName>
    <definedName function="false" hidden="true" localSheetId="7" name="solver_pre" vbProcedure="false">0.000001</definedName>
    <definedName function="false" hidden="true" localSheetId="7" name="solver_rbv" vbProcedure="false">1</definedName>
    <definedName function="false" hidden="true" localSheetId="7" name="solver_rlx" vbProcedure="false">2</definedName>
    <definedName function="false" hidden="true" localSheetId="7" name="solver_rsd" vbProcedure="false">0</definedName>
    <definedName function="false" hidden="true" localSheetId="7" name="solver_scl" vbProcedure="false">1</definedName>
    <definedName function="false" hidden="true" localSheetId="7" name="solver_sho" vbProcedure="false">2</definedName>
    <definedName function="false" hidden="true" localSheetId="7" name="solver_ssz" vbProcedure="false">100</definedName>
    <definedName function="false" hidden="true" localSheetId="7" name="solver_tim" vbProcedure="false">2147483647</definedName>
    <definedName function="false" hidden="true" localSheetId="7" name="solver_tol" vbProcedure="false">0.01</definedName>
    <definedName function="false" hidden="true" localSheetId="7" name="solver_typ" vbProcedure="false">2</definedName>
    <definedName function="false" hidden="true" localSheetId="7" name="solver_val" vbProcedure="false">2</definedName>
    <definedName function="false" hidden="true" localSheetId="7" name="solver_ver" vbProcedure="false">3</definedName>
    <definedName function="false" hidden="true" localSheetId="8" name="solver_adj" vbProcedure="false">'Cl2 EColi Inactivation'!$C$2,'Cl2 EColi Inactivation'!$E$2,'Cl2 EColi Inactivation'!$E$3,'Cl2 EColi Inactivation'!$G$2</definedName>
    <definedName function="false" hidden="true" localSheetId="8" name="solver_cvg" vbProcedure="false">0.0001</definedName>
    <definedName function="false" hidden="true" localSheetId="8" name="solver_drv" vbProcedure="false">1</definedName>
    <definedName function="false" hidden="true" localSheetId="8" name="solver_eng" vbProcedure="false">1</definedName>
    <definedName function="false" hidden="true" localSheetId="8" name="solver_est" vbProcedure="false">1</definedName>
    <definedName function="false" hidden="true" localSheetId="8" name="solver_itr" vbProcedure="false">2147483647</definedName>
    <definedName function="false" hidden="true" localSheetId="8" name="solver_mip" vbProcedure="false">2147483647</definedName>
    <definedName function="false" hidden="true" localSheetId="8" name="solver_mni" vbProcedure="false">30</definedName>
    <definedName function="false" hidden="true" localSheetId="8" name="solver_mrt" vbProcedure="false">0.075</definedName>
    <definedName function="false" hidden="true" localSheetId="8" name="solver_msl" vbProcedure="false">2</definedName>
    <definedName function="false" hidden="true" localSheetId="8" name="solver_neg" vbProcedure="false">1</definedName>
    <definedName function="false" hidden="true" localSheetId="8" name="solver_nod" vbProcedure="false">2147483647</definedName>
    <definedName function="false" hidden="true" localSheetId="8" name="solver_num" vbProcedure="false">0</definedName>
    <definedName function="false" hidden="true" localSheetId="8" name="solver_nwt" vbProcedure="false">1</definedName>
    <definedName function="false" hidden="true" localSheetId="8" name="solver_opt" vbProcedure="false">'cl2 ecoli inactivation'!#ref!</definedName>
    <definedName function="false" hidden="true" localSheetId="8" name="solver_pre" vbProcedure="false">0.000001</definedName>
    <definedName function="false" hidden="true" localSheetId="8" name="solver_rbv" vbProcedure="false">1</definedName>
    <definedName function="false" hidden="true" localSheetId="8" name="solver_rlx" vbProcedure="false">2</definedName>
    <definedName function="false" hidden="true" localSheetId="8" name="solver_rsd" vbProcedure="false">0</definedName>
    <definedName function="false" hidden="true" localSheetId="8" name="solver_scl" vbProcedure="false">1</definedName>
    <definedName function="false" hidden="true" localSheetId="8" name="solver_sho" vbProcedure="false">2</definedName>
    <definedName function="false" hidden="true" localSheetId="8" name="solver_ssz" vbProcedure="false">100</definedName>
    <definedName function="false" hidden="true" localSheetId="8" name="solver_tim" vbProcedure="false">2147483647</definedName>
    <definedName function="false" hidden="true" localSheetId="8" name="solver_tol" vbProcedure="false">0.01</definedName>
    <definedName function="false" hidden="true" localSheetId="8" name="solver_typ" vbProcedure="false">2</definedName>
    <definedName function="false" hidden="true" localSheetId="8" name="solver_val" vbProcedure="false">2</definedName>
    <definedName function="false" hidden="true" localSheetId="8" name="solver_ver" vbProcedure="false">3</definedName>
    <definedName function="false" hidden="true" localSheetId="9" name="solver_adj" vbProcedure="false">'Cl2 Fecal Coli Inactivation'!$C$2,'Cl2 Fecal Coli Inactivation'!$E$2,'Cl2 Fecal Coli Inactivation'!$E$3,'Cl2 Fecal Coli Inactivation'!$G$2</definedName>
    <definedName function="false" hidden="true" localSheetId="9" name="solver_cvg" vbProcedure="false">0.0001</definedName>
    <definedName function="false" hidden="true" localSheetId="9" name="solver_drv" vbProcedure="false">1</definedName>
    <definedName function="false" hidden="true" localSheetId="9" name="solver_eng" vbProcedure="false">1</definedName>
    <definedName function="false" hidden="true" localSheetId="9" name="solver_est" vbProcedure="false">1</definedName>
    <definedName function="false" hidden="true" localSheetId="9" name="solver_itr" vbProcedure="false">2147483647</definedName>
    <definedName function="false" hidden="true" localSheetId="9" name="solver_mip" vbProcedure="false">2147483647</definedName>
    <definedName function="false" hidden="true" localSheetId="9" name="solver_mni" vbProcedure="false">30</definedName>
    <definedName function="false" hidden="true" localSheetId="9" name="solver_mrt" vbProcedure="false">0.075</definedName>
    <definedName function="false" hidden="true" localSheetId="9" name="solver_msl" vbProcedure="false">2</definedName>
    <definedName function="false" hidden="true" localSheetId="9" name="solver_neg" vbProcedure="false">1</definedName>
    <definedName function="false" hidden="true" localSheetId="9" name="solver_nod" vbProcedure="false">2147483647</definedName>
    <definedName function="false" hidden="true" localSheetId="9" name="solver_num" vbProcedure="false">0</definedName>
    <definedName function="false" hidden="true" localSheetId="9" name="solver_nwt" vbProcedure="false">1</definedName>
    <definedName function="false" hidden="true" localSheetId="9" name="solver_opt" vbProcedure="false">'cl2 fecal coli inactivation'!#ref!</definedName>
    <definedName function="false" hidden="true" localSheetId="9" name="solver_pre" vbProcedure="false">0.000001</definedName>
    <definedName function="false" hidden="true" localSheetId="9" name="solver_rbv" vbProcedure="false">1</definedName>
    <definedName function="false" hidden="true" localSheetId="9" name="solver_rlx" vbProcedure="false">2</definedName>
    <definedName function="false" hidden="true" localSheetId="9" name="solver_rsd" vbProcedure="false">0</definedName>
    <definedName function="false" hidden="true" localSheetId="9" name="solver_scl" vbProcedure="false">1</definedName>
    <definedName function="false" hidden="true" localSheetId="9" name="solver_sho" vbProcedure="false">2</definedName>
    <definedName function="false" hidden="true" localSheetId="9" name="solver_ssz" vbProcedure="false">100</definedName>
    <definedName function="false" hidden="true" localSheetId="9" name="solver_tim" vbProcedure="false">2147483647</definedName>
    <definedName function="false" hidden="true" localSheetId="9" name="solver_tol" vbProcedure="false">0.01</definedName>
    <definedName function="false" hidden="true" localSheetId="9" name="solver_typ" vbProcedure="false">2</definedName>
    <definedName function="false" hidden="true" localSheetId="9" name="solver_val" vbProcedure="false">2</definedName>
    <definedName function="false" hidden="true" localSheetId="9" name="solver_ver" vbProcedure="false">3</definedName>
    <definedName function="false" hidden="true" localSheetId="10" name="solver_adj" vbProcedure="false">'Cl2 Total Coli Inactivation'!$C$2,'Cl2 Total Coli Inactivation'!$E$2,'Cl2 Total Coli Inactivation'!$E$3,'Cl2 Total Coli Inactivation'!$G$2</definedName>
    <definedName function="false" hidden="true" localSheetId="10" name="solver_cvg" vbProcedure="false">0.0001</definedName>
    <definedName function="false" hidden="true" localSheetId="10" name="solver_drv" vbProcedure="false">1</definedName>
    <definedName function="false" hidden="true" localSheetId="10" name="solver_eng" vbProcedure="false">1</definedName>
    <definedName function="false" hidden="true" localSheetId="10" name="solver_est" vbProcedure="false">1</definedName>
    <definedName function="false" hidden="true" localSheetId="10" name="solver_itr" vbProcedure="false">2147483647</definedName>
    <definedName function="false" hidden="true" localSheetId="10" name="solver_mip" vbProcedure="false">2147483647</definedName>
    <definedName function="false" hidden="true" localSheetId="10" name="solver_mni" vbProcedure="false">30</definedName>
    <definedName function="false" hidden="true" localSheetId="10" name="solver_mrt" vbProcedure="false">0.075</definedName>
    <definedName function="false" hidden="true" localSheetId="10" name="solver_msl" vbProcedure="false">2</definedName>
    <definedName function="false" hidden="true" localSheetId="10" name="solver_neg" vbProcedure="false">1</definedName>
    <definedName function="false" hidden="true" localSheetId="10" name="solver_nod" vbProcedure="false">2147483647</definedName>
    <definedName function="false" hidden="true" localSheetId="10" name="solver_num" vbProcedure="false">0</definedName>
    <definedName function="false" hidden="true" localSheetId="10" name="solver_nwt" vbProcedure="false">1</definedName>
    <definedName function="false" hidden="true" localSheetId="10" name="solver_opt" vbProcedure="false">'cl2 total coli inactivation'!#ref!</definedName>
    <definedName function="false" hidden="true" localSheetId="10" name="solver_pre" vbProcedure="false">0.000001</definedName>
    <definedName function="false" hidden="true" localSheetId="10" name="solver_rbv" vbProcedure="false">1</definedName>
    <definedName function="false" hidden="true" localSheetId="10" name="solver_rlx" vbProcedure="false">2</definedName>
    <definedName function="false" hidden="true" localSheetId="10" name="solver_rsd" vbProcedure="false">0</definedName>
    <definedName function="false" hidden="true" localSheetId="10" name="solver_scl" vbProcedure="false">1</definedName>
    <definedName function="false" hidden="true" localSheetId="10" name="solver_sho" vbProcedure="false">2</definedName>
    <definedName function="false" hidden="true" localSheetId="10" name="solver_ssz" vbProcedure="false">100</definedName>
    <definedName function="false" hidden="true" localSheetId="10" name="solver_tim" vbProcedure="false">2147483647</definedName>
    <definedName function="false" hidden="true" localSheetId="10" name="solver_tol" vbProcedure="false">0.01</definedName>
    <definedName function="false" hidden="true" localSheetId="10" name="solver_typ" vbProcedure="false">2</definedName>
    <definedName function="false" hidden="true" localSheetId="10" name="solver_val" vbProcedure="false">2</definedName>
    <definedName function="false" hidden="true" localSheetId="10" name="solver_ver" vbProcedure="false">3</definedName>
    <definedName function="false" hidden="true" localSheetId="11" name="solver_adj" vbProcedure="false">'Cl2 Enterococci Inactivation'!$C$2,'Cl2 Enterococci Inactivation'!$E$2,'Cl2 Enterococci Inactivation'!$E$3,'Cl2 Enterococci Inactivation'!$G$2</definedName>
    <definedName function="false" hidden="true" localSheetId="11" name="solver_cvg" vbProcedure="false">0.0001</definedName>
    <definedName function="false" hidden="true" localSheetId="11" name="solver_drv" vbProcedure="false">1</definedName>
    <definedName function="false" hidden="true" localSheetId="11" name="solver_eng" vbProcedure="false">1</definedName>
    <definedName function="false" hidden="true" localSheetId="11" name="solver_est" vbProcedure="false">1</definedName>
    <definedName function="false" hidden="true" localSheetId="11" name="solver_itr" vbProcedure="false">2147483647</definedName>
    <definedName function="false" hidden="true" localSheetId="11" name="solver_mip" vbProcedure="false">2147483647</definedName>
    <definedName function="false" hidden="true" localSheetId="11" name="solver_mni" vbProcedure="false">30</definedName>
    <definedName function="false" hidden="true" localSheetId="11" name="solver_mrt" vbProcedure="false">0.075</definedName>
    <definedName function="false" hidden="true" localSheetId="11" name="solver_msl" vbProcedure="false">2</definedName>
    <definedName function="false" hidden="true" localSheetId="11" name="solver_neg" vbProcedure="false">1</definedName>
    <definedName function="false" hidden="true" localSheetId="11" name="solver_nod" vbProcedure="false">2147483647</definedName>
    <definedName function="false" hidden="true" localSheetId="11" name="solver_num" vbProcedure="false">0</definedName>
    <definedName function="false" hidden="true" localSheetId="11" name="solver_nwt" vbProcedure="false">1</definedName>
    <definedName function="false" hidden="true" localSheetId="11" name="solver_opt" vbProcedure="false">'cl2 enterococci inactivation'!#ref!</definedName>
    <definedName function="false" hidden="true" localSheetId="11" name="solver_pre" vbProcedure="false">0.000001</definedName>
    <definedName function="false" hidden="true" localSheetId="11" name="solver_rbv" vbProcedure="false">1</definedName>
    <definedName function="false" hidden="true" localSheetId="11" name="solver_rlx" vbProcedure="false">2</definedName>
    <definedName function="false" hidden="true" localSheetId="11" name="solver_rsd" vbProcedure="false">0</definedName>
    <definedName function="false" hidden="true" localSheetId="11" name="solver_scl" vbProcedure="false">1</definedName>
    <definedName function="false" hidden="true" localSheetId="11" name="solver_sho" vbProcedure="false">2</definedName>
    <definedName function="false" hidden="true" localSheetId="11" name="solver_ssz" vbProcedure="false">100</definedName>
    <definedName function="false" hidden="true" localSheetId="11" name="solver_tim" vbProcedure="false">2147483647</definedName>
    <definedName function="false" hidden="true" localSheetId="11" name="solver_tol" vbProcedure="false">0.01</definedName>
    <definedName function="false" hidden="true" localSheetId="11" name="solver_typ" vbProcedure="false">2</definedName>
    <definedName function="false" hidden="true" localSheetId="11" name="solver_val" vbProcedure="false">2</definedName>
    <definedName function="false" hidden="true" localSheetId="11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<sst xmlns="http://schemas.openxmlformats.org/spreadsheetml/2006/main" count="123" uniqueCount="12">
  <si>
    <t xml:space="preserve">B</t>
  </si>
  <si>
    <t xml:space="preserve">Kd</t>
  </si>
  <si>
    <t xml:space="preserve">m</t>
  </si>
  <si>
    <t xml:space="preserve">CT</t>
  </si>
  <si>
    <t xml:space="preserve">Calc'd N</t>
  </si>
  <si>
    <t xml:space="preserve">N0</t>
  </si>
  <si>
    <t xml:space="preserve">Kp</t>
  </si>
  <si>
    <t xml:space="preserve">Exp N</t>
  </si>
  <si>
    <t xml:space="preserve">Calculated CT (mg·min/L)</t>
  </si>
  <si>
    <t xml:space="preserve">Calculated N (CFU/100mL)</t>
  </si>
  <si>
    <t xml:space="preserve">&lt;4</t>
  </si>
  <si>
    <t xml:space="preserve">&lt;1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</si>
</sst>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0.000"/>
    <numFmt numFmtId="167" formatCode="0"/>
    <numFmt numFmtId="168" formatCode="0.0"/>
    <numFmt numFmtId="169" formatCode="0.00"/>
    <numFmt numFmtId="170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8"/>
      <color rgb="FF000000"/>
      <name val="Calibri"/>
      <family val="2"/>
    </font>
    <font>
      <b val="true"/>
      <i val="true"/>
      <sz val="18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PFA </a:t>
            </a:r>
            <a:r>
              <a:rPr lang="en-US" sz="1800" b="1" i="1" u="none" strike="noStrike">
                <a:solidFill>
                  <a:srgbClr val="000000"/>
                </a:solidFill>
                <a:uFillTx/>
                <a:latin typeface="Calibri"/>
              </a:rPr>
              <a:t>E. coli</a:t>
            </a: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 inactivation</a:t>
            </a:r>
          </a:p>
        </c:rich>
      </c:tx>
      <c:layout>
        <c:manualLayout>
          <c:xMode val="edge"/>
          <c:yMode val="edge"/>
          <c:x val="0.289955153391277"/>
          <c:y val="0.0231981400154999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"Exp N"</c:f>
              <c:strCache>
                <c:ptCount val="1"/>
                <c:pt idx="0">
                  <c:v>Exp N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'PFA EColi Inactivation'!$C$6:$C$17</c:f>
              <c:numCache>
                <c:formatCode>0.00</c:formatCode>
                <c:ptCount val="12"/>
                <c:pt idx="0">
                  <c:v>0</c:v>
                </c:pt>
                <c:pt idx="1">
                  <c:v>0.686406436310531</c:v>
                </c:pt>
                <c:pt idx="2">
                  <c:v>1.99305397968086</c:v>
                </c:pt>
                <c:pt idx="3">
                  <c:v>3.21619260321904</c:v>
                </c:pt>
                <c:pt idx="4">
                  <c:v>5.9428784807779</c:v>
                </c:pt>
                <c:pt idx="5">
                  <c:v>13.2846207787973</c:v>
                </c:pt>
                <c:pt idx="6">
                  <c:v>0</c:v>
                </c:pt>
                <c:pt idx="7">
                  <c:v>1.52256675005619</c:v>
                </c:pt>
                <c:pt idx="8">
                  <c:v>4.47954664551733</c:v>
                </c:pt>
                <c:pt idx="9">
                  <c:v>7.3227629386573</c:v>
                </c:pt>
                <c:pt idx="10">
                  <c:v>13.9613979720855</c:v>
                </c:pt>
                <c:pt idx="11">
                  <c:v>34.8666767235899</c:v>
                </c:pt>
              </c:numCache>
            </c:numRef>
          </c:xVal>
          <c:yVal>
            <c:numRef>
              <c:f>'PFA EColi Inactivation'!$B$6:$B$17</c:f>
              <c:numCache>
                <c:formatCode>0</c:formatCode>
                <c:ptCount val="12"/>
                <c:pt idx="0">
                  <c:v>1450</c:v>
                </c:pt>
                <c:pt idx="1">
                  <c:v>920</c:v>
                </c:pt>
                <c:pt idx="2">
                  <c:v>40</c:v>
                </c:pt>
                <c:pt idx="3">
                  <c:v>24</c:v>
                </c:pt>
                <c:pt idx="4">
                  <c:v>5</c:v>
                </c:pt>
                <c:pt idx="5">
                  <c:v>5</c:v>
                </c:pt>
                <c:pt idx="6">
                  <c:v>1350</c:v>
                </c:pt>
                <c:pt idx="7">
                  <c:v>20</c:v>
                </c:pt>
                <c:pt idx="10">
                  <c:v>4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000000"/>
            </a:solidFill>
            <a:ln w="936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93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'PFA EColi Inactivation'!$I$3:$I$38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xVal>
          <c:yVal>
            <c:numRef>
              <c:f>'PFA EColi Inactivation'!$J$3:$J$38</c:f>
              <c:numCache>
                <c:formatCode>0.0</c:formatCode>
                <c:ptCount val="36"/>
                <c:pt idx="0">
                  <c:v>1400</c:v>
                </c:pt>
                <c:pt idx="1">
                  <c:v>130.734708680131</c:v>
                </c:pt>
                <c:pt idx="2">
                  <c:v>22.5150941650819</c:v>
                </c:pt>
                <c:pt idx="3">
                  <c:v>19.358681660358</c:v>
                </c:pt>
                <c:pt idx="4">
                  <c:v>16.644769632289</c:v>
                </c:pt>
                <c:pt idx="5">
                  <c:v>14.3113235174118</c:v>
                </c:pt>
                <c:pt idx="6">
                  <c:v>12.3050054368255</c:v>
                </c:pt>
                <c:pt idx="7">
                  <c:v>10.5799549996958</c:v>
                </c:pt>
                <c:pt idx="8">
                  <c:v>9.096741027078</c:v>
                </c:pt>
                <c:pt idx="9">
                  <c:v>7.82146023457598</c:v>
                </c:pt>
                <c:pt idx="10">
                  <c:v>6.72496227153821</c:v>
                </c:pt>
                <c:pt idx="11">
                  <c:v>5.78218340274719</c:v>
                </c:pt>
                <c:pt idx="12">
                  <c:v>4.97157360190777</c:v>
                </c:pt>
                <c:pt idx="13">
                  <c:v>4.27460396144526</c:v>
                </c:pt>
                <c:pt idx="14">
                  <c:v>3.67534315899333</c:v>
                </c:pt>
                <c:pt idx="15">
                  <c:v>3.16009329944847</c:v>
                </c:pt>
                <c:pt idx="16">
                  <c:v>2.71707680867392</c:v>
                </c:pt>
                <c:pt idx="17">
                  <c:v>2.33616722187351</c:v>
                </c:pt>
                <c:pt idx="18">
                  <c:v>2.00865771299997</c:v>
                </c:pt>
                <c:pt idx="19">
                  <c:v>1.72706207424595</c:v>
                </c:pt>
                <c:pt idx="20">
                  <c:v>1.48494359640994</c:v>
                </c:pt>
                <c:pt idx="21">
                  <c:v>1.27676793868664</c:v>
                </c:pt>
                <c:pt idx="22">
                  <c:v>1.09777662478172</c:v>
                </c:pt>
                <c:pt idx="23">
                  <c:v>0.943878273726703</c:v>
                </c:pt>
                <c:pt idx="24">
                  <c:v>0.811555079149592</c:v>
                </c:pt>
                <c:pt idx="25">
                  <c:v>0.697782399305657</c:v>
                </c:pt>
                <c:pt idx="26">
                  <c:v>0.59995961985842</c:v>
                </c:pt>
                <c:pt idx="27">
                  <c:v>0.515850709073254</c:v>
                </c:pt>
                <c:pt idx="28">
                  <c:v>0.443533106635034</c:v>
                </c:pt>
                <c:pt idx="29">
                  <c:v>0.381353777791142</c:v>
                </c:pt>
                <c:pt idx="30">
                  <c:v>0.327891428306038</c:v>
                </c:pt>
                <c:pt idx="31">
                  <c:v>0.281924016537357</c:v>
                </c:pt>
                <c:pt idx="32">
                  <c:v>0.242400820025012</c:v>
                </c:pt>
                <c:pt idx="33">
                  <c:v>0.208418418091785</c:v>
                </c:pt>
                <c:pt idx="34">
                  <c:v>0.179200041466032</c:v>
                </c:pt>
                <c:pt idx="35">
                  <c:v>0.15407781690045</c:v>
                </c:pt>
              </c:numCache>
            </c:numRef>
          </c:yVal>
          <c:smooth val="1"/>
        </c:ser>
        <c:axId val="23725291"/>
        <c:axId val="48009926"/>
      </c:scatterChart>
      <c:valAx>
        <c:axId val="23725291"/>
        <c:scaling>
          <c:orientation val="minMax"/>
          <c:max val="40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PFA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ICT (mg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·min/L)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009926"/>
        <c:crosses val="autoZero"/>
        <c:crossBetween val="midCat"/>
        <c:majorUnit val="5"/>
      </c:valAx>
      <c:valAx>
        <c:axId val="48009926"/>
        <c:scaling>
          <c:logBase val="10"/>
          <c:orientation val="minMax"/>
          <c:max val="100000"/>
          <c:min val="1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Viable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Microbes (CFU/100 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725291"/>
        <c:crosses val="autoZero"/>
        <c:crossBetween val="midCat"/>
        <c:majorUnit val="1"/>
        <c:minorUnit val="9"/>
      </c:valAx>
      <c:spPr>
        <a:solidFill>
          <a:srgbClr val="ffffff"/>
        </a:solidFill>
        <a:ln w="0">
          <a:solidFill>
            <a:srgbClr val="000000"/>
          </a:solidFill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PFA Fecal coliforms inactivation</a:t>
            </a:r>
          </a:p>
        </c:rich>
      </c:tx>
      <c:layout>
        <c:manualLayout>
          <c:xMode val="edge"/>
          <c:yMode val="edge"/>
          <c:x val="0.222157239535467"/>
          <c:y val="0.019469219055906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"Exp N"</c:f>
              <c:strCache>
                <c:ptCount val="1"/>
                <c:pt idx="0">
                  <c:v>Exp N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'PFA Fecal Coli Inactivation'!$C$6:$C$18</c:f>
              <c:numCache>
                <c:formatCode>0.00</c:formatCode>
                <c:ptCount val="13"/>
                <c:pt idx="0">
                  <c:v>0</c:v>
                </c:pt>
                <c:pt idx="1">
                  <c:v>0.686406436310531</c:v>
                </c:pt>
                <c:pt idx="2">
                  <c:v>1.99305397968086</c:v>
                </c:pt>
                <c:pt idx="3">
                  <c:v>3.21619260321904</c:v>
                </c:pt>
                <c:pt idx="4">
                  <c:v>5.9428784807779</c:v>
                </c:pt>
                <c:pt idx="5">
                  <c:v>13.2846207787973</c:v>
                </c:pt>
                <c:pt idx="6">
                  <c:v>0</c:v>
                </c:pt>
                <c:pt idx="7">
                  <c:v>1.52256675005619</c:v>
                </c:pt>
                <c:pt idx="8">
                  <c:v>4.47954664551733</c:v>
                </c:pt>
                <c:pt idx="9">
                  <c:v>7.3227629386573</c:v>
                </c:pt>
                <c:pt idx="10">
                  <c:v>13.9613979720855</c:v>
                </c:pt>
                <c:pt idx="11">
                  <c:v>34.8666767235899</c:v>
                </c:pt>
              </c:numCache>
            </c:numRef>
          </c:xVal>
          <c:yVal>
            <c:numRef>
              <c:f>'PFA Fecal Coli Inactivation'!$B$6:$B$19</c:f>
              <c:numCache>
                <c:formatCode>0</c:formatCode>
                <c:ptCount val="14"/>
                <c:pt idx="0">
                  <c:v>5600</c:v>
                </c:pt>
                <c:pt idx="1">
                  <c:v>3900</c:v>
                </c:pt>
                <c:pt idx="2">
                  <c:v>500</c:v>
                </c:pt>
                <c:pt idx="3">
                  <c:v>58</c:v>
                </c:pt>
                <c:pt idx="4">
                  <c:v>24</c:v>
                </c:pt>
                <c:pt idx="5">
                  <c:v>8</c:v>
                </c:pt>
                <c:pt idx="6">
                  <c:v>5100</c:v>
                </c:pt>
                <c:pt idx="7">
                  <c:v>540</c:v>
                </c:pt>
                <c:pt idx="8">
                  <c:v>12</c:v>
                </c:pt>
                <c:pt idx="9">
                  <c:v>6</c:v>
                </c:pt>
                <c:pt idx="10">
                  <c:v>12</c:v>
                </c:pt>
                <c:pt idx="11">
                  <c:v>8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000000"/>
            </a:solidFill>
            <a:ln w="936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93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'PFA Fecal Coli Inactivation'!$I$3:$I$38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xVal>
          <c:yVal>
            <c:numRef>
              <c:f>'PFA Fecal Coli Inactivation'!$J$3:$J$38</c:f>
              <c:numCache>
                <c:formatCode>0.0</c:formatCode>
                <c:ptCount val="36"/>
                <c:pt idx="0">
                  <c:v>5350</c:v>
                </c:pt>
                <c:pt idx="1">
                  <c:v>1855.11905125877</c:v>
                </c:pt>
                <c:pt idx="2">
                  <c:v>401.710283027859</c:v>
                </c:pt>
                <c:pt idx="3">
                  <c:v>75.1110069145721</c:v>
                </c:pt>
                <c:pt idx="4">
                  <c:v>19.937891751549</c:v>
                </c:pt>
                <c:pt idx="5">
                  <c:v>12.2368709652563</c:v>
                </c:pt>
                <c:pt idx="6">
                  <c:v>11.2144664277081</c:v>
                </c:pt>
                <c:pt idx="7">
                  <c:v>10.9858642156998</c:v>
                </c:pt>
                <c:pt idx="8">
                  <c:v>10.8405071372095</c:v>
                </c:pt>
                <c:pt idx="9">
                  <c:v>10.7042822460641</c:v>
                </c:pt>
                <c:pt idx="10">
                  <c:v>10.5703575742819</c:v>
                </c:pt>
                <c:pt idx="11">
                  <c:v>10.4381519405221</c:v>
                </c:pt>
                <c:pt idx="12">
                  <c:v>10.3076027618358</c:v>
                </c:pt>
                <c:pt idx="13">
                  <c:v>10.1786865337444</c:v>
                </c:pt>
                <c:pt idx="14">
                  <c:v>10.0513826593468</c:v>
                </c:pt>
                <c:pt idx="15">
                  <c:v>9.92567096307965</c:v>
                </c:pt>
                <c:pt idx="16">
                  <c:v>9.80153153118566</c:v>
                </c:pt>
                <c:pt idx="17">
                  <c:v>9.67894469947567</c:v>
                </c:pt>
                <c:pt idx="18">
                  <c:v>9.55789104972419</c:v>
                </c:pt>
                <c:pt idx="19">
                  <c:v>9.43835140656879</c:v>
                </c:pt>
                <c:pt idx="20">
                  <c:v>9.32030683447158</c:v>
                </c:pt>
                <c:pt idx="21">
                  <c:v>9.20373863471964</c:v>
                </c:pt>
                <c:pt idx="22">
                  <c:v>9.08862834246309</c:v>
                </c:pt>
                <c:pt idx="23">
                  <c:v>8.97495772379022</c:v>
                </c:pt>
                <c:pt idx="24">
                  <c:v>8.8627087728391</c:v>
                </c:pt>
                <c:pt idx="25">
                  <c:v>8.75186370894543</c:v>
                </c:pt>
                <c:pt idx="26">
                  <c:v>8.64240497382601</c:v>
                </c:pt>
                <c:pt idx="27">
                  <c:v>8.53431522879744</c:v>
                </c:pt>
                <c:pt idx="28">
                  <c:v>8.42757735202958</c:v>
                </c:pt>
                <c:pt idx="29">
                  <c:v>8.32217443583341</c:v>
                </c:pt>
                <c:pt idx="30">
                  <c:v>8.21808978398281</c:v>
                </c:pt>
                <c:pt idx="31">
                  <c:v>8.11530690906977</c:v>
                </c:pt>
                <c:pt idx="32">
                  <c:v>8.01380952989273</c:v>
                </c:pt>
                <c:pt idx="33">
                  <c:v>7.91358156887759</c:v>
                </c:pt>
                <c:pt idx="34">
                  <c:v>7.81460714953096</c:v>
                </c:pt>
                <c:pt idx="35">
                  <c:v>7.71687059392527</c:v>
                </c:pt>
              </c:numCache>
            </c:numRef>
          </c:yVal>
          <c:smooth val="1"/>
        </c:ser>
        <c:axId val="19864243"/>
        <c:axId val="1382470"/>
      </c:scatterChart>
      <c:valAx>
        <c:axId val="19864243"/>
        <c:scaling>
          <c:orientation val="minMax"/>
          <c:max val="40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PFA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ICT (mg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·min/L)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82470"/>
        <c:crosses val="autoZero"/>
        <c:crossBetween val="midCat"/>
        <c:majorUnit val="5"/>
      </c:valAx>
      <c:valAx>
        <c:axId val="1382470"/>
        <c:scaling>
          <c:logBase val="10"/>
          <c:orientation val="minMax"/>
          <c:max val="100000"/>
          <c:min val="1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Viable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Microbes (CFU/100 mL)</a:t>
                </a:r>
              </a:p>
            </c:rich>
          </c:tx>
          <c:layout>
            <c:manualLayout>
              <c:xMode val="edge"/>
              <c:yMode val="edge"/>
              <c:x val="0.0278218731723619"/>
              <c:y val="0.139221231237764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864243"/>
        <c:crosses val="autoZero"/>
        <c:crossBetween val="midCat"/>
        <c:majorUnit val="1"/>
        <c:minorUnit val="9"/>
      </c:valAx>
      <c:spPr>
        <a:solidFill>
          <a:srgbClr val="ffffff"/>
        </a:solidFill>
        <a:ln w="0">
          <a:solidFill>
            <a:srgbClr val="000000"/>
          </a:solidFill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PFA</a:t>
            </a: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 Total coliforms i</a:t>
            </a: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nactivation</a:t>
            </a:r>
          </a:p>
        </c:rich>
      </c:tx>
      <c:layout>
        <c:manualLayout>
          <c:xMode val="edge"/>
          <c:yMode val="edge"/>
          <c:x val="0.247221990141198"/>
          <c:y val="0.019251685882097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00"/>
            </a:solidFill>
            <a:ln w="936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93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'PFA Total Coli Inactivation'!$I$3:$I$38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xVal>
          <c:yVal>
            <c:numRef>
              <c:f>'PFA Total Coli Inactivation'!$J$3:$J$38</c:f>
              <c:numCache>
                <c:formatCode>0.0</c:formatCode>
                <c:ptCount val="36"/>
                <c:pt idx="0">
                  <c:v>99000</c:v>
                </c:pt>
                <c:pt idx="1">
                  <c:v>31917.2199640831</c:v>
                </c:pt>
                <c:pt idx="2">
                  <c:v>8435.17508638196</c:v>
                </c:pt>
                <c:pt idx="3">
                  <c:v>2265.06327236249</c:v>
                </c:pt>
                <c:pt idx="4">
                  <c:v>811.607398387112</c:v>
                </c:pt>
                <c:pt idx="5">
                  <c:v>486.505277948328</c:v>
                </c:pt>
                <c:pt idx="6">
                  <c:v>410.08941894811</c:v>
                </c:pt>
                <c:pt idx="7">
                  <c:v>385.448369851031</c:v>
                </c:pt>
                <c:pt idx="8">
                  <c:v>371.306040961607</c:v>
                </c:pt>
                <c:pt idx="9">
                  <c:v>359.441223718799</c:v>
                </c:pt>
                <c:pt idx="10">
                  <c:v>348.278348875438</c:v>
                </c:pt>
                <c:pt idx="11">
                  <c:v>337.51927790698</c:v>
                </c:pt>
                <c:pt idx="12">
                  <c:v>327.102395807998</c:v>
                </c:pt>
                <c:pt idx="13">
                  <c:v>317.008654839153</c:v>
                </c:pt>
                <c:pt idx="14">
                  <c:v>307.226655902841</c:v>
                </c:pt>
                <c:pt idx="15">
                  <c:v>297.746545079065</c:v>
                </c:pt>
                <c:pt idx="16">
                  <c:v>288.55896933523</c:v>
                </c:pt>
                <c:pt idx="17">
                  <c:v>279.65489598154</c:v>
                </c:pt>
                <c:pt idx="18">
                  <c:v>271.025576061279</c:v>
                </c:pt>
                <c:pt idx="19">
                  <c:v>262.662531360507</c:v>
                </c:pt>
                <c:pt idx="20">
                  <c:v>254.557545395771</c:v>
                </c:pt>
                <c:pt idx="21">
                  <c:v>246.702655237533</c:v>
                </c:pt>
                <c:pt idx="22">
                  <c:v>239.090143671217</c:v>
                </c:pt>
                <c:pt idx="23">
                  <c:v>231.712531612949</c:v>
                </c:pt>
                <c:pt idx="24">
                  <c:v>224.562570761238</c:v>
                </c:pt>
                <c:pt idx="25">
                  <c:v>217.633236475666</c:v>
                </c:pt>
                <c:pt idx="26">
                  <c:v>210.917720875365</c:v>
                </c:pt>
                <c:pt idx="27">
                  <c:v>204.40942615046</c:v>
                </c:pt>
                <c:pt idx="28">
                  <c:v>198.101958079904</c:v>
                </c:pt>
                <c:pt idx="29">
                  <c:v>191.989119749328</c:v>
                </c:pt>
                <c:pt idx="30">
                  <c:v>186.064905462743</c:v>
                </c:pt>
                <c:pt idx="31">
                  <c:v>180.323494842112</c:v>
                </c:pt>
                <c:pt idx="32">
                  <c:v>174.759247108984</c:v>
                </c:pt>
                <c:pt idx="33">
                  <c:v>169.366695542585</c:v>
                </c:pt>
                <c:pt idx="34">
                  <c:v>164.140542108917</c:v>
                </c:pt>
                <c:pt idx="35">
                  <c:v>159.07565225558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"Exp N"</c:f>
              <c:strCache>
                <c:ptCount val="1"/>
                <c:pt idx="0">
                  <c:v>Exp N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'PFA Total Coli Inactivation'!$C$6:$C$18</c:f>
              <c:numCache>
                <c:formatCode>0.00</c:formatCode>
                <c:ptCount val="13"/>
                <c:pt idx="0">
                  <c:v>0</c:v>
                </c:pt>
                <c:pt idx="1">
                  <c:v>0.686406436310531</c:v>
                </c:pt>
                <c:pt idx="2">
                  <c:v>1.99305397968086</c:v>
                </c:pt>
                <c:pt idx="3">
                  <c:v>3.21619260321904</c:v>
                </c:pt>
                <c:pt idx="4">
                  <c:v>5.9428784807779</c:v>
                </c:pt>
                <c:pt idx="5">
                  <c:v>13.2846207787973</c:v>
                </c:pt>
                <c:pt idx="6">
                  <c:v>0</c:v>
                </c:pt>
                <c:pt idx="7">
                  <c:v>1.52256675005619</c:v>
                </c:pt>
                <c:pt idx="8">
                  <c:v>4.47954664551733</c:v>
                </c:pt>
                <c:pt idx="9">
                  <c:v>7.3227629386573</c:v>
                </c:pt>
                <c:pt idx="10">
                  <c:v>13.9613979720855</c:v>
                </c:pt>
                <c:pt idx="11">
                  <c:v>34.8666767235899</c:v>
                </c:pt>
              </c:numCache>
            </c:numRef>
          </c:xVal>
          <c:yVal>
            <c:numRef>
              <c:f>'PFA Total Coli Inactivation'!$B$6:$B$19</c:f>
              <c:numCache>
                <c:formatCode>0</c:formatCode>
                <c:ptCount val="14"/>
                <c:pt idx="0">
                  <c:v>100000</c:v>
                </c:pt>
                <c:pt idx="1">
                  <c:v>66000</c:v>
                </c:pt>
                <c:pt idx="2">
                  <c:v>12400</c:v>
                </c:pt>
                <c:pt idx="3">
                  <c:v>1275</c:v>
                </c:pt>
                <c:pt idx="4">
                  <c:v>440</c:v>
                </c:pt>
                <c:pt idx="5">
                  <c:v>370</c:v>
                </c:pt>
                <c:pt idx="6">
                  <c:v>98000</c:v>
                </c:pt>
                <c:pt idx="7">
                  <c:v>10400</c:v>
                </c:pt>
                <c:pt idx="8">
                  <c:v>840</c:v>
                </c:pt>
                <c:pt idx="9">
                  <c:v>305</c:v>
                </c:pt>
                <c:pt idx="10">
                  <c:v>250</c:v>
                </c:pt>
                <c:pt idx="11">
                  <c:v>165</c:v>
                </c:pt>
              </c:numCache>
            </c:numRef>
          </c:yVal>
          <c:smooth val="1"/>
        </c:ser>
        <c:axId val="63025473"/>
        <c:axId val="11079024"/>
      </c:scatterChart>
      <c:valAx>
        <c:axId val="63025473"/>
        <c:scaling>
          <c:orientation val="minMax"/>
          <c:max val="40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PFA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ICT (mg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·min/L)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079024"/>
        <c:crossesAt val="1"/>
        <c:crossBetween val="midCat"/>
        <c:majorUnit val="5"/>
      </c:valAx>
      <c:valAx>
        <c:axId val="11079024"/>
        <c:scaling>
          <c:logBase val="10"/>
          <c:orientation val="minMax"/>
          <c:max val="100000"/>
          <c:min val="1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Viable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Microbes (CFU/100 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025473"/>
        <c:crosses val="autoZero"/>
        <c:crossBetween val="midCat"/>
        <c:majorUnit val="1"/>
        <c:minorUnit val="9"/>
      </c:valAx>
      <c:spPr>
        <a:solidFill>
          <a:srgbClr val="ffffff"/>
        </a:solidFill>
        <a:ln w="0">
          <a:solidFill>
            <a:srgbClr val="000000"/>
          </a:solidFill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PFA Enterococci </a:t>
            </a: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i</a:t>
            </a: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nactivation</a:t>
            </a:r>
          </a:p>
        </c:rich>
      </c:tx>
      <c:layout>
        <c:manualLayout>
          <c:xMode val="edge"/>
          <c:yMode val="edge"/>
          <c:x val="0.230762803910101"/>
          <c:y val="0.0232760495975636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"Exp N"</c:f>
              <c:strCache>
                <c:ptCount val="1"/>
                <c:pt idx="0">
                  <c:v>Exp N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'PFA Enterococci Inactivation'!$C$6:$C$18</c:f>
              <c:numCache>
                <c:formatCode>0.00</c:formatCode>
                <c:ptCount val="13"/>
                <c:pt idx="0">
                  <c:v>0</c:v>
                </c:pt>
                <c:pt idx="1">
                  <c:v>0.686406436310531</c:v>
                </c:pt>
                <c:pt idx="2">
                  <c:v>1.99305397968086</c:v>
                </c:pt>
                <c:pt idx="3">
                  <c:v>3.21619260321904</c:v>
                </c:pt>
                <c:pt idx="4">
                  <c:v>5.9428784807779</c:v>
                </c:pt>
                <c:pt idx="5">
                  <c:v>13.2846207787973</c:v>
                </c:pt>
                <c:pt idx="6">
                  <c:v>0</c:v>
                </c:pt>
                <c:pt idx="7">
                  <c:v>1.52256675005619</c:v>
                </c:pt>
                <c:pt idx="8">
                  <c:v>4.47954664551733</c:v>
                </c:pt>
                <c:pt idx="9">
                  <c:v>7.3227629386573</c:v>
                </c:pt>
                <c:pt idx="10">
                  <c:v>13.9613979720855</c:v>
                </c:pt>
                <c:pt idx="11">
                  <c:v>34.8666767235899</c:v>
                </c:pt>
              </c:numCache>
            </c:numRef>
          </c:xVal>
          <c:yVal>
            <c:numRef>
              <c:f>'PFA Enterococci Inactivation'!$B$6:$B$19</c:f>
              <c:numCache>
                <c:formatCode>0</c:formatCode>
                <c:ptCount val="14"/>
                <c:pt idx="0">
                  <c:v>775</c:v>
                </c:pt>
                <c:pt idx="1">
                  <c:v>620</c:v>
                </c:pt>
                <c:pt idx="2">
                  <c:v>260</c:v>
                </c:pt>
                <c:pt idx="3">
                  <c:v>158</c:v>
                </c:pt>
                <c:pt idx="4">
                  <c:v>33</c:v>
                </c:pt>
                <c:pt idx="5">
                  <c:v>9</c:v>
                </c:pt>
                <c:pt idx="6">
                  <c:v>800</c:v>
                </c:pt>
                <c:pt idx="7">
                  <c:v>250</c:v>
                </c:pt>
                <c:pt idx="8">
                  <c:v>64</c:v>
                </c:pt>
                <c:pt idx="9">
                  <c:v>20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000000"/>
            </a:solidFill>
            <a:ln w="936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93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'PFA Enterococci Inactivation'!$I$3:$I$38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xVal>
          <c:yVal>
            <c:numRef>
              <c:f>'PFA Enterococci Inactivation'!$J$3:$J$38</c:f>
              <c:numCache>
                <c:formatCode>0.0</c:formatCode>
                <c:ptCount val="36"/>
                <c:pt idx="0">
                  <c:v>787.5</c:v>
                </c:pt>
                <c:pt idx="1">
                  <c:v>398.327071178076</c:v>
                </c:pt>
                <c:pt idx="2">
                  <c:v>233.360027316438</c:v>
                </c:pt>
                <c:pt idx="3">
                  <c:v>143.019697951958</c:v>
                </c:pt>
                <c:pt idx="4">
                  <c:v>90.1453430095317</c:v>
                </c:pt>
                <c:pt idx="5">
                  <c:v>58.0194120222848</c:v>
                </c:pt>
                <c:pt idx="6">
                  <c:v>38.0004326245033</c:v>
                </c:pt>
                <c:pt idx="7">
                  <c:v>25.2896688609647</c:v>
                </c:pt>
                <c:pt idx="8">
                  <c:v>17.0993195973751</c:v>
                </c:pt>
                <c:pt idx="9">
                  <c:v>11.7577906875893</c:v>
                </c:pt>
                <c:pt idx="10">
                  <c:v>8.23871406942514</c:v>
                </c:pt>
                <c:pt idx="11">
                  <c:v>5.9000274574731</c:v>
                </c:pt>
                <c:pt idx="12">
                  <c:v>4.33393297608358</c:v>
                </c:pt>
                <c:pt idx="13">
                  <c:v>3.2781164193971</c:v>
                </c:pt>
                <c:pt idx="14">
                  <c:v>2.56200992295354</c:v>
                </c:pt>
                <c:pt idx="15">
                  <c:v>2.07365762178479</c:v>
                </c:pt>
                <c:pt idx="16">
                  <c:v>1.73896642311799</c:v>
                </c:pt>
                <c:pt idx="17">
                  <c:v>1.50854025804911</c:v>
                </c:pt>
                <c:pt idx="18">
                  <c:v>1.34923055773676</c:v>
                </c:pt>
                <c:pt idx="19">
                  <c:v>1.23865921322021</c:v>
                </c:pt>
                <c:pt idx="20">
                  <c:v>1.16163687623306</c:v>
                </c:pt>
                <c:pt idx="21">
                  <c:v>1.10780218981144</c:v>
                </c:pt>
                <c:pt idx="22">
                  <c:v>1.0700546774696</c:v>
                </c:pt>
                <c:pt idx="23">
                  <c:v>1.04350775546065</c:v>
                </c:pt>
                <c:pt idx="24">
                  <c:v>1.02478511654101</c:v>
                </c:pt>
                <c:pt idx="25">
                  <c:v>1.01154531444466</c:v>
                </c:pt>
                <c:pt idx="26">
                  <c:v>1.00215893461992</c:v>
                </c:pt>
                <c:pt idx="27">
                  <c:v>0.995488364375832</c:v>
                </c:pt>
                <c:pt idx="28">
                  <c:v>0.990736908576074</c:v>
                </c:pt>
                <c:pt idx="29">
                  <c:v>0.98734500015064</c:v>
                </c:pt>
                <c:pt idx="30">
                  <c:v>0.984918537180368</c:v>
                </c:pt>
                <c:pt idx="31">
                  <c:v>0.983179227175788</c:v>
                </c:pt>
                <c:pt idx="32">
                  <c:v>0.981930065577581</c:v>
                </c:pt>
                <c:pt idx="33">
                  <c:v>0.981031260223374</c:v>
                </c:pt>
                <c:pt idx="34">
                  <c:v>0.980383390813333</c:v>
                </c:pt>
                <c:pt idx="35">
                  <c:v>0.979915595812721</c:v>
                </c:pt>
              </c:numCache>
            </c:numRef>
          </c:yVal>
          <c:smooth val="1"/>
        </c:ser>
        <c:axId val="8177385"/>
        <c:axId val="58801144"/>
      </c:scatterChart>
      <c:valAx>
        <c:axId val="8177385"/>
        <c:scaling>
          <c:orientation val="minMax"/>
          <c:max val="40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PFA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ICT (mg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·min/L)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801144"/>
        <c:crosses val="autoZero"/>
        <c:crossBetween val="midCat"/>
        <c:majorUnit val="5"/>
      </c:valAx>
      <c:valAx>
        <c:axId val="58801144"/>
        <c:scaling>
          <c:logBase val="10"/>
          <c:orientation val="minMax"/>
          <c:max val="100000"/>
          <c:min val="1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Viable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Microbes (CFU/100 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77385"/>
        <c:crosses val="autoZero"/>
        <c:crossBetween val="midCat"/>
        <c:majorUnit val="1"/>
        <c:minorUnit val="9"/>
      </c:valAx>
      <c:spPr>
        <a:solidFill>
          <a:srgbClr val="ffffff"/>
        </a:solidFill>
        <a:ln w="0">
          <a:solidFill>
            <a:srgbClr val="000000"/>
          </a:solidFill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PAA </a:t>
            </a:r>
            <a:r>
              <a:rPr lang="en-US" sz="1800" b="1" i="1" u="none" strike="noStrike">
                <a:solidFill>
                  <a:srgbClr val="000000"/>
                </a:solidFill>
                <a:uFillTx/>
                <a:latin typeface="Calibri"/>
              </a:rPr>
              <a:t>E. coli</a:t>
            </a: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 inactivation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"Exp N"</c:f>
              <c:strCache>
                <c:ptCount val="1"/>
                <c:pt idx="0">
                  <c:v>Exp N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'PAA EColi Inactivation'!$C$6:$C$17</c:f>
              <c:numCache>
                <c:formatCode>0.00</c:formatCode>
                <c:ptCount val="12"/>
                <c:pt idx="0">
                  <c:v>0</c:v>
                </c:pt>
                <c:pt idx="1">
                  <c:v>1.60039589057475</c:v>
                </c:pt>
                <c:pt idx="2">
                  <c:v>4.75741633861786</c:v>
                </c:pt>
                <c:pt idx="3">
                  <c:v>7.85696111719723</c:v>
                </c:pt>
                <c:pt idx="4">
                  <c:v>15.3611871026567</c:v>
                </c:pt>
                <c:pt idx="5">
                  <c:v>42.1569836596603</c:v>
                </c:pt>
                <c:pt idx="6">
                  <c:v>0</c:v>
                </c:pt>
                <c:pt idx="7">
                  <c:v>3.44475137706018</c:v>
                </c:pt>
                <c:pt idx="8">
                  <c:v>10.2839595674637</c:v>
                </c:pt>
                <c:pt idx="9">
                  <c:v>17.0566520577023</c:v>
                </c:pt>
                <c:pt idx="10">
                  <c:v>33.7016069605542</c:v>
                </c:pt>
                <c:pt idx="11">
                  <c:v>96.3596348614606</c:v>
                </c:pt>
              </c:numCache>
            </c:numRef>
          </c:xVal>
          <c:yVal>
            <c:numRef>
              <c:f>'PAA EColi Inactivation'!$B$6:$B$17</c:f>
              <c:numCache>
                <c:formatCode>0</c:formatCode>
                <c:ptCount val="12"/>
                <c:pt idx="0">
                  <c:v>1650</c:v>
                </c:pt>
                <c:pt idx="1">
                  <c:v>1400</c:v>
                </c:pt>
                <c:pt idx="2">
                  <c:v>1750</c:v>
                </c:pt>
                <c:pt idx="3">
                  <c:v>1000</c:v>
                </c:pt>
                <c:pt idx="4">
                  <c:v>94</c:v>
                </c:pt>
                <c:pt idx="5">
                  <c:v>1</c:v>
                </c:pt>
                <c:pt idx="6">
                  <c:v>1500</c:v>
                </c:pt>
                <c:pt idx="7">
                  <c:v>2375</c:v>
                </c:pt>
                <c:pt idx="8">
                  <c:v>360</c:v>
                </c:pt>
                <c:pt idx="9">
                  <c:v>20</c:v>
                </c:pt>
                <c:pt idx="10">
                  <c:v>2</c:v>
                </c:pt>
                <c:pt idx="11">
                  <c:v>3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000000"/>
            </a:solidFill>
            <a:ln w="936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93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'PAA EColi Inactivation'!$I$3:$I$100</c:f>
              <c:numCache>
                <c:formatCode>General</c:formatCode>
                <c:ptCount val="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</c:numCache>
            </c:numRef>
          </c:xVal>
          <c:yVal>
            <c:numRef>
              <c:f>'PAA EColi Inactivation'!$J$3:$J$100</c:f>
              <c:numCache>
                <c:formatCode>0.0</c:formatCode>
                <c:ptCount val="98"/>
                <c:pt idx="0">
                  <c:v>1575</c:v>
                </c:pt>
                <c:pt idx="1">
                  <c:v>1572.00599560995</c:v>
                </c:pt>
                <c:pt idx="2">
                  <c:v>1555.40126914697</c:v>
                </c:pt>
                <c:pt idx="3">
                  <c:v>1516.73050233981</c:v>
                </c:pt>
                <c:pt idx="4">
                  <c:v>1450.42315241666</c:v>
                </c:pt>
                <c:pt idx="5">
                  <c:v>1354.09101713924</c:v>
                </c:pt>
                <c:pt idx="6">
                  <c:v>1229.0018736424</c:v>
                </c:pt>
                <c:pt idx="7">
                  <c:v>1080.18406159317</c:v>
                </c:pt>
                <c:pt idx="8">
                  <c:v>915.919169834561</c:v>
                </c:pt>
                <c:pt idx="9">
                  <c:v>746.582842962205</c:v>
                </c:pt>
                <c:pt idx="10">
                  <c:v>583.011942567048</c:v>
                </c:pt>
                <c:pt idx="11">
                  <c:v>434.757452734327</c:v>
                </c:pt>
                <c:pt idx="12">
                  <c:v>308.653450474567</c:v>
                </c:pt>
                <c:pt idx="13">
                  <c:v>208.052054272805</c:v>
                </c:pt>
                <c:pt idx="14">
                  <c:v>132.865229420642</c:v>
                </c:pt>
                <c:pt idx="15">
                  <c:v>80.3003975982912</c:v>
                </c:pt>
                <c:pt idx="16">
                  <c:v>45.983394090793</c:v>
                </c:pt>
                <c:pt idx="17">
                  <c:v>25.102360378264</c:v>
                </c:pt>
                <c:pt idx="18">
                  <c:v>13.2845652093535</c:v>
                </c:pt>
                <c:pt idx="19">
                  <c:v>7.07677743711344</c:v>
                </c:pt>
                <c:pt idx="20">
                  <c:v>4.05683010979423</c:v>
                </c:pt>
                <c:pt idx="21">
                  <c:v>2.69929711456891</c:v>
                </c:pt>
                <c:pt idx="22">
                  <c:v>2.13669331563145</c:v>
                </c:pt>
                <c:pt idx="23">
                  <c:v>1.92222668971886</c:v>
                </c:pt>
                <c:pt idx="24">
                  <c:v>1.84719938321365</c:v>
                </c:pt>
                <c:pt idx="25">
                  <c:v>1.82316814436788</c:v>
                </c:pt>
                <c:pt idx="26">
                  <c:v>1.8161370409737</c:v>
                </c:pt>
                <c:pt idx="27">
                  <c:v>1.81426224104819</c:v>
                </c:pt>
                <c:pt idx="28">
                  <c:v>1.81380770800117</c:v>
                </c:pt>
                <c:pt idx="29">
                  <c:v>1.81370774200443</c:v>
                </c:pt>
                <c:pt idx="30">
                  <c:v>1.81368784372534</c:v>
                </c:pt>
                <c:pt idx="31">
                  <c:v>1.81368426722268</c:v>
                </c:pt>
                <c:pt idx="32">
                  <c:v>1.81368368807603</c:v>
                </c:pt>
                <c:pt idx="33">
                  <c:v>1.81368360377816</c:v>
                </c:pt>
                <c:pt idx="34">
                  <c:v>1.81368359277397</c:v>
                </c:pt>
                <c:pt idx="35">
                  <c:v>1.81368359148859</c:v>
                </c:pt>
                <c:pt idx="36">
                  <c:v>1.81368359135454</c:v>
                </c:pt>
                <c:pt idx="37">
                  <c:v>1.81368359134209</c:v>
                </c:pt>
                <c:pt idx="38">
                  <c:v>1.81368359134106</c:v>
                </c:pt>
                <c:pt idx="39">
                  <c:v>1.81368359134099</c:v>
                </c:pt>
                <c:pt idx="40">
                  <c:v>1.81368359134098</c:v>
                </c:pt>
                <c:pt idx="41">
                  <c:v>1.81368359134098</c:v>
                </c:pt>
                <c:pt idx="42">
                  <c:v>1.81368359134098</c:v>
                </c:pt>
                <c:pt idx="43">
                  <c:v>1.81368359134098</c:v>
                </c:pt>
                <c:pt idx="44">
                  <c:v>1.81368359134098</c:v>
                </c:pt>
                <c:pt idx="45">
                  <c:v>1.81368359134098</c:v>
                </c:pt>
                <c:pt idx="46">
                  <c:v>1.81368359134098</c:v>
                </c:pt>
                <c:pt idx="47">
                  <c:v>1.81368359134098</c:v>
                </c:pt>
                <c:pt idx="48">
                  <c:v>1.81368359134098</c:v>
                </c:pt>
                <c:pt idx="49">
                  <c:v>1.81368359134098</c:v>
                </c:pt>
                <c:pt idx="50">
                  <c:v>1.81368359134098</c:v>
                </c:pt>
                <c:pt idx="51">
                  <c:v>1.81368359134098</c:v>
                </c:pt>
                <c:pt idx="52">
                  <c:v>1.81368359134098</c:v>
                </c:pt>
                <c:pt idx="53">
                  <c:v>1.81368359134098</c:v>
                </c:pt>
                <c:pt idx="54">
                  <c:v>1.81368359134098</c:v>
                </c:pt>
                <c:pt idx="55">
                  <c:v>1.81368359134098</c:v>
                </c:pt>
                <c:pt idx="56">
                  <c:v>1.81368359134098</c:v>
                </c:pt>
                <c:pt idx="57">
                  <c:v>1.81368359134098</c:v>
                </c:pt>
                <c:pt idx="58">
                  <c:v>1.81368359134098</c:v>
                </c:pt>
                <c:pt idx="59">
                  <c:v>1.81368359134098</c:v>
                </c:pt>
                <c:pt idx="60">
                  <c:v>1.81368359134098</c:v>
                </c:pt>
                <c:pt idx="61">
                  <c:v>1.81368359134098</c:v>
                </c:pt>
                <c:pt idx="62">
                  <c:v>1.81368359134098</c:v>
                </c:pt>
                <c:pt idx="63">
                  <c:v>1.81368359134098</c:v>
                </c:pt>
                <c:pt idx="64">
                  <c:v>1.81368359134098</c:v>
                </c:pt>
                <c:pt idx="65">
                  <c:v>1.81368359134098</c:v>
                </c:pt>
                <c:pt idx="66">
                  <c:v>1.81368359134098</c:v>
                </c:pt>
                <c:pt idx="67">
                  <c:v>1.81368359134098</c:v>
                </c:pt>
                <c:pt idx="68">
                  <c:v>1.81368359134098</c:v>
                </c:pt>
                <c:pt idx="69">
                  <c:v>1.81368359134098</c:v>
                </c:pt>
                <c:pt idx="70">
                  <c:v>1.81368359134098</c:v>
                </c:pt>
                <c:pt idx="71">
                  <c:v>1.81368359134098</c:v>
                </c:pt>
                <c:pt idx="72">
                  <c:v>1.81368359134098</c:v>
                </c:pt>
                <c:pt idx="73">
                  <c:v>1.81368359134098</c:v>
                </c:pt>
                <c:pt idx="74">
                  <c:v>1.81368359134098</c:v>
                </c:pt>
                <c:pt idx="75">
                  <c:v>1.81368359134098</c:v>
                </c:pt>
                <c:pt idx="76">
                  <c:v>1.81368359134098</c:v>
                </c:pt>
                <c:pt idx="77">
                  <c:v>1.81368359134098</c:v>
                </c:pt>
                <c:pt idx="78">
                  <c:v>1.81368359134098</c:v>
                </c:pt>
                <c:pt idx="79">
                  <c:v>1.81368359134098</c:v>
                </c:pt>
                <c:pt idx="80">
                  <c:v>1.81368359134098</c:v>
                </c:pt>
                <c:pt idx="81">
                  <c:v>1.81368359134098</c:v>
                </c:pt>
                <c:pt idx="82">
                  <c:v>1.81368359134098</c:v>
                </c:pt>
                <c:pt idx="83">
                  <c:v>1.81368359134098</c:v>
                </c:pt>
                <c:pt idx="84">
                  <c:v>1.81368359134098</c:v>
                </c:pt>
                <c:pt idx="85">
                  <c:v>1.81368359134098</c:v>
                </c:pt>
                <c:pt idx="86">
                  <c:v>1.81368359134098</c:v>
                </c:pt>
                <c:pt idx="87">
                  <c:v>1.81368359134098</c:v>
                </c:pt>
                <c:pt idx="88">
                  <c:v>1.81368359134098</c:v>
                </c:pt>
                <c:pt idx="89">
                  <c:v>1.81368359134098</c:v>
                </c:pt>
                <c:pt idx="90">
                  <c:v>1.81368359134098</c:v>
                </c:pt>
                <c:pt idx="91">
                  <c:v>1.81368359134098</c:v>
                </c:pt>
                <c:pt idx="92">
                  <c:v>1.81368359134098</c:v>
                </c:pt>
                <c:pt idx="93">
                  <c:v>1.81368359134098</c:v>
                </c:pt>
                <c:pt idx="94">
                  <c:v>1.81368359134098</c:v>
                </c:pt>
                <c:pt idx="95">
                  <c:v>1.81368359134098</c:v>
                </c:pt>
                <c:pt idx="96">
                  <c:v>1.81368359134098</c:v>
                </c:pt>
                <c:pt idx="97">
                  <c:v>1.81368359134098</c:v>
                </c:pt>
              </c:numCache>
            </c:numRef>
          </c:yVal>
          <c:smooth val="1"/>
        </c:ser>
        <c:axId val="84696367"/>
        <c:axId val="66227066"/>
      </c:scatterChart>
      <c:valAx>
        <c:axId val="84696367"/>
        <c:scaling>
          <c:orientation val="minMax"/>
          <c:max val="100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PAA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ICT (mg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·min/L)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227066"/>
        <c:crosses val="autoZero"/>
        <c:crossBetween val="midCat"/>
        <c:majorUnit val="20"/>
      </c:valAx>
      <c:valAx>
        <c:axId val="66227066"/>
        <c:scaling>
          <c:logBase val="10"/>
          <c:orientation val="minMax"/>
          <c:max val="100000"/>
          <c:min val="1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Viable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Microbes (CFU/100 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696367"/>
        <c:crosses val="autoZero"/>
        <c:crossBetween val="midCat"/>
        <c:majorUnit val="1"/>
        <c:minorUnit val="9"/>
      </c:valAx>
      <c:spPr>
        <a:solidFill>
          <a:srgbClr val="ffffff"/>
        </a:solidFill>
        <a:ln w="0">
          <a:solidFill>
            <a:srgbClr val="000000"/>
          </a:solidFill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PAA Fecal coliforms inactivation</a:t>
            </a:r>
          </a:p>
        </c:rich>
      </c:tx>
      <c:layout>
        <c:manualLayout>
          <c:xMode val="edge"/>
          <c:yMode val="edge"/>
          <c:x val="0.210376806750773"/>
          <c:y val="0.0237111159451816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"Exp N"</c:f>
              <c:strCache>
                <c:ptCount val="1"/>
                <c:pt idx="0">
                  <c:v>Exp N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'PAA Fecal Coli Inactivation'!$C$6:$C$18</c:f>
              <c:numCache>
                <c:formatCode>0.00</c:formatCode>
                <c:ptCount val="13"/>
                <c:pt idx="0">
                  <c:v>0</c:v>
                </c:pt>
                <c:pt idx="1">
                  <c:v>1.60039589057475</c:v>
                </c:pt>
                <c:pt idx="2">
                  <c:v>4.75741633861786</c:v>
                </c:pt>
                <c:pt idx="3">
                  <c:v>7.85696111719723</c:v>
                </c:pt>
                <c:pt idx="4">
                  <c:v>15.3611871026567</c:v>
                </c:pt>
                <c:pt idx="5">
                  <c:v>42.1569836596603</c:v>
                </c:pt>
                <c:pt idx="6">
                  <c:v>0</c:v>
                </c:pt>
                <c:pt idx="7">
                  <c:v>3.44475137706018</c:v>
                </c:pt>
                <c:pt idx="8">
                  <c:v>10.2839595674637</c:v>
                </c:pt>
                <c:pt idx="9">
                  <c:v>17.0566520577023</c:v>
                </c:pt>
                <c:pt idx="10">
                  <c:v>33.7016069605542</c:v>
                </c:pt>
                <c:pt idx="11">
                  <c:v>96.3596348614606</c:v>
                </c:pt>
              </c:numCache>
            </c:numRef>
          </c:xVal>
          <c:yVal>
            <c:numRef>
              <c:f>'PAA Fecal Coli Inactivation'!$B$6:$B$19</c:f>
              <c:numCache>
                <c:formatCode>0</c:formatCode>
                <c:ptCount val="14"/>
                <c:pt idx="0">
                  <c:v>6500</c:v>
                </c:pt>
                <c:pt idx="1">
                  <c:v>4300</c:v>
                </c:pt>
                <c:pt idx="2">
                  <c:v>5200</c:v>
                </c:pt>
                <c:pt idx="3">
                  <c:v>3250</c:v>
                </c:pt>
                <c:pt idx="4">
                  <c:v>2700</c:v>
                </c:pt>
                <c:pt idx="5">
                  <c:v>65</c:v>
                </c:pt>
                <c:pt idx="6">
                  <c:v>4200</c:v>
                </c:pt>
                <c:pt idx="7">
                  <c:v>5650</c:v>
                </c:pt>
                <c:pt idx="8">
                  <c:v>4700</c:v>
                </c:pt>
                <c:pt idx="9">
                  <c:v>418</c:v>
                </c:pt>
                <c:pt idx="10">
                  <c:v>63</c:v>
                </c:pt>
                <c:pt idx="11">
                  <c:v>8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000000"/>
            </a:solidFill>
            <a:ln w="936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93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'PAA Fecal Coli Inactivation'!$I$3:$I$100</c:f>
              <c:numCache>
                <c:formatCode>General</c:formatCode>
                <c:ptCount val="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</c:numCache>
            </c:numRef>
          </c:xVal>
          <c:yVal>
            <c:numRef>
              <c:f>'PAA Fecal Coli Inactivation'!$J$3:$J$100</c:f>
              <c:numCache>
                <c:formatCode>0.0</c:formatCode>
                <c:ptCount val="98"/>
                <c:pt idx="0">
                  <c:v>5350</c:v>
                </c:pt>
                <c:pt idx="1">
                  <c:v>5341.55007797627</c:v>
                </c:pt>
                <c:pt idx="2">
                  <c:v>5333.18984904182</c:v>
                </c:pt>
                <c:pt idx="3">
                  <c:v>5323.82369238601</c:v>
                </c:pt>
                <c:pt idx="4">
                  <c:v>5310.54597999621</c:v>
                </c:pt>
                <c:pt idx="5">
                  <c:v>5287.69333721512</c:v>
                </c:pt>
                <c:pt idx="6">
                  <c:v>5245.96632312605</c:v>
                </c:pt>
                <c:pt idx="7">
                  <c:v>5171.79608086624</c:v>
                </c:pt>
                <c:pt idx="8">
                  <c:v>5047.29300900173</c:v>
                </c:pt>
                <c:pt idx="9">
                  <c:v>4851.31746253637</c:v>
                </c:pt>
                <c:pt idx="10">
                  <c:v>4562.36049215228</c:v>
                </c:pt>
                <c:pt idx="11">
                  <c:v>4163.80303276447</c:v>
                </c:pt>
                <c:pt idx="12">
                  <c:v>3651.41477807265</c:v>
                </c:pt>
                <c:pt idx="13">
                  <c:v>3041.41209067497</c:v>
                </c:pt>
                <c:pt idx="14">
                  <c:v>2375.30086580743</c:v>
                </c:pt>
                <c:pt idx="15">
                  <c:v>1716.46409115529</c:v>
                </c:pt>
                <c:pt idx="16">
                  <c:v>1135.3641400435</c:v>
                </c:pt>
                <c:pt idx="17">
                  <c:v>686.67533942354</c:v>
                </c:pt>
                <c:pt idx="18">
                  <c:v>389.646950184808</c:v>
                </c:pt>
                <c:pt idx="19">
                  <c:v>224.677361213926</c:v>
                </c:pt>
                <c:pt idx="20">
                  <c:v>149.062046247609</c:v>
                </c:pt>
                <c:pt idx="21">
                  <c:v>120.101962889273</c:v>
                </c:pt>
                <c:pt idx="22">
                  <c:v>109.596805006763</c:v>
                </c:pt>
                <c:pt idx="23">
                  <c:v>104.522391128835</c:v>
                </c:pt>
                <c:pt idx="24">
                  <c:v>100.667173184306</c:v>
                </c:pt>
                <c:pt idx="25">
                  <c:v>97.0937802892571</c:v>
                </c:pt>
                <c:pt idx="26">
                  <c:v>93.6600024621584</c:v>
                </c:pt>
                <c:pt idx="27">
                  <c:v>90.3483851309699</c:v>
                </c:pt>
                <c:pt idx="28">
                  <c:v>87.1538835239949</c:v>
                </c:pt>
                <c:pt idx="29">
                  <c:v>84.0723322517796</c:v>
                </c:pt>
                <c:pt idx="30">
                  <c:v>81.0997372098962</c:v>
                </c:pt>
                <c:pt idx="31">
                  <c:v>78.2322459643268</c:v>
                </c:pt>
                <c:pt idx="32">
                  <c:v>75.4661422981293</c:v>
                </c:pt>
                <c:pt idx="33">
                  <c:v>72.7978413908561</c:v>
                </c:pt>
                <c:pt idx="34">
                  <c:v>70.2238851726705</c:v>
                </c:pt>
                <c:pt idx="35">
                  <c:v>67.7409378427507</c:v>
                </c:pt>
                <c:pt idx="36">
                  <c:v>65.3457815461524</c:v>
                </c:pt>
                <c:pt idx="37">
                  <c:v>63.0353122035264</c:v>
                </c:pt>
                <c:pt idx="38">
                  <c:v>60.8065354882883</c:v>
                </c:pt>
                <c:pt idx="39">
                  <c:v>58.6565629460247</c:v>
                </c:pt>
                <c:pt idx="40">
                  <c:v>56.5826082511086</c:v>
                </c:pt>
                <c:pt idx="41">
                  <c:v>54.5819835956721</c:v>
                </c:pt>
                <c:pt idx="42">
                  <c:v>52.6520962062552</c:v>
                </c:pt>
                <c:pt idx="43">
                  <c:v>50.7904449836185</c:v>
                </c:pt>
                <c:pt idx="44">
                  <c:v>48.9946172613638</c:v>
                </c:pt>
                <c:pt idx="45">
                  <c:v>47.2622856791618</c:v>
                </c:pt>
                <c:pt idx="46">
                  <c:v>45.5912051665352</c:v>
                </c:pt>
                <c:pt idx="47">
                  <c:v>43.9792100332877</c:v>
                </c:pt>
                <c:pt idx="48">
                  <c:v>42.424211162809</c:v>
                </c:pt>
                <c:pt idx="49">
                  <c:v>40.9241933046167</c:v>
                </c:pt>
                <c:pt idx="50">
                  <c:v>39.4772124626287</c:v>
                </c:pt>
                <c:pt idx="51">
                  <c:v>38.081393375779</c:v>
                </c:pt>
                <c:pt idx="52">
                  <c:v>36.734927087713</c:v>
                </c:pt>
                <c:pt idx="53">
                  <c:v>35.4360686024133</c:v>
                </c:pt>
                <c:pt idx="54">
                  <c:v>34.1831346227158</c:v>
                </c:pt>
                <c:pt idx="55">
                  <c:v>32.9745013687871</c:v>
                </c:pt>
                <c:pt idx="56">
                  <c:v>31.8086024737352</c:v>
                </c:pt>
                <c:pt idx="57">
                  <c:v>30.6839269536263</c:v>
                </c:pt>
                <c:pt idx="58">
                  <c:v>29.5990172492768</c:v>
                </c:pt>
                <c:pt idx="59">
                  <c:v>28.5524673372827</c:v>
                </c:pt>
                <c:pt idx="60">
                  <c:v>27.5429209078391</c:v>
                </c:pt>
                <c:pt idx="61">
                  <c:v>26.5690696069867</c:v>
                </c:pt>
                <c:pt idx="62">
                  <c:v>25.6296513410092</c:v>
                </c:pt>
                <c:pt idx="63">
                  <c:v>24.7234486407817</c:v>
                </c:pt>
                <c:pt idx="64">
                  <c:v>23.849287083954</c:v>
                </c:pt>
                <c:pt idx="65">
                  <c:v>23.006033772919</c:v>
                </c:pt>
                <c:pt idx="66">
                  <c:v>22.192595866599</c:v>
                </c:pt>
                <c:pt idx="67">
                  <c:v>21.4079191641427</c:v>
                </c:pt>
                <c:pt idx="68">
                  <c:v>20.6509867387002</c:v>
                </c:pt>
                <c:pt idx="69">
                  <c:v>19.920817619504</c:v>
                </c:pt>
                <c:pt idx="70">
                  <c:v>19.2164655205487</c:v>
                </c:pt>
                <c:pt idx="71">
                  <c:v>18.5370176142214</c:v>
                </c:pt>
                <c:pt idx="72">
                  <c:v>17.8815933482934</c:v>
                </c:pt>
                <c:pt idx="73">
                  <c:v>17.2493433047408</c:v>
                </c:pt>
                <c:pt idx="74">
                  <c:v>16.6394480989135</c:v>
                </c:pt>
                <c:pt idx="75">
                  <c:v>16.0511173176281</c:v>
                </c:pt>
                <c:pt idx="76">
                  <c:v>15.4835884948061</c:v>
                </c:pt>
                <c:pt idx="77">
                  <c:v>14.936126123332</c:v>
                </c:pt>
                <c:pt idx="78">
                  <c:v>14.4080207018492</c:v>
                </c:pt>
                <c:pt idx="79">
                  <c:v>13.8985878152591</c:v>
                </c:pt>
                <c:pt idx="80">
                  <c:v>13.4071672477314</c:v>
                </c:pt>
                <c:pt idx="81">
                  <c:v>12.9331221270764</c:v>
                </c:pt>
                <c:pt idx="82">
                  <c:v>12.47583809937</c:v>
                </c:pt>
                <c:pt idx="83">
                  <c:v>12.0347225327622</c:v>
                </c:pt>
                <c:pt idx="84">
                  <c:v>11.6092037494369</c:v>
                </c:pt>
                <c:pt idx="85">
                  <c:v>11.1987302847279</c:v>
                </c:pt>
                <c:pt idx="86">
                  <c:v>10.8027701724301</c:v>
                </c:pt>
                <c:pt idx="87">
                  <c:v>10.4208102553816</c:v>
                </c:pt>
                <c:pt idx="88">
                  <c:v>10.052355520421</c:v>
                </c:pt>
                <c:pt idx="89">
                  <c:v>9.69692845685909</c:v>
                </c:pt>
                <c:pt idx="90">
                  <c:v>9.35406843763373</c:v>
                </c:pt>
                <c:pt idx="91">
                  <c:v>9.02333112234562</c:v>
                </c:pt>
                <c:pt idx="92">
                  <c:v>8.70428788140102</c:v>
                </c:pt>
                <c:pt idx="93">
                  <c:v>8.39652524051557</c:v>
                </c:pt>
                <c:pt idx="94">
                  <c:v>8.09964434485907</c:v>
                </c:pt>
                <c:pt idx="95">
                  <c:v>7.8132604421468</c:v>
                </c:pt>
                <c:pt idx="96">
                  <c:v>7.53700238400754</c:v>
                </c:pt>
                <c:pt idx="97">
                  <c:v>7.27051214498195</c:v>
                </c:pt>
              </c:numCache>
            </c:numRef>
          </c:yVal>
          <c:smooth val="1"/>
        </c:ser>
        <c:axId val="17355127"/>
        <c:axId val="91889722"/>
      </c:scatterChart>
      <c:valAx>
        <c:axId val="17355127"/>
        <c:scaling>
          <c:orientation val="minMax"/>
          <c:max val="100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PAA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ICT (mg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·min/L)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889722"/>
        <c:crosses val="autoZero"/>
        <c:crossBetween val="midCat"/>
        <c:majorUnit val="20"/>
      </c:valAx>
      <c:valAx>
        <c:axId val="91889722"/>
        <c:scaling>
          <c:logBase val="10"/>
          <c:orientation val="minMax"/>
          <c:max val="100000"/>
          <c:min val="1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Viable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Microbes (CFU/100 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355127"/>
        <c:crosses val="autoZero"/>
        <c:crossBetween val="midCat"/>
        <c:majorUnit val="1"/>
        <c:minorUnit val="9"/>
      </c:valAx>
      <c:spPr>
        <a:solidFill>
          <a:srgbClr val="ffffff"/>
        </a:solidFill>
        <a:ln w="0">
          <a:solidFill>
            <a:srgbClr val="000000"/>
          </a:solidFill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PAA Total coliforms inactivation</a:t>
            </a:r>
          </a:p>
        </c:rich>
      </c:tx>
      <c:layout>
        <c:manualLayout>
          <c:xMode val="edge"/>
          <c:yMode val="edge"/>
          <c:x val="0.223494026234439"/>
          <c:y val="0.0232760495975636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"Exp N"</c:f>
              <c:strCache>
                <c:ptCount val="1"/>
                <c:pt idx="0">
                  <c:v>Exp N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'PAA Total Coli Inactivation'!$C$6:$C$18</c:f>
              <c:numCache>
                <c:formatCode>0.00</c:formatCode>
                <c:ptCount val="13"/>
                <c:pt idx="0">
                  <c:v>0</c:v>
                </c:pt>
                <c:pt idx="1">
                  <c:v>1.60039589057475</c:v>
                </c:pt>
                <c:pt idx="2">
                  <c:v>4.75741633861786</c:v>
                </c:pt>
                <c:pt idx="3">
                  <c:v>7.85696111719723</c:v>
                </c:pt>
                <c:pt idx="4">
                  <c:v>15.3611871026567</c:v>
                </c:pt>
                <c:pt idx="5">
                  <c:v>42.1569836596603</c:v>
                </c:pt>
                <c:pt idx="6">
                  <c:v>0</c:v>
                </c:pt>
                <c:pt idx="7">
                  <c:v>3.44475137706018</c:v>
                </c:pt>
                <c:pt idx="8">
                  <c:v>10.2839595674637</c:v>
                </c:pt>
                <c:pt idx="9">
                  <c:v>17.0566520577023</c:v>
                </c:pt>
                <c:pt idx="10">
                  <c:v>33.7016069605542</c:v>
                </c:pt>
                <c:pt idx="11">
                  <c:v>96.3596348614606</c:v>
                </c:pt>
              </c:numCache>
            </c:numRef>
          </c:xVal>
          <c:yVal>
            <c:numRef>
              <c:f>'PAA Total Coli Inactivation'!$B$6:$B$19</c:f>
              <c:numCache>
                <c:formatCode>0</c:formatCode>
                <c:ptCount val="14"/>
                <c:pt idx="0">
                  <c:v>124000</c:v>
                </c:pt>
                <c:pt idx="1">
                  <c:v>96000</c:v>
                </c:pt>
                <c:pt idx="2">
                  <c:v>82000</c:v>
                </c:pt>
                <c:pt idx="3">
                  <c:v>58000</c:v>
                </c:pt>
                <c:pt idx="4">
                  <c:v>47000</c:v>
                </c:pt>
                <c:pt idx="5">
                  <c:v>1760</c:v>
                </c:pt>
                <c:pt idx="6">
                  <c:v>96000</c:v>
                </c:pt>
                <c:pt idx="7">
                  <c:v>92000</c:v>
                </c:pt>
                <c:pt idx="8">
                  <c:v>54000</c:v>
                </c:pt>
                <c:pt idx="9">
                  <c:v>15750</c:v>
                </c:pt>
                <c:pt idx="10">
                  <c:v>2650</c:v>
                </c:pt>
                <c:pt idx="11">
                  <c:v>300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000000"/>
            </a:solidFill>
            <a:ln w="936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93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'PAA Total Coli Inactivation'!$I$3:$I$100</c:f>
              <c:numCache>
                <c:formatCode>General</c:formatCode>
                <c:ptCount val="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</c:numCache>
            </c:numRef>
          </c:xVal>
          <c:yVal>
            <c:numRef>
              <c:f>'PAA Total Coli Inactivation'!$J$3:$J$100</c:f>
              <c:numCache>
                <c:formatCode>0.0</c:formatCode>
                <c:ptCount val="98"/>
                <c:pt idx="0">
                  <c:v>110000</c:v>
                </c:pt>
                <c:pt idx="1">
                  <c:v>107944.155733791</c:v>
                </c:pt>
                <c:pt idx="2">
                  <c:v>104061.748119339</c:v>
                </c:pt>
                <c:pt idx="3">
                  <c:v>99053.7473868232</c:v>
                </c:pt>
                <c:pt idx="4">
                  <c:v>93284.696093834</c:v>
                </c:pt>
                <c:pt idx="5">
                  <c:v>87025.4684097815</c:v>
                </c:pt>
                <c:pt idx="6">
                  <c:v>80494.0310237178</c:v>
                </c:pt>
                <c:pt idx="7">
                  <c:v>73869.2786124059</c:v>
                </c:pt>
                <c:pt idx="8">
                  <c:v>67297.3974139736</c:v>
                </c:pt>
                <c:pt idx="9">
                  <c:v>60895.7267713058</c:v>
                </c:pt>
                <c:pt idx="10">
                  <c:v>54755.7644817471</c:v>
                </c:pt>
                <c:pt idx="11">
                  <c:v>48945.9134992174</c:v>
                </c:pt>
                <c:pt idx="12">
                  <c:v>43514.1734866282</c:v>
                </c:pt>
                <c:pt idx="13">
                  <c:v>38490.8187541068</c:v>
                </c:pt>
                <c:pt idx="14">
                  <c:v>33891.0373596217</c:v>
                </c:pt>
                <c:pt idx="15">
                  <c:v>29717.4825437928</c:v>
                </c:pt>
                <c:pt idx="16">
                  <c:v>25962.6847492574</c:v>
                </c:pt>
                <c:pt idx="17">
                  <c:v>22611.2794640365</c:v>
                </c:pt>
                <c:pt idx="18">
                  <c:v>19642.0174164213</c:v>
                </c:pt>
                <c:pt idx="19">
                  <c:v>17029.5361454174</c:v>
                </c:pt>
                <c:pt idx="20">
                  <c:v>14745.8839392611</c:v>
                </c:pt>
                <c:pt idx="21">
                  <c:v>12761.7976286847</c:v>
                </c:pt>
                <c:pt idx="22">
                  <c:v>11047.7442859346</c:v>
                </c:pt>
                <c:pt idx="23">
                  <c:v>9574.74337501715</c:v>
                </c:pt>
                <c:pt idx="24">
                  <c:v>8314.99038648421</c:v>
                </c:pt>
                <c:pt idx="25">
                  <c:v>7242.30566066869</c:v>
                </c:pt>
                <c:pt idx="26">
                  <c:v>6332.43321707495</c:v>
                </c:pt>
                <c:pt idx="27">
                  <c:v>5563.21425606281</c:v>
                </c:pt>
                <c:pt idx="28">
                  <c:v>4914.65887586725</c:v>
                </c:pt>
                <c:pt idx="29">
                  <c:v>4368.93772984748</c:v>
                </c:pt>
                <c:pt idx="30">
                  <c:v>3910.31308219369</c:v>
                </c:pt>
                <c:pt idx="31">
                  <c:v>3525.02621475924</c:v>
                </c:pt>
                <c:pt idx="32">
                  <c:v>3201.15556331492</c:v>
                </c:pt>
                <c:pt idx="33">
                  <c:v>2928.45744948827</c:v>
                </c:pt>
                <c:pt idx="34">
                  <c:v>2698.19891998702</c:v>
                </c:pt>
                <c:pt idx="35">
                  <c:v>2502.9900705736</c:v>
                </c:pt>
                <c:pt idx="36">
                  <c:v>2336.62135491911</c:v>
                </c:pt>
                <c:pt idx="37">
                  <c:v>2193.90977247615</c:v>
                </c:pt>
                <c:pt idx="38">
                  <c:v>2070.55649274151</c:v>
                </c:pt>
                <c:pt idx="39">
                  <c:v>1963.01739151186</c:v>
                </c:pt>
                <c:pt idx="40">
                  <c:v>1868.38712566356</c:v>
                </c:pt>
                <c:pt idx="41">
                  <c:v>1784.29672956469</c:v>
                </c:pt>
                <c:pt idx="42">
                  <c:v>1708.82424933652</c:v>
                </c:pt>
                <c:pt idx="43">
                  <c:v>1640.41761166867</c:v>
                </c:pt>
                <c:pt idx="44">
                  <c:v>1577.82872402393</c:v>
                </c:pt>
                <c:pt idx="45">
                  <c:v>1520.05769750114</c:v>
                </c:pt>
                <c:pt idx="46">
                  <c:v>1466.30604996366</c:v>
                </c:pt>
                <c:pt idx="47">
                  <c:v>1415.93776608487</c:v>
                </c:pt>
                <c:pt idx="48">
                  <c:v>1368.44714670962</c:v>
                </c:pt>
                <c:pt idx="49">
                  <c:v>1323.4324594114</c:v>
                </c:pt>
                <c:pt idx="50">
                  <c:v>1280.57449513476</c:v>
                </c:pt>
                <c:pt idx="51">
                  <c:v>1239.61923457134</c:v>
                </c:pt>
                <c:pt idx="52">
                  <c:v>1200.36392672169</c:v>
                </c:pt>
                <c:pt idx="53">
                  <c:v>1162.64597695001</c:v>
                </c:pt>
                <c:pt idx="54">
                  <c:v>1126.3341301397</c:v>
                </c:pt>
                <c:pt idx="55">
                  <c:v>1091.32151477376</c:v>
                </c:pt>
                <c:pt idx="56">
                  <c:v>1057.52018519033</c:v>
                </c:pt>
                <c:pt idx="57">
                  <c:v>1024.85686178694</c:v>
                </c:pt>
                <c:pt idx="58">
                  <c:v>993.269622874187</c:v>
                </c:pt>
                <c:pt idx="59">
                  <c:v>962.705347786111</c:v>
                </c:pt>
                <c:pt idx="60">
                  <c:v>933.117749474997</c:v>
                </c:pt>
                <c:pt idx="61">
                  <c:v>904.465866962196</c:v>
                </c:pt>
                <c:pt idx="62">
                  <c:v>876.712914506519</c:v>
                </c:pt>
                <c:pt idx="63">
                  <c:v>849.825405982686</c:v>
                </c:pt>
                <c:pt idx="64">
                  <c:v>823.772490474439</c:v>
                </c:pt>
                <c:pt idx="65">
                  <c:v>798.525449150224</c:v>
                </c:pt>
                <c:pt idx="66">
                  <c:v>774.057314696897</c:v>
                </c:pt>
                <c:pt idx="67">
                  <c:v>750.342583453774</c:v>
                </c:pt>
                <c:pt idx="68">
                  <c:v>727.356997355759</c:v>
                </c:pt>
                <c:pt idx="69">
                  <c:v>705.077378231162</c:v>
                </c:pt>
                <c:pt idx="70">
                  <c:v>683.481501215996</c:v>
                </c:pt>
                <c:pt idx="71">
                  <c:v>662.547997295785</c:v>
                </c:pt>
                <c:pt idx="72">
                  <c:v>642.25627747527</c:v>
                </c:pt>
                <c:pt idx="73">
                  <c:v>622.586472972433</c:v>
                </c:pt>
                <c:pt idx="74">
                  <c:v>603.519387269424</c:v>
                </c:pt>
                <c:pt idx="75">
                  <c:v>585.036456934861</c:v>
                </c:pt>
                <c:pt idx="76">
                  <c:v>567.119718942658</c:v>
                </c:pt>
                <c:pt idx="77">
                  <c:v>549.751782816952</c:v>
                </c:pt>
                <c:pt idx="78">
                  <c:v>532.915806380991</c:v>
                </c:pt>
                <c:pt idx="79">
                  <c:v>516.595474218812</c:v>
                </c:pt>
                <c:pt idx="80">
                  <c:v>500.774978201637</c:v>
                </c:pt>
                <c:pt idx="81">
                  <c:v>485.438999608776</c:v>
                </c:pt>
                <c:pt idx="82">
                  <c:v>470.572692502238</c:v>
                </c:pt>
                <c:pt idx="83">
                  <c:v>456.161668108142</c:v>
                </c:pt>
                <c:pt idx="84">
                  <c:v>442.191980025773</c:v>
                </c:pt>
                <c:pt idx="85">
                  <c:v>428.650110133878</c:v>
                </c:pt>
                <c:pt idx="86">
                  <c:v>415.522955098734</c:v>
                </c:pt>
                <c:pt idx="87">
                  <c:v>402.79781341348</c:v>
                </c:pt>
                <c:pt idx="88">
                  <c:v>390.462372916011</c:v>
                </c:pt>
                <c:pt idx="89">
                  <c:v>378.504698745354</c:v>
                </c:pt>
                <c:pt idx="90">
                  <c:v>366.913221705472</c:v>
                </c:pt>
                <c:pt idx="91">
                  <c:v>355.676727011811</c:v>
                </c:pt>
                <c:pt idx="92">
                  <c:v>344.784343400457</c:v>
                </c:pt>
                <c:pt idx="93">
                  <c:v>334.225532583027</c:v>
                </c:pt>
                <c:pt idx="94">
                  <c:v>323.990079032758</c:v>
                </c:pt>
                <c:pt idx="95">
                  <c:v>314.068080088953</c:v>
                </c:pt>
                <c:pt idx="96">
                  <c:v>304.449936368223</c:v>
                </c:pt>
                <c:pt idx="97">
                  <c:v>295.126342471874</c:v>
                </c:pt>
              </c:numCache>
            </c:numRef>
          </c:yVal>
          <c:smooth val="1"/>
        </c:ser>
        <c:axId val="60115534"/>
        <c:axId val="32083516"/>
      </c:scatterChart>
      <c:valAx>
        <c:axId val="60115534"/>
        <c:scaling>
          <c:orientation val="minMax"/>
          <c:max val="100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PAA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ICT (mg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·min/L)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083516"/>
        <c:crosses val="autoZero"/>
        <c:crossBetween val="midCat"/>
        <c:majorUnit val="20"/>
      </c:valAx>
      <c:valAx>
        <c:axId val="32083516"/>
        <c:scaling>
          <c:logBase val="10"/>
          <c:orientation val="minMax"/>
          <c:max val="100000"/>
          <c:min val="1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Viable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Microbes (CFU/100 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115534"/>
        <c:crosses val="autoZero"/>
        <c:crossBetween val="midCat"/>
        <c:majorUnit val="1"/>
        <c:minorUnit val="9"/>
      </c:valAx>
      <c:spPr>
        <a:solidFill>
          <a:srgbClr val="ffffff"/>
        </a:solidFill>
        <a:ln w="0">
          <a:solidFill>
            <a:srgbClr val="000000"/>
          </a:solidFill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PAA Enterococci inactivation</a:t>
            </a:r>
          </a:p>
        </c:rich>
      </c:tx>
      <c:layout>
        <c:manualLayout>
          <c:xMode val="edge"/>
          <c:yMode val="edge"/>
          <c:x val="0.249644916033085"/>
          <c:y val="0.0232760495975636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'PAA Enterococci Inactivation'!$C$6:$C$17</c:f>
              <c:numCache>
                <c:formatCode>0.00</c:formatCode>
                <c:ptCount val="12"/>
                <c:pt idx="0">
                  <c:v>0</c:v>
                </c:pt>
                <c:pt idx="1">
                  <c:v>1.60039589057475</c:v>
                </c:pt>
                <c:pt idx="2">
                  <c:v>4.75741633861786</c:v>
                </c:pt>
                <c:pt idx="3">
                  <c:v>7.85696111719723</c:v>
                </c:pt>
                <c:pt idx="4">
                  <c:v>15.3611871026567</c:v>
                </c:pt>
                <c:pt idx="5">
                  <c:v>42.1569836596603</c:v>
                </c:pt>
                <c:pt idx="6">
                  <c:v>0</c:v>
                </c:pt>
                <c:pt idx="7">
                  <c:v>3.44475137706018</c:v>
                </c:pt>
                <c:pt idx="8">
                  <c:v>10.2839595674637</c:v>
                </c:pt>
                <c:pt idx="9">
                  <c:v>17.0566520577023</c:v>
                </c:pt>
                <c:pt idx="10">
                  <c:v>33.7016069605542</c:v>
                </c:pt>
                <c:pt idx="11">
                  <c:v>96.3596348614606</c:v>
                </c:pt>
              </c:numCache>
            </c:numRef>
          </c:xVal>
          <c:yVal>
            <c:numRef>
              <c:f>'PAA Enterococci Inactivation'!$B$6:$B$17</c:f>
              <c:numCache>
                <c:formatCode>0</c:formatCode>
                <c:ptCount val="12"/>
                <c:pt idx="0">
                  <c:v>740</c:v>
                </c:pt>
                <c:pt idx="1">
                  <c:v>740</c:v>
                </c:pt>
                <c:pt idx="2">
                  <c:v>770</c:v>
                </c:pt>
                <c:pt idx="3">
                  <c:v>584</c:v>
                </c:pt>
                <c:pt idx="4">
                  <c:v>260</c:v>
                </c:pt>
                <c:pt idx="5">
                  <c:v>72</c:v>
                </c:pt>
                <c:pt idx="6">
                  <c:v>900</c:v>
                </c:pt>
                <c:pt idx="7">
                  <c:v>730</c:v>
                </c:pt>
                <c:pt idx="8">
                  <c:v>430</c:v>
                </c:pt>
                <c:pt idx="9">
                  <c:v>294</c:v>
                </c:pt>
                <c:pt idx="10">
                  <c:v>75</c:v>
                </c:pt>
                <c:pt idx="11">
                  <c:v>1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000000"/>
            </a:solidFill>
            <a:ln w="936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93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'PAA Enterococci Inactivation'!$I$3:$I$100</c:f>
              <c:numCache>
                <c:formatCode>General</c:formatCode>
                <c:ptCount val="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</c:numCache>
            </c:numRef>
          </c:xVal>
          <c:yVal>
            <c:numRef>
              <c:f>'PAA Enterococci Inactivation'!$J$3:$J$100</c:f>
              <c:numCache>
                <c:formatCode>0.0</c:formatCode>
                <c:ptCount val="98"/>
                <c:pt idx="0">
                  <c:v>820</c:v>
                </c:pt>
                <c:pt idx="1">
                  <c:v>772.17072644948</c:v>
                </c:pt>
                <c:pt idx="2">
                  <c:v>726.503033068331</c:v>
                </c:pt>
                <c:pt idx="3">
                  <c:v>683.316006226564</c:v>
                </c:pt>
                <c:pt idx="4">
                  <c:v>642.579067580629</c:v>
                </c:pt>
                <c:pt idx="5">
                  <c:v>604.198450395599</c:v>
                </c:pt>
                <c:pt idx="6">
                  <c:v>568.060490796412</c:v>
                </c:pt>
                <c:pt idx="7">
                  <c:v>534.046064033569</c:v>
                </c:pt>
                <c:pt idx="8">
                  <c:v>502.036658666333</c:v>
                </c:pt>
                <c:pt idx="9">
                  <c:v>471.917210381466</c:v>
                </c:pt>
                <c:pt idx="10">
                  <c:v>443.577459014996</c:v>
                </c:pt>
                <c:pt idx="11">
                  <c:v>416.912560660121</c:v>
                </c:pt>
                <c:pt idx="12">
                  <c:v>391.823298931834</c:v>
                </c:pt>
                <c:pt idx="13">
                  <c:v>368.21607218554</c:v>
                </c:pt>
                <c:pt idx="14">
                  <c:v>346.002753685303</c:v>
                </c:pt>
                <c:pt idx="15">
                  <c:v>325.100480590481</c:v>
                </c:pt>
                <c:pt idx="16">
                  <c:v>305.431405105817</c:v>
                </c:pt>
                <c:pt idx="17">
                  <c:v>286.922428189514</c:v>
                </c:pt>
                <c:pt idx="18">
                  <c:v>269.504928469549</c:v>
                </c:pt>
                <c:pt idx="19">
                  <c:v>253.114494238699</c:v>
                </c:pt>
                <c:pt idx="20">
                  <c:v>237.690663373811</c:v>
                </c:pt>
                <c:pt idx="21">
                  <c:v>223.176674073154</c:v>
                </c:pt>
                <c:pt idx="22">
                  <c:v>209.519228029058</c:v>
                </c:pt>
                <c:pt idx="23">
                  <c:v>196.668266811079</c:v>
                </c:pt>
                <c:pt idx="24">
                  <c:v>184.57676167853</c:v>
                </c:pt>
                <c:pt idx="25">
                  <c:v>173.200516675494</c:v>
                </c:pt>
                <c:pt idx="26">
                  <c:v>162.49798462473</c:v>
                </c:pt>
                <c:pt idx="27">
                  <c:v>152.430095488329</c:v>
                </c:pt>
                <c:pt idx="28">
                  <c:v>142.960096475078</c:v>
                </c:pt>
                <c:pt idx="29">
                  <c:v>134.053403228454</c:v>
                </c:pt>
                <c:pt idx="30">
                  <c:v>125.677461411934</c:v>
                </c:pt>
                <c:pt idx="31">
                  <c:v>117.801618010828</c:v>
                </c:pt>
                <c:pt idx="32">
                  <c:v>110.397001685691</c:v>
                </c:pt>
                <c:pt idx="33">
                  <c:v>103.43641153697</c:v>
                </c:pt>
                <c:pt idx="34">
                  <c:v>96.8942136706875</c:v>
                </c:pt>
                <c:pt idx="35">
                  <c:v>90.7462449883578</c:v>
                </c:pt>
                <c:pt idx="36">
                  <c:v>84.9697236592346</c:v>
                </c:pt>
                <c:pt idx="37">
                  <c:v>79.5431657683814</c:v>
                </c:pt>
                <c:pt idx="38">
                  <c:v>74.4463076689812</c:v>
                </c:pt>
                <c:pt idx="39">
                  <c:v>69.6600336012848</c:v>
                </c:pt>
                <c:pt idx="40">
                  <c:v>65.1663081732205</c:v>
                </c:pt>
                <c:pt idx="41">
                  <c:v>60.9481133287241</c:v>
                </c:pt>
                <c:pt idx="42">
                  <c:v>56.9893894591476</c:v>
                </c:pt>
                <c:pt idx="43">
                  <c:v>53.2749803406055</c:v>
                </c:pt>
                <c:pt idx="44">
                  <c:v>49.7905816057945</c:v>
                </c:pt>
                <c:pt idx="45">
                  <c:v>46.5226924827108</c:v>
                </c:pt>
                <c:pt idx="46">
                  <c:v>43.4585705548168</c:v>
                </c:pt>
                <c:pt idx="47">
                  <c:v>40.5861893176659</c:v>
                </c:pt>
                <c:pt idx="48">
                  <c:v>37.8941983258391</c:v>
                </c:pt>
                <c:pt idx="49">
                  <c:v>35.3718857413819</c:v>
                </c:pt>
                <c:pt idx="50">
                  <c:v>33.0091431108297</c:v>
                </c:pt>
                <c:pt idx="51">
                  <c:v>30.7964322124867</c:v>
                </c:pt>
                <c:pt idx="52">
                  <c:v>28.7247538289424</c:v>
                </c:pt>
                <c:pt idx="53">
                  <c:v>26.7856183119856</c:v>
                </c:pt>
                <c:pt idx="54">
                  <c:v>24.9710178181776</c:v>
                </c:pt>
                <c:pt idx="55">
                  <c:v>23.2734001034622</c:v>
                </c:pt>
                <c:pt idx="56">
                  <c:v>21.6856437744034</c:v>
                </c:pt>
                <c:pt idx="57">
                  <c:v>20.2010349020174</c:v>
                </c:pt>
                <c:pt idx="58">
                  <c:v>18.8132449117817</c:v>
                </c:pt>
                <c:pt idx="59">
                  <c:v>17.5163096703215</c:v>
                </c:pt>
                <c:pt idx="60">
                  <c:v>16.3046096955572</c:v>
                </c:pt>
                <c:pt idx="61">
                  <c:v>15.1728514227955</c:v>
                </c:pt>
                <c:pt idx="62">
                  <c:v>14.1160494644269</c:v>
                </c:pt>
                <c:pt idx="63">
                  <c:v>13.1295098055837</c:v>
                </c:pt>
                <c:pt idx="64">
                  <c:v>12.2088138823791</c:v>
                </c:pt>
                <c:pt idx="65">
                  <c:v>11.3498034932156</c:v>
                </c:pt>
                <c:pt idx="66">
                  <c:v>10.5485664971665</c:v>
                </c:pt>
                <c:pt idx="67">
                  <c:v>9.80142325662601</c:v>
                </c:pt>
                <c:pt idx="68">
                  <c:v>9.10491378432941</c:v>
                </c:pt>
                <c:pt idx="69">
                  <c:v>8.45578555748459</c:v>
                </c:pt>
                <c:pt idx="70">
                  <c:v>7.85098196416684</c:v>
                </c:pt>
                <c:pt idx="71">
                  <c:v>7.28763134932298</c:v>
                </c:pt>
                <c:pt idx="72">
                  <c:v>6.76303662973803</c:v>
                </c:pt>
                <c:pt idx="73">
                  <c:v>6.27466544915304</c:v>
                </c:pt>
                <c:pt idx="74">
                  <c:v>5.82014084640468</c:v>
                </c:pt>
                <c:pt idx="75">
                  <c:v>5.39723241100228</c:v>
                </c:pt>
                <c:pt idx="76">
                  <c:v>5.0038479019789</c:v>
                </c:pt>
                <c:pt idx="77">
                  <c:v>4.63802530716388</c:v>
                </c:pt>
                <c:pt idx="78">
                  <c:v>4.29792532123549</c:v>
                </c:pt>
                <c:pt idx="79">
                  <c:v>3.98182422203445</c:v>
                </c:pt>
                <c:pt idx="80">
                  <c:v>3.68810712566142</c:v>
                </c:pt>
                <c:pt idx="81">
                  <c:v>3.41526160185151</c:v>
                </c:pt>
                <c:pt idx="82">
                  <c:v>3.16187163202484</c:v>
                </c:pt>
                <c:pt idx="83">
                  <c:v>2.92661189325943</c:v>
                </c:pt>
                <c:pt idx="84">
                  <c:v>2.70824235222764</c:v>
                </c:pt>
                <c:pt idx="85">
                  <c:v>2.50560315388512</c:v>
                </c:pt>
                <c:pt idx="86">
                  <c:v>2.31760979040551</c:v>
                </c:pt>
                <c:pt idx="87">
                  <c:v>2.14324853652008</c:v>
                </c:pt>
                <c:pt idx="88">
                  <c:v>1.98157213805155</c:v>
                </c:pt>
                <c:pt idx="89">
                  <c:v>1.83169574102924</c:v>
                </c:pt>
                <c:pt idx="90">
                  <c:v>1.69279304934087</c:v>
                </c:pt>
                <c:pt idx="91">
                  <c:v>1.5640926994173</c:v>
                </c:pt>
                <c:pt idx="92">
                  <c:v>1.4448748409625</c:v>
                </c:pt>
                <c:pt idx="93">
                  <c:v>1.33446791323336</c:v>
                </c:pt>
                <c:pt idx="94">
                  <c:v>1.23224560684534</c:v>
                </c:pt>
                <c:pt idx="95">
                  <c:v>1.1376240015304</c:v>
                </c:pt>
                <c:pt idx="96">
                  <c:v>1.0500588707057</c:v>
                </c:pt>
                <c:pt idx="97">
                  <c:v>0.969043144125805</c:v>
                </c:pt>
              </c:numCache>
            </c:numRef>
          </c:yVal>
          <c:smooth val="1"/>
        </c:ser>
        <c:axId val="23886779"/>
        <c:axId val="17933650"/>
      </c:scatterChart>
      <c:valAx>
        <c:axId val="23886779"/>
        <c:scaling>
          <c:orientation val="minMax"/>
          <c:max val="100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PAA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ICT (mg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·min/L)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933650"/>
        <c:crosses val="autoZero"/>
        <c:crossBetween val="midCat"/>
        <c:majorUnit val="20"/>
      </c:valAx>
      <c:valAx>
        <c:axId val="17933650"/>
        <c:scaling>
          <c:logBase val="10"/>
          <c:orientation val="minMax"/>
          <c:max val="100000"/>
          <c:min val="1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Viable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Microbes (CFU/100 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886779"/>
        <c:crosses val="autoZero"/>
        <c:crossBetween val="midCat"/>
        <c:majorUnit val="1"/>
        <c:minorUnit val="9"/>
      </c:valAx>
      <c:spPr>
        <a:solidFill>
          <a:srgbClr val="ffffff"/>
        </a:solidFill>
        <a:ln w="0">
          <a:solidFill>
            <a:srgbClr val="000000"/>
          </a:solidFill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Cl2 </a:t>
            </a:r>
            <a:r>
              <a:rPr lang="en-US" sz="1800" b="1" i="1" u="none" strike="noStrike">
                <a:solidFill>
                  <a:srgbClr val="000000"/>
                </a:solidFill>
                <a:uFillTx/>
                <a:latin typeface="Calibri"/>
              </a:rPr>
              <a:t>E. coli</a:t>
            </a: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 inactivation</a:t>
            </a:r>
          </a:p>
        </c:rich>
      </c:tx>
      <c:layout>
        <c:manualLayout>
          <c:xMode val="edge"/>
          <c:yMode val="edge"/>
          <c:x val="0.296348901328432"/>
          <c:y val="0.0237111159451816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"Exp N"</c:f>
              <c:strCache>
                <c:ptCount val="1"/>
                <c:pt idx="0">
                  <c:v>Exp N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'Cl2 EColi Inactivation'!$C$6:$C$17</c:f>
              <c:numCache>
                <c:formatCode>0.00</c:formatCode>
                <c:ptCount val="12"/>
                <c:pt idx="0">
                  <c:v>0</c:v>
                </c:pt>
                <c:pt idx="1">
                  <c:v>0.684776206089502</c:v>
                </c:pt>
                <c:pt idx="2">
                  <c:v>2.02778230502292</c:v>
                </c:pt>
                <c:pt idx="3">
                  <c:v>3.33615479318031</c:v>
                </c:pt>
                <c:pt idx="4">
                  <c:v>6.46136863637114</c:v>
                </c:pt>
                <c:pt idx="5">
                  <c:v>17.1072320480654</c:v>
                </c:pt>
                <c:pt idx="6">
                  <c:v>0</c:v>
                </c:pt>
                <c:pt idx="7">
                  <c:v>2.08266397961124</c:v>
                </c:pt>
                <c:pt idx="8">
                  <c:v>6.02902299114646</c:v>
                </c:pt>
                <c:pt idx="9">
                  <c:v>9.70042608960744</c:v>
                </c:pt>
                <c:pt idx="10">
                  <c:v>17.7984584320269</c:v>
                </c:pt>
                <c:pt idx="11">
                  <c:v>38.846848099475</c:v>
                </c:pt>
              </c:numCache>
            </c:numRef>
          </c:xVal>
          <c:yVal>
            <c:numRef>
              <c:f>'Cl2 EColi Inactivation'!$B$6:$B$17</c:f>
              <c:numCache>
                <c:formatCode>0</c:formatCode>
                <c:ptCount val="12"/>
                <c:pt idx="0">
                  <c:v>1975</c:v>
                </c:pt>
                <c:pt idx="1">
                  <c:v>68</c:v>
                </c:pt>
                <c:pt idx="2">
                  <c:v>64</c:v>
                </c:pt>
                <c:pt idx="3">
                  <c:v>56</c:v>
                </c:pt>
                <c:pt idx="4">
                  <c:v>25</c:v>
                </c:pt>
                <c:pt idx="5">
                  <c:v>5</c:v>
                </c:pt>
                <c:pt idx="6">
                  <c:v>2250</c:v>
                </c:pt>
                <c:pt idx="7">
                  <c:v>24</c:v>
                </c:pt>
                <c:pt idx="8">
                  <c:v>12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000000"/>
            </a:solidFill>
            <a:ln w="936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93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'Cl2 EColi Inactivation'!$I$3:$I$42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'Cl2 EColi Inactivation'!$J$3:$J$42</c:f>
              <c:numCache>
                <c:formatCode>0.0</c:formatCode>
                <c:ptCount val="40"/>
                <c:pt idx="0">
                  <c:v>2112.5</c:v>
                </c:pt>
                <c:pt idx="1">
                  <c:v>68.4118057151563</c:v>
                </c:pt>
                <c:pt idx="2">
                  <c:v>40.9216393262129</c:v>
                </c:pt>
                <c:pt idx="3">
                  <c:v>29.2555075957818</c:v>
                </c:pt>
                <c:pt idx="4">
                  <c:v>22.6641278599</c:v>
                </c:pt>
                <c:pt idx="5">
                  <c:v>18.3995895490152</c:v>
                </c:pt>
                <c:pt idx="6">
                  <c:v>15.4084308024862</c:v>
                </c:pt>
                <c:pt idx="7">
                  <c:v>13.1937947759762</c:v>
                </c:pt>
                <c:pt idx="8">
                  <c:v>11.4889336805524</c:v>
                </c:pt>
                <c:pt idx="9">
                  <c:v>10.1372096254173</c:v>
                </c:pt>
                <c:pt idx="10">
                  <c:v>9.04036017858612</c:v>
                </c:pt>
                <c:pt idx="11">
                  <c:v>8.1335251743045</c:v>
                </c:pt>
                <c:pt idx="12">
                  <c:v>7.37212366519861</c:v>
                </c:pt>
                <c:pt idx="13">
                  <c:v>6.72448476945372</c:v>
                </c:pt>
                <c:pt idx="14">
                  <c:v>6.16748237681346</c:v>
                </c:pt>
                <c:pt idx="15">
                  <c:v>5.68383281200893</c:v>
                </c:pt>
                <c:pt idx="16">
                  <c:v>5.26035894338754</c:v>
                </c:pt>
                <c:pt idx="17">
                  <c:v>4.88683941474479</c:v>
                </c:pt>
                <c:pt idx="18">
                  <c:v>4.55522474801865</c:v>
                </c:pt>
                <c:pt idx="19">
                  <c:v>4.25909054508067</c:v>
                </c:pt>
                <c:pt idx="20">
                  <c:v>3.99324803199362</c:v>
                </c:pt>
                <c:pt idx="21">
                  <c:v>3.75346148597311</c:v>
                </c:pt>
                <c:pt idx="22">
                  <c:v>3.53623979160263</c:v>
                </c:pt>
                <c:pt idx="23">
                  <c:v>3.33868037488238</c:v>
                </c:pt>
                <c:pt idx="24">
                  <c:v>3.15835077116987</c:v>
                </c:pt>
                <c:pt idx="25">
                  <c:v>2.99319764661621</c:v>
                </c:pt>
                <c:pt idx="26">
                  <c:v>2.84147612494496</c:v>
                </c:pt>
                <c:pt idx="27">
                  <c:v>2.70169432327055</c:v>
                </c:pt>
                <c:pt idx="28">
                  <c:v>2.57256941239216</c:v>
                </c:pt>
                <c:pt idx="29">
                  <c:v>2.45299250324198</c:v>
                </c:pt>
                <c:pt idx="30">
                  <c:v>2.3420003598898</c:v>
                </c:pt>
                <c:pt idx="31">
                  <c:v>2.23875244097737</c:v>
                </c:pt>
                <c:pt idx="32">
                  <c:v>2.14251213570101</c:v>
                </c:pt>
                <c:pt idx="33">
                  <c:v>2.0526313279927</c:v>
                </c:pt>
                <c:pt idx="34">
                  <c:v>1.96853762109403</c:v>
                </c:pt>
                <c:pt idx="35">
                  <c:v>1.88972370349723</c:v>
                </c:pt>
                <c:pt idx="36">
                  <c:v>1.81573844973016</c:v>
                </c:pt>
                <c:pt idx="37">
                  <c:v>1.74617943525862</c:v>
                </c:pt>
                <c:pt idx="38">
                  <c:v>1.68068661073384</c:v>
                </c:pt>
                <c:pt idx="39">
                  <c:v>1.61893693189663</c:v>
                </c:pt>
              </c:numCache>
            </c:numRef>
          </c:yVal>
          <c:smooth val="1"/>
        </c:ser>
        <c:axId val="68045504"/>
        <c:axId val="29456675"/>
      </c:scatterChart>
      <c:valAx>
        <c:axId val="68045504"/>
        <c:scaling>
          <c:orientation val="minMax"/>
          <c:max val="45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Cl2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ICT (mg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·min/L)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456675"/>
        <c:crosses val="autoZero"/>
        <c:crossBetween val="midCat"/>
        <c:majorUnit val="10"/>
      </c:valAx>
      <c:valAx>
        <c:axId val="29456675"/>
        <c:scaling>
          <c:logBase val="10"/>
          <c:orientation val="minMax"/>
          <c:max val="100000"/>
          <c:min val="1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Viable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Microbes (CFU/100 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045504"/>
        <c:crosses val="autoZero"/>
        <c:crossBetween val="midCat"/>
        <c:majorUnit val="1"/>
        <c:minorUnit val="9"/>
      </c:valAx>
      <c:spPr>
        <a:solidFill>
          <a:srgbClr val="ffffff"/>
        </a:solidFill>
        <a:ln w="0">
          <a:solidFill>
            <a:srgbClr val="000000"/>
          </a:solidFill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Cl2 Fecal coliforms inactivation</a:t>
            </a:r>
          </a:p>
        </c:rich>
      </c:tx>
      <c:layout>
        <c:manualLayout>
          <c:xMode val="edge"/>
          <c:yMode val="edge"/>
          <c:x val="0.220235608655694"/>
          <c:y val="0.0238198825320861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"Exp N"</c:f>
              <c:strCache>
                <c:ptCount val="1"/>
                <c:pt idx="0">
                  <c:v>Exp N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'Cl2 Fecal Coli Inactivation'!$C$6:$C$17</c:f>
              <c:numCache>
                <c:formatCode>0.00</c:formatCode>
                <c:ptCount val="12"/>
                <c:pt idx="0">
                  <c:v>0</c:v>
                </c:pt>
                <c:pt idx="1">
                  <c:v>0.684776206089502</c:v>
                </c:pt>
                <c:pt idx="2">
                  <c:v>2.02778230502292</c:v>
                </c:pt>
                <c:pt idx="3">
                  <c:v>3.33615479318031</c:v>
                </c:pt>
                <c:pt idx="4">
                  <c:v>6.46136863637114</c:v>
                </c:pt>
                <c:pt idx="5">
                  <c:v>17.1072320480654</c:v>
                </c:pt>
                <c:pt idx="6">
                  <c:v>0</c:v>
                </c:pt>
                <c:pt idx="7">
                  <c:v>2.08266397961124</c:v>
                </c:pt>
                <c:pt idx="8">
                  <c:v>6.02902299114646</c:v>
                </c:pt>
                <c:pt idx="9">
                  <c:v>9.70042608960744</c:v>
                </c:pt>
                <c:pt idx="10">
                  <c:v>17.7984584320269</c:v>
                </c:pt>
                <c:pt idx="11">
                  <c:v>38.846848099475</c:v>
                </c:pt>
              </c:numCache>
            </c:numRef>
          </c:xVal>
          <c:yVal>
            <c:numRef>
              <c:f>'Cl2 Fecal Coli Inactivation'!$B$6:$B$17</c:f>
              <c:numCache>
                <c:formatCode>0</c:formatCode>
                <c:ptCount val="12"/>
                <c:pt idx="0">
                  <c:v>6200</c:v>
                </c:pt>
                <c:pt idx="1">
                  <c:v>330</c:v>
                </c:pt>
                <c:pt idx="2">
                  <c:v>310</c:v>
                </c:pt>
                <c:pt idx="3">
                  <c:v>250</c:v>
                </c:pt>
                <c:pt idx="4">
                  <c:v>104</c:v>
                </c:pt>
                <c:pt idx="5">
                  <c:v>28</c:v>
                </c:pt>
                <c:pt idx="6">
                  <c:v>5900</c:v>
                </c:pt>
                <c:pt idx="7">
                  <c:v>100</c:v>
                </c:pt>
                <c:pt idx="8">
                  <c:v>68</c:v>
                </c:pt>
                <c:pt idx="9">
                  <c:v>18</c:v>
                </c:pt>
                <c:pt idx="10">
                  <c:v>17</c:v>
                </c:pt>
                <c:pt idx="11">
                  <c:v>5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000000"/>
            </a:solidFill>
            <a:ln w="936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93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'Cl2 Fecal Coli Inactivation'!$I$3:$I$42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'Cl2 Fecal Coli Inactivation'!$J$3:$J$42</c:f>
              <c:numCache>
                <c:formatCode>0.0</c:formatCode>
                <c:ptCount val="40"/>
                <c:pt idx="0">
                  <c:v>6050</c:v>
                </c:pt>
                <c:pt idx="1">
                  <c:v>319.725367665884</c:v>
                </c:pt>
                <c:pt idx="2">
                  <c:v>214.546445662066</c:v>
                </c:pt>
                <c:pt idx="3">
                  <c:v>157.432869122565</c:v>
                </c:pt>
                <c:pt idx="4">
                  <c:v>120.14507421368</c:v>
                </c:pt>
                <c:pt idx="5">
                  <c:v>94.0803379284625</c:v>
                </c:pt>
                <c:pt idx="6">
                  <c:v>75.2141389308419</c:v>
                </c:pt>
                <c:pt idx="7">
                  <c:v>61.2536895820404</c:v>
                </c:pt>
                <c:pt idx="8">
                  <c:v>50.7517149884089</c:v>
                </c:pt>
                <c:pt idx="9">
                  <c:v>42.7405277916557</c:v>
                </c:pt>
                <c:pt idx="10">
                  <c:v>36.550326440825</c:v>
                </c:pt>
                <c:pt idx="11">
                  <c:v>31.707059168757</c:v>
                </c:pt>
                <c:pt idx="12">
                  <c:v>27.8700289664535</c:v>
                </c:pt>
                <c:pt idx="13">
                  <c:v>24.7915875714907</c:v>
                </c:pt>
                <c:pt idx="14">
                  <c:v>22.2900967474487</c:v>
                </c:pt>
                <c:pt idx="15">
                  <c:v>20.2313126486525</c:v>
                </c:pt>
                <c:pt idx="16">
                  <c:v>18.5153328417214</c:v>
                </c:pt>
                <c:pt idx="17">
                  <c:v>17.0673216691529</c:v>
                </c:pt>
                <c:pt idx="18">
                  <c:v>15.8308544985905</c:v>
                </c:pt>
                <c:pt idx="19">
                  <c:v>14.7631043361632</c:v>
                </c:pt>
                <c:pt idx="20">
                  <c:v>13.8313389968221</c:v>
                </c:pt>
                <c:pt idx="21">
                  <c:v>13.0103585089754</c:v>
                </c:pt>
                <c:pt idx="22">
                  <c:v>12.28061162542</c:v>
                </c:pt>
                <c:pt idx="23">
                  <c:v>11.6268055319559</c:v>
                </c:pt>
                <c:pt idx="24">
                  <c:v>11.0368753996893</c:v>
                </c:pt>
                <c:pt idx="25">
                  <c:v>10.5012175491828</c:v>
                </c:pt>
                <c:pt idx="26">
                  <c:v>10.0121164403</c:v>
                </c:pt>
                <c:pt idx="27">
                  <c:v>9.56331466905307</c:v>
                </c:pt>
                <c:pt idx="28">
                  <c:v>9.14968883104596</c:v>
                </c:pt>
                <c:pt idx="29">
                  <c:v>8.76700401957935</c:v>
                </c:pt>
                <c:pt idx="30">
                  <c:v>8.41172693143425</c:v>
                </c:pt>
                <c:pt idx="31">
                  <c:v>8.0808828096978</c:v>
                </c:pt>
                <c:pt idx="32">
                  <c:v>7.77194529899358</c:v>
                </c:pt>
                <c:pt idx="33">
                  <c:v>7.4827511101019</c:v>
                </c:pt>
                <c:pt idx="34">
                  <c:v>7.21143346627966</c:v>
                </c:pt>
                <c:pt idx="35">
                  <c:v>6.9563698337367</c:v>
                </c:pt>
                <c:pt idx="36">
                  <c:v>6.71614056964488</c:v>
                </c:pt>
                <c:pt idx="37">
                  <c:v>6.4894959589572</c:v>
                </c:pt>
                <c:pt idx="38">
                  <c:v>6.27532973368761</c:v>
                </c:pt>
                <c:pt idx="39">
                  <c:v>6.07265763180639</c:v>
                </c:pt>
              </c:numCache>
            </c:numRef>
          </c:yVal>
          <c:smooth val="1"/>
        </c:ser>
        <c:axId val="13434403"/>
        <c:axId val="35777399"/>
      </c:scatterChart>
      <c:valAx>
        <c:axId val="13434403"/>
        <c:scaling>
          <c:orientation val="minMax"/>
          <c:max val="45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Cl2 ICT (mg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·min/L)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777399"/>
        <c:crosses val="autoZero"/>
        <c:crossBetween val="midCat"/>
        <c:majorUnit val="10"/>
      </c:valAx>
      <c:valAx>
        <c:axId val="35777399"/>
        <c:scaling>
          <c:logBase val="10"/>
          <c:orientation val="minMax"/>
          <c:max val="100000"/>
          <c:min val="1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Viable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Microbes (CFU/100 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434403"/>
        <c:crosses val="autoZero"/>
        <c:crossBetween val="midCat"/>
        <c:majorUnit val="1"/>
        <c:minorUnit val="9"/>
      </c:valAx>
      <c:spPr>
        <a:solidFill>
          <a:srgbClr val="ffffff"/>
        </a:solidFill>
        <a:ln w="0">
          <a:solidFill>
            <a:srgbClr val="000000"/>
          </a:solidFill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Cl2 Total coliforms inactivation</a:t>
            </a:r>
          </a:p>
        </c:rich>
      </c:tx>
      <c:layout>
        <c:manualLayout>
          <c:xMode val="edge"/>
          <c:yMode val="edge"/>
          <c:x val="0.241707745007937"/>
          <c:y val="0.0237111159451816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"Exp N"</c:f>
              <c:strCache>
                <c:ptCount val="1"/>
                <c:pt idx="0">
                  <c:v>Exp N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'Cl2 Total Coli Inactivation'!$C$6:$C$17</c:f>
              <c:numCache>
                <c:formatCode>0.00</c:formatCode>
                <c:ptCount val="12"/>
                <c:pt idx="0">
                  <c:v>0</c:v>
                </c:pt>
                <c:pt idx="1">
                  <c:v>0.684776206089502</c:v>
                </c:pt>
                <c:pt idx="2">
                  <c:v>2.02778230502292</c:v>
                </c:pt>
                <c:pt idx="3">
                  <c:v>3.33615479318031</c:v>
                </c:pt>
                <c:pt idx="4">
                  <c:v>6.46136863637114</c:v>
                </c:pt>
                <c:pt idx="5">
                  <c:v>17.1072320480654</c:v>
                </c:pt>
                <c:pt idx="6">
                  <c:v>0</c:v>
                </c:pt>
                <c:pt idx="7">
                  <c:v>2.08266397961124</c:v>
                </c:pt>
                <c:pt idx="8">
                  <c:v>6.02902299114646</c:v>
                </c:pt>
                <c:pt idx="9">
                  <c:v>9.70042608960744</c:v>
                </c:pt>
                <c:pt idx="10">
                  <c:v>17.7984584320269</c:v>
                </c:pt>
                <c:pt idx="11">
                  <c:v>38.846848099475</c:v>
                </c:pt>
              </c:numCache>
            </c:numRef>
          </c:xVal>
          <c:yVal>
            <c:numRef>
              <c:f>'Cl2 Total Coli Inactivation'!$B$6:$B$17</c:f>
              <c:numCache>
                <c:formatCode>0</c:formatCode>
                <c:ptCount val="12"/>
                <c:pt idx="0">
                  <c:v>98000</c:v>
                </c:pt>
                <c:pt idx="1">
                  <c:v>50000</c:v>
                </c:pt>
                <c:pt idx="2">
                  <c:v>60000</c:v>
                </c:pt>
                <c:pt idx="3">
                  <c:v>64000</c:v>
                </c:pt>
                <c:pt idx="4">
                  <c:v>3500</c:v>
                </c:pt>
                <c:pt idx="5">
                  <c:v>940</c:v>
                </c:pt>
                <c:pt idx="6">
                  <c:v>116000</c:v>
                </c:pt>
                <c:pt idx="7">
                  <c:v>1800</c:v>
                </c:pt>
                <c:pt idx="8">
                  <c:v>960</c:v>
                </c:pt>
                <c:pt idx="9">
                  <c:v>625</c:v>
                </c:pt>
                <c:pt idx="10">
                  <c:v>376</c:v>
                </c:pt>
                <c:pt idx="11">
                  <c:v>1890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000000"/>
            </a:solidFill>
            <a:ln w="936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93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'Cl2 Total Coli Inactivation'!$I$3:$I$42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'Cl2 Total Coli Inactivation'!$J$3:$J$42</c:f>
              <c:numCache>
                <c:formatCode>0.0</c:formatCode>
                <c:ptCount val="40"/>
                <c:pt idx="0">
                  <c:v>107000</c:v>
                </c:pt>
                <c:pt idx="1">
                  <c:v>45947.1080875108</c:v>
                </c:pt>
                <c:pt idx="2">
                  <c:v>22816.1246971703</c:v>
                </c:pt>
                <c:pt idx="3">
                  <c:v>12014.7854903682</c:v>
                </c:pt>
                <c:pt idx="4">
                  <c:v>6664.32746176567</c:v>
                </c:pt>
                <c:pt idx="5">
                  <c:v>3921.41369130198</c:v>
                </c:pt>
                <c:pt idx="6">
                  <c:v>2481.47336241766</c:v>
                </c:pt>
                <c:pt idx="7">
                  <c:v>1711.86816725734</c:v>
                </c:pt>
                <c:pt idx="8">
                  <c:v>1294.60836268413</c:v>
                </c:pt>
                <c:pt idx="9">
                  <c:v>1065.68590101707</c:v>
                </c:pt>
                <c:pt idx="10">
                  <c:v>938.821118187568</c:v>
                </c:pt>
                <c:pt idx="11">
                  <c:v>867.898723196541</c:v>
                </c:pt>
                <c:pt idx="12">
                  <c:v>827.944431263852</c:v>
                </c:pt>
                <c:pt idx="13">
                  <c:v>805.281268473277</c:v>
                </c:pt>
                <c:pt idx="14">
                  <c:v>792.346443647511</c:v>
                </c:pt>
                <c:pt idx="15">
                  <c:v>784.922417148127</c:v>
                </c:pt>
                <c:pt idx="16">
                  <c:v>780.639379503429</c:v>
                </c:pt>
                <c:pt idx="17">
                  <c:v>778.156690024816</c:v>
                </c:pt>
                <c:pt idx="18">
                  <c:v>776.711250557734</c:v>
                </c:pt>
                <c:pt idx="19">
                  <c:v>775.866258098118</c:v>
                </c:pt>
                <c:pt idx="20">
                  <c:v>775.370390563589</c:v>
                </c:pt>
                <c:pt idx="21">
                  <c:v>775.078354637453</c:v>
                </c:pt>
                <c:pt idx="22">
                  <c:v>774.905781296564</c:v>
                </c:pt>
                <c:pt idx="23">
                  <c:v>774.803476381755</c:v>
                </c:pt>
                <c:pt idx="24">
                  <c:v>774.742644491641</c:v>
                </c:pt>
                <c:pt idx="25">
                  <c:v>774.706369127718</c:v>
                </c:pt>
                <c:pt idx="26">
                  <c:v>774.684678227331</c:v>
                </c:pt>
                <c:pt idx="27">
                  <c:v>774.671674325939</c:v>
                </c:pt>
                <c:pt idx="28">
                  <c:v>774.66385895465</c:v>
                </c:pt>
                <c:pt idx="29">
                  <c:v>774.659150709459</c:v>
                </c:pt>
                <c:pt idx="30">
                  <c:v>774.656307824438</c:v>
                </c:pt>
                <c:pt idx="31">
                  <c:v>774.654587498425</c:v>
                </c:pt>
                <c:pt idx="32">
                  <c:v>774.653544276286</c:v>
                </c:pt>
                <c:pt idx="33">
                  <c:v>774.652910372531</c:v>
                </c:pt>
                <c:pt idx="34">
                  <c:v>774.65252443361</c:v>
                </c:pt>
                <c:pt idx="35">
                  <c:v>774.65228901929</c:v>
                </c:pt>
                <c:pt idx="36">
                  <c:v>774.652145159823</c:v>
                </c:pt>
                <c:pt idx="37">
                  <c:v>774.652057093628</c:v>
                </c:pt>
                <c:pt idx="38">
                  <c:v>774.652003090272</c:v>
                </c:pt>
                <c:pt idx="39">
                  <c:v>774.65196991993</c:v>
                </c:pt>
              </c:numCache>
            </c:numRef>
          </c:yVal>
          <c:smooth val="1"/>
        </c:ser>
        <c:axId val="9393370"/>
        <c:axId val="62335323"/>
      </c:scatterChart>
      <c:valAx>
        <c:axId val="9393370"/>
        <c:scaling>
          <c:orientation val="minMax"/>
          <c:max val="45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Cl2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ICT (mg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·min/L)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335323"/>
        <c:crosses val="autoZero"/>
        <c:crossBetween val="midCat"/>
        <c:majorUnit val="10"/>
      </c:valAx>
      <c:valAx>
        <c:axId val="62335323"/>
        <c:scaling>
          <c:logBase val="10"/>
          <c:orientation val="minMax"/>
          <c:max val="100000"/>
          <c:min val="1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Viable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Microbes (CFU/100 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93370"/>
        <c:crosses val="autoZero"/>
        <c:crossBetween val="midCat"/>
        <c:majorUnit val="1"/>
        <c:minorUnit val="9"/>
      </c:valAx>
      <c:spPr>
        <a:solidFill>
          <a:srgbClr val="ffffff"/>
        </a:solidFill>
        <a:ln w="0">
          <a:solidFill>
            <a:srgbClr val="000000"/>
          </a:solidFill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Cl2 Enterococci inactivation</a:t>
            </a:r>
          </a:p>
        </c:rich>
      </c:tx>
      <c:layout>
        <c:manualLayout>
          <c:xMode val="edge"/>
          <c:yMode val="edge"/>
          <c:x val="0.25390592363606"/>
          <c:y val="0.0237111159451816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"Exp N"</c:f>
              <c:strCache>
                <c:ptCount val="1"/>
                <c:pt idx="0">
                  <c:v>Exp N</c:v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'Cl2 Enterococci Inactivation'!$C$6:$C$17</c:f>
              <c:numCache>
                <c:formatCode>0.00</c:formatCode>
                <c:ptCount val="12"/>
                <c:pt idx="0">
                  <c:v>0</c:v>
                </c:pt>
                <c:pt idx="1">
                  <c:v>0.684776206089502</c:v>
                </c:pt>
                <c:pt idx="2">
                  <c:v>2.02778230502292</c:v>
                </c:pt>
                <c:pt idx="3">
                  <c:v>3.33615479318031</c:v>
                </c:pt>
                <c:pt idx="4">
                  <c:v>6.46136863637114</c:v>
                </c:pt>
                <c:pt idx="5">
                  <c:v>17.1072320480654</c:v>
                </c:pt>
                <c:pt idx="6">
                  <c:v>0</c:v>
                </c:pt>
                <c:pt idx="7">
                  <c:v>2.08266397961124</c:v>
                </c:pt>
                <c:pt idx="8">
                  <c:v>6.02902299114646</c:v>
                </c:pt>
                <c:pt idx="9">
                  <c:v>9.70042608960744</c:v>
                </c:pt>
                <c:pt idx="10">
                  <c:v>17.7984584320269</c:v>
                </c:pt>
                <c:pt idx="11">
                  <c:v>38.846848099475</c:v>
                </c:pt>
              </c:numCache>
            </c:numRef>
          </c:xVal>
          <c:yVal>
            <c:numRef>
              <c:f>'Cl2 Enterococci Inactivation'!$B$6:$B$17</c:f>
              <c:numCache>
                <c:formatCode>0</c:formatCode>
                <c:ptCount val="12"/>
                <c:pt idx="0">
                  <c:v>860</c:v>
                </c:pt>
                <c:pt idx="1">
                  <c:v>240</c:v>
                </c:pt>
                <c:pt idx="2">
                  <c:v>164</c:v>
                </c:pt>
                <c:pt idx="3">
                  <c:v>164</c:v>
                </c:pt>
                <c:pt idx="4">
                  <c:v>75</c:v>
                </c:pt>
                <c:pt idx="5">
                  <c:v>16</c:v>
                </c:pt>
                <c:pt idx="6">
                  <c:v>660</c:v>
                </c:pt>
                <c:pt idx="7">
                  <c:v>140</c:v>
                </c:pt>
                <c:pt idx="8">
                  <c:v>44</c:v>
                </c:pt>
                <c:pt idx="9">
                  <c:v>24</c:v>
                </c:pt>
                <c:pt idx="10">
                  <c:v>9</c:v>
                </c:pt>
                <c:pt idx="11">
                  <c:v>5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000000"/>
            </a:solidFill>
            <a:ln w="936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93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'Cl2 Enterococci Inactivation'!$I$3:$I$42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'Cl2 Enterococci Inactivation'!$J$3:$J$42</c:f>
              <c:numCache>
                <c:formatCode>0.0</c:formatCode>
                <c:ptCount val="40"/>
                <c:pt idx="0">
                  <c:v>760</c:v>
                </c:pt>
                <c:pt idx="1">
                  <c:v>258.768844462868</c:v>
                </c:pt>
                <c:pt idx="2">
                  <c:v>166.543970304412</c:v>
                </c:pt>
                <c:pt idx="3">
                  <c:v>119.156368754408</c:v>
                </c:pt>
                <c:pt idx="4">
                  <c:v>90.1272236001511</c:v>
                </c:pt>
                <c:pt idx="5">
                  <c:v>70.6848224009096</c:v>
                </c:pt>
                <c:pt idx="6">
                  <c:v>56.9162120695021</c:v>
                </c:pt>
                <c:pt idx="7">
                  <c:v>46.7796034679804</c:v>
                </c:pt>
                <c:pt idx="8">
                  <c:v>39.098158767702</c:v>
                </c:pt>
                <c:pt idx="9">
                  <c:v>33.1447235914318</c:v>
                </c:pt>
                <c:pt idx="10">
                  <c:v>28.4461539377358</c:v>
                </c:pt>
                <c:pt idx="11">
                  <c:v>24.6819790036903</c:v>
                </c:pt>
                <c:pt idx="12">
                  <c:v>21.6280443797734</c:v>
                </c:pt>
                <c:pt idx="13">
                  <c:v>19.1233696234997</c:v>
                </c:pt>
                <c:pt idx="14">
                  <c:v>17.049758687507</c:v>
                </c:pt>
                <c:pt idx="15">
                  <c:v>15.3187800514389</c:v>
                </c:pt>
                <c:pt idx="16">
                  <c:v>13.8631882897288</c:v>
                </c:pt>
                <c:pt idx="17">
                  <c:v>12.631118811655</c:v>
                </c:pt>
                <c:pt idx="18">
                  <c:v>11.5820674202439</c:v>
                </c:pt>
                <c:pt idx="19">
                  <c:v>10.6840491477289</c:v>
                </c:pt>
                <c:pt idx="20">
                  <c:v>9.9115543867909</c:v>
                </c:pt>
                <c:pt idx="21">
                  <c:v>9.24405511854956</c:v>
                </c:pt>
                <c:pt idx="22">
                  <c:v>8.66489760102954</c:v>
                </c:pt>
                <c:pt idx="23">
                  <c:v>8.16047098999961</c:v>
                </c:pt>
                <c:pt idx="24">
                  <c:v>7.71957587234062</c:v>
                </c:pt>
                <c:pt idx="25">
                  <c:v>7.33293956512661</c:v>
                </c:pt>
                <c:pt idx="26">
                  <c:v>6.99284046951934</c:v>
                </c:pt>
                <c:pt idx="27">
                  <c:v>6.69281435708868</c:v>
                </c:pt>
                <c:pt idx="28">
                  <c:v>6.42742283862637</c:v>
                </c:pt>
                <c:pt idx="29">
                  <c:v>6.19206946936333</c:v>
                </c:pt>
                <c:pt idx="30">
                  <c:v>5.98285266410251</c:v>
                </c:pt>
                <c:pt idx="31">
                  <c:v>5.79644728552335</c:v>
                </c:pt>
                <c:pt idx="32">
                  <c:v>5.63000873496822</c:v>
                </c:pt>
                <c:pt idx="33">
                  <c:v>5.48109482652957</c:v>
                </c:pt>
                <c:pt idx="34">
                  <c:v>5.34760180690376</c:v>
                </c:pt>
                <c:pt idx="35">
                  <c:v>5.22771169654712</c:v>
                </c:pt>
                <c:pt idx="36">
                  <c:v>5.11984874384503</c:v>
                </c:pt>
                <c:pt idx="37">
                  <c:v>5.02264325454602</c:v>
                </c:pt>
                <c:pt idx="38">
                  <c:v>4.93490142063045</c:v>
                </c:pt>
                <c:pt idx="39">
                  <c:v>4.85558005304173</c:v>
                </c:pt>
              </c:numCache>
            </c:numRef>
          </c:yVal>
          <c:smooth val="1"/>
        </c:ser>
        <c:axId val="41014741"/>
        <c:axId val="75246102"/>
      </c:scatterChart>
      <c:valAx>
        <c:axId val="41014741"/>
        <c:scaling>
          <c:orientation val="minMax"/>
          <c:max val="45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Cl2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ICT (mg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·min/L)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246102"/>
        <c:crosses val="autoZero"/>
        <c:crossBetween val="midCat"/>
        <c:majorUnit val="10"/>
      </c:valAx>
      <c:valAx>
        <c:axId val="75246102"/>
        <c:scaling>
          <c:logBase val="10"/>
          <c:orientation val="minMax"/>
          <c:max val="100000"/>
          <c:min val="1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Viable</a:t>
                </a:r>
                <a:r>
                  <a:rPr lang="en-US" sz="14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Microbes (CFU/100 mL)</a:t>
                </a:r>
              </a:p>
            </c:rich>
          </c:tx>
          <c:layout>
            <c:manualLayout>
              <c:xMode val="edge"/>
              <c:yMode val="edge"/>
              <c:x val="0.0305789957389924"/>
              <c:y val="0.184685664563846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014741"/>
        <c:crosses val="autoZero"/>
        <c:crossBetween val="midCat"/>
        <c:majorUnit val="1"/>
        <c:minorUnit val="9"/>
      </c:valAx>
      <c:spPr>
        <a:solidFill>
          <a:srgbClr val="ffffff"/>
        </a:solidFill>
        <a:ln w="0">
          <a:solidFill>
            <a:srgbClr val="000000"/>
          </a:solidFill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1297080</xdr:colOff>
      <xdr:row>6</xdr:row>
      <xdr:rowOff>33480</xdr:rowOff>
    </xdr:from>
    <xdr:to>
      <xdr:col>18</xdr:col>
      <xdr:colOff>85320</xdr:colOff>
      <xdr:row>42</xdr:row>
      <xdr:rowOff>142920</xdr:rowOff>
    </xdr:to>
    <xdr:graphicFrame>
      <xdr:nvGraphicFramePr>
        <xdr:cNvPr id="1" name="Chart 1"/>
        <xdr:cNvGraphicFramePr/>
      </xdr:nvGraphicFramePr>
      <xdr:xfrm>
        <a:off x="4181400" y="1176480"/>
        <a:ext cx="9070560" cy="696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57240</xdr:colOff>
      <xdr:row>6</xdr:row>
      <xdr:rowOff>33480</xdr:rowOff>
    </xdr:from>
    <xdr:to>
      <xdr:col>18</xdr:col>
      <xdr:colOff>85320</xdr:colOff>
      <xdr:row>23</xdr:row>
      <xdr:rowOff>104400</xdr:rowOff>
    </xdr:to>
    <xdr:graphicFrame>
      <xdr:nvGraphicFramePr>
        <xdr:cNvPr id="2" name="Chart 1"/>
        <xdr:cNvGraphicFramePr/>
      </xdr:nvGraphicFramePr>
      <xdr:xfrm>
        <a:off x="8943480" y="1176480"/>
        <a:ext cx="4308480" cy="330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57240</xdr:colOff>
      <xdr:row>6</xdr:row>
      <xdr:rowOff>33480</xdr:rowOff>
    </xdr:from>
    <xdr:to>
      <xdr:col>18</xdr:col>
      <xdr:colOff>85320</xdr:colOff>
      <xdr:row>23</xdr:row>
      <xdr:rowOff>104400</xdr:rowOff>
    </xdr:to>
    <xdr:graphicFrame>
      <xdr:nvGraphicFramePr>
        <xdr:cNvPr id="3" name="Chart 1"/>
        <xdr:cNvGraphicFramePr/>
      </xdr:nvGraphicFramePr>
      <xdr:xfrm>
        <a:off x="8943480" y="1176480"/>
        <a:ext cx="4308480" cy="330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57240</xdr:colOff>
      <xdr:row>6</xdr:row>
      <xdr:rowOff>33480</xdr:rowOff>
    </xdr:from>
    <xdr:to>
      <xdr:col>18</xdr:col>
      <xdr:colOff>85320</xdr:colOff>
      <xdr:row>23</xdr:row>
      <xdr:rowOff>104400</xdr:rowOff>
    </xdr:to>
    <xdr:graphicFrame>
      <xdr:nvGraphicFramePr>
        <xdr:cNvPr id="4" name="Chart 1"/>
        <xdr:cNvGraphicFramePr/>
      </xdr:nvGraphicFramePr>
      <xdr:xfrm>
        <a:off x="8943480" y="1176480"/>
        <a:ext cx="4308480" cy="330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57240</xdr:colOff>
      <xdr:row>6</xdr:row>
      <xdr:rowOff>33480</xdr:rowOff>
    </xdr:from>
    <xdr:to>
      <xdr:col>18</xdr:col>
      <xdr:colOff>85320</xdr:colOff>
      <xdr:row>23</xdr:row>
      <xdr:rowOff>104400</xdr:rowOff>
    </xdr:to>
    <xdr:graphicFrame>
      <xdr:nvGraphicFramePr>
        <xdr:cNvPr id="5" name="Chart 1"/>
        <xdr:cNvGraphicFramePr/>
      </xdr:nvGraphicFramePr>
      <xdr:xfrm>
        <a:off x="8943480" y="1176480"/>
        <a:ext cx="4308480" cy="330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57240</xdr:colOff>
      <xdr:row>6</xdr:row>
      <xdr:rowOff>33480</xdr:rowOff>
    </xdr:from>
    <xdr:to>
      <xdr:col>18</xdr:col>
      <xdr:colOff>85320</xdr:colOff>
      <xdr:row>23</xdr:row>
      <xdr:rowOff>104400</xdr:rowOff>
    </xdr:to>
    <xdr:graphicFrame>
      <xdr:nvGraphicFramePr>
        <xdr:cNvPr id="6" name="Chart 1"/>
        <xdr:cNvGraphicFramePr/>
      </xdr:nvGraphicFramePr>
      <xdr:xfrm>
        <a:off x="8943480" y="1176480"/>
        <a:ext cx="4308480" cy="330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57240</xdr:colOff>
      <xdr:row>6</xdr:row>
      <xdr:rowOff>33480</xdr:rowOff>
    </xdr:from>
    <xdr:to>
      <xdr:col>18</xdr:col>
      <xdr:colOff>85320</xdr:colOff>
      <xdr:row>23</xdr:row>
      <xdr:rowOff>104400</xdr:rowOff>
    </xdr:to>
    <xdr:graphicFrame>
      <xdr:nvGraphicFramePr>
        <xdr:cNvPr id="7" name="Chart 1"/>
        <xdr:cNvGraphicFramePr/>
      </xdr:nvGraphicFramePr>
      <xdr:xfrm>
        <a:off x="8943480" y="1176480"/>
        <a:ext cx="4308480" cy="330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57240</xdr:colOff>
      <xdr:row>6</xdr:row>
      <xdr:rowOff>33480</xdr:rowOff>
    </xdr:from>
    <xdr:to>
      <xdr:col>18</xdr:col>
      <xdr:colOff>85320</xdr:colOff>
      <xdr:row>23</xdr:row>
      <xdr:rowOff>104400</xdr:rowOff>
    </xdr:to>
    <xdr:graphicFrame>
      <xdr:nvGraphicFramePr>
        <xdr:cNvPr id="8" name="Chart 1"/>
        <xdr:cNvGraphicFramePr/>
      </xdr:nvGraphicFramePr>
      <xdr:xfrm>
        <a:off x="8943480" y="1176480"/>
        <a:ext cx="4308480" cy="330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57240</xdr:colOff>
      <xdr:row>6</xdr:row>
      <xdr:rowOff>33480</xdr:rowOff>
    </xdr:from>
    <xdr:to>
      <xdr:col>18</xdr:col>
      <xdr:colOff>85320</xdr:colOff>
      <xdr:row>23</xdr:row>
      <xdr:rowOff>104400</xdr:rowOff>
    </xdr:to>
    <xdr:graphicFrame>
      <xdr:nvGraphicFramePr>
        <xdr:cNvPr id="9" name="Chart 1"/>
        <xdr:cNvGraphicFramePr/>
      </xdr:nvGraphicFramePr>
      <xdr:xfrm>
        <a:off x="8943480" y="1176480"/>
        <a:ext cx="4308480" cy="330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57240</xdr:colOff>
      <xdr:row>6</xdr:row>
      <xdr:rowOff>33480</xdr:rowOff>
    </xdr:from>
    <xdr:to>
      <xdr:col>18</xdr:col>
      <xdr:colOff>85320</xdr:colOff>
      <xdr:row>23</xdr:row>
      <xdr:rowOff>104400</xdr:rowOff>
    </xdr:to>
    <xdr:graphicFrame>
      <xdr:nvGraphicFramePr>
        <xdr:cNvPr id="10" name="Chart 1"/>
        <xdr:cNvGraphicFramePr/>
      </xdr:nvGraphicFramePr>
      <xdr:xfrm>
        <a:off x="8943480" y="1176480"/>
        <a:ext cx="4308480" cy="330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57240</xdr:colOff>
      <xdr:row>6</xdr:row>
      <xdr:rowOff>33480</xdr:rowOff>
    </xdr:from>
    <xdr:to>
      <xdr:col>18</xdr:col>
      <xdr:colOff>85320</xdr:colOff>
      <xdr:row>23</xdr:row>
      <xdr:rowOff>104400</xdr:rowOff>
    </xdr:to>
    <xdr:graphicFrame>
      <xdr:nvGraphicFramePr>
        <xdr:cNvPr id="11" name="Chart 1"/>
        <xdr:cNvGraphicFramePr/>
      </xdr:nvGraphicFramePr>
      <xdr:xfrm>
        <a:off x="8943480" y="1176480"/>
        <a:ext cx="4308480" cy="330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57240</xdr:colOff>
      <xdr:row>6</xdr:row>
      <xdr:rowOff>33480</xdr:rowOff>
    </xdr:from>
    <xdr:to>
      <xdr:col>18</xdr:col>
      <xdr:colOff>85320</xdr:colOff>
      <xdr:row>23</xdr:row>
      <xdr:rowOff>104400</xdr:rowOff>
    </xdr:to>
    <xdr:graphicFrame>
      <xdr:nvGraphicFramePr>
        <xdr:cNvPr id="12" name="Chart 1"/>
        <xdr:cNvGraphicFramePr/>
      </xdr:nvGraphicFramePr>
      <xdr:xfrm>
        <a:off x="8943480" y="1176480"/>
        <a:ext cx="4308480" cy="330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23.57"/>
    <col collapsed="false" customWidth="true" hidden="false" outlineLevel="0" max="4" min="4" style="0" width="24.42"/>
  </cols>
  <sheetData>
    <row r="2" customFormat="false" ht="15" hidden="false" customHeight="false" outlineLevel="0" collapsed="false">
      <c r="B2" s="1" t="s">
        <v>0</v>
      </c>
      <c r="C2" s="2" t="n">
        <v>0.0217541295666287</v>
      </c>
      <c r="D2" s="3" t="s">
        <v>1</v>
      </c>
      <c r="E2" s="4" t="n">
        <v>2.5725816975012</v>
      </c>
      <c r="F2" s="3" t="s">
        <v>2</v>
      </c>
      <c r="G2" s="5" t="n">
        <v>4.76544851414571</v>
      </c>
      <c r="I2" s="6" t="s">
        <v>3</v>
      </c>
      <c r="J2" s="6" t="s">
        <v>4</v>
      </c>
    </row>
    <row r="3" customFormat="false" ht="15" hidden="false" customHeight="false" outlineLevel="0" collapsed="false">
      <c r="B3" s="7" t="s">
        <v>5</v>
      </c>
      <c r="C3" s="8" t="n">
        <f aca="false">(B6+B12)/2</f>
        <v>1400</v>
      </c>
      <c r="D3" s="9" t="s">
        <v>6</v>
      </c>
      <c r="E3" s="10" t="n">
        <v>0.151044952597418</v>
      </c>
      <c r="F3" s="9"/>
      <c r="G3" s="11"/>
      <c r="I3" s="6" t="n">
        <v>0</v>
      </c>
      <c r="J3" s="12" t="n">
        <f aca="false">((1-C$2)*C$3*EXP(-$E$2*(I3^$G$2)))+(C$2*C$3*EXP(-$E$3*I3))</f>
        <v>1400</v>
      </c>
    </row>
    <row r="4" customFormat="false" ht="15" hidden="false" customHeight="false" outlineLevel="0" collapsed="false">
      <c r="I4" s="6" t="n">
        <v>1</v>
      </c>
      <c r="J4" s="12" t="n">
        <f aca="false">((1-C$2)*C$3*EXP(-$E$2*(I4^$G$2)))+(C$2*C$3*EXP(-$E$3*I4))</f>
        <v>130.734708680131</v>
      </c>
    </row>
    <row r="5" customFormat="false" ht="15" hidden="false" customHeight="false" outlineLevel="0" collapsed="false">
      <c r="B5" s="13" t="s">
        <v>7</v>
      </c>
      <c r="C5" s="14" t="s">
        <v>8</v>
      </c>
      <c r="D5" s="14" t="s">
        <v>9</v>
      </c>
      <c r="E5" s="15"/>
      <c r="I5" s="6" t="n">
        <v>2</v>
      </c>
      <c r="J5" s="12" t="n">
        <f aca="false">((1-C$2)*C$3*EXP(-$E$2*(I5^$G$2)))+(C$2*C$3*EXP(-$E$3*I5))</f>
        <v>22.5150941650819</v>
      </c>
    </row>
    <row r="6" customFormat="false" ht="15" hidden="false" customHeight="false" outlineLevel="0" collapsed="false">
      <c r="B6" s="16" t="n">
        <v>1450</v>
      </c>
      <c r="C6" s="17" t="n">
        <v>0</v>
      </c>
      <c r="D6" s="16" t="n">
        <v>1400</v>
      </c>
      <c r="E6" s="15"/>
      <c r="I6" s="6" t="n">
        <v>3</v>
      </c>
      <c r="J6" s="12" t="n">
        <f aca="false">((1-C$2)*C$3*EXP(-$E$2*(I6^$G$2)))+(C$2*C$3*EXP(-$E$3*I6))</f>
        <v>19.358681660358</v>
      </c>
    </row>
    <row r="7" customFormat="false" ht="15" hidden="false" customHeight="false" outlineLevel="0" collapsed="false">
      <c r="B7" s="16" t="n">
        <v>920</v>
      </c>
      <c r="C7" s="17" t="n">
        <v>0.686406436310531</v>
      </c>
      <c r="D7" s="16" t="n">
        <v>919.998172019731</v>
      </c>
      <c r="E7" s="15"/>
      <c r="I7" s="6" t="n">
        <v>4</v>
      </c>
      <c r="J7" s="12" t="n">
        <f aca="false">((1-C$2)*C$3*EXP(-$E$2*(I7^$G$2)))+(C$2*C$3*EXP(-$E$3*I7))</f>
        <v>16.644769632289</v>
      </c>
    </row>
    <row r="8" customFormat="false" ht="15" hidden="false" customHeight="false" outlineLevel="0" collapsed="false">
      <c r="B8" s="16" t="n">
        <v>40</v>
      </c>
      <c r="C8" s="17" t="n">
        <v>1.99305397968086</v>
      </c>
      <c r="D8" s="16" t="n">
        <v>22.5387285267283</v>
      </c>
      <c r="E8" s="15"/>
      <c r="I8" s="6" t="n">
        <v>5</v>
      </c>
      <c r="J8" s="12" t="n">
        <f aca="false">((1-C$2)*C$3*EXP(-$E$2*(I8^$G$2)))+(C$2*C$3*EXP(-$E$3*I8))</f>
        <v>14.3113235174118</v>
      </c>
    </row>
    <row r="9" customFormat="false" ht="15" hidden="false" customHeight="false" outlineLevel="0" collapsed="false">
      <c r="B9" s="16" t="n">
        <v>24</v>
      </c>
      <c r="C9" s="17" t="n">
        <v>3.21619260321904</v>
      </c>
      <c r="D9" s="16" t="n">
        <v>18.7367377466492</v>
      </c>
      <c r="E9" s="15"/>
      <c r="I9" s="6" t="n">
        <v>6</v>
      </c>
      <c r="J9" s="12" t="n">
        <f aca="false">((1-C$2)*C$3*EXP(-$E$2*(I9^$G$2)))+(C$2*C$3*EXP(-$E$3*I9))</f>
        <v>12.3050054368255</v>
      </c>
    </row>
    <row r="10" customFormat="false" ht="15" hidden="false" customHeight="false" outlineLevel="0" collapsed="false">
      <c r="B10" s="16" t="n">
        <v>5</v>
      </c>
      <c r="C10" s="17" t="n">
        <v>5.9428784807779</v>
      </c>
      <c r="D10" s="16" t="n">
        <v>12.4116313226387</v>
      </c>
      <c r="E10" s="15"/>
      <c r="I10" s="6" t="n">
        <v>7</v>
      </c>
      <c r="J10" s="12" t="n">
        <f aca="false">((1-C$2)*C$3*EXP(-$E$2*(I10^$G$2)))+(C$2*C$3*EXP(-$E$3*I10))</f>
        <v>10.5799549996958</v>
      </c>
    </row>
    <row r="11" customFormat="false" ht="15" hidden="false" customHeight="false" outlineLevel="0" collapsed="false">
      <c r="B11" s="16" t="n">
        <v>5</v>
      </c>
      <c r="C11" s="17" t="n">
        <v>13.2846207787973</v>
      </c>
      <c r="D11" s="16" t="n">
        <v>4.09473059124912</v>
      </c>
      <c r="E11" s="15"/>
      <c r="I11" s="6" t="n">
        <v>8</v>
      </c>
      <c r="J11" s="12" t="n">
        <f aca="false">((1-C$2)*C$3*EXP(-$E$2*(I11^$G$2)))+(C$2*C$3*EXP(-$E$3*I11))</f>
        <v>9.096741027078</v>
      </c>
    </row>
    <row r="12" customFormat="false" ht="15" hidden="false" customHeight="false" outlineLevel="0" collapsed="false">
      <c r="B12" s="16" t="n">
        <v>1350</v>
      </c>
      <c r="C12" s="17" t="n">
        <v>0</v>
      </c>
      <c r="D12" s="16" t="n">
        <v>1400</v>
      </c>
      <c r="E12" s="15"/>
      <c r="I12" s="6" t="n">
        <v>9</v>
      </c>
      <c r="J12" s="12" t="n">
        <f aca="false">((1-C$2)*C$3*EXP(-$E$2*(I12^$G$2)))+(C$2*C$3*EXP(-$E$3*I12))</f>
        <v>7.82146023457598</v>
      </c>
    </row>
    <row r="13" customFormat="false" ht="15" hidden="false" customHeight="false" outlineLevel="0" collapsed="false">
      <c r="B13" s="16" t="n">
        <v>20</v>
      </c>
      <c r="C13" s="17" t="n">
        <v>1.52256675005619</v>
      </c>
      <c r="D13" s="16" t="n">
        <v>24.1987290536894</v>
      </c>
      <c r="I13" s="6" t="n">
        <v>10</v>
      </c>
      <c r="J13" s="12" t="n">
        <f aca="false">((1-C$2)*C$3*EXP(-$E$2*(I13^$G$2)))+(C$2*C$3*EXP(-$E$3*I13))</f>
        <v>6.72496227153821</v>
      </c>
    </row>
    <row r="14" customFormat="false" ht="15" hidden="false" customHeight="false" outlineLevel="0" collapsed="false">
      <c r="B14" s="16" t="s">
        <v>10</v>
      </c>
      <c r="C14" s="17" t="n">
        <v>4.47954664551733</v>
      </c>
      <c r="D14" s="16" t="n">
        <v>15.48176578626</v>
      </c>
      <c r="I14" s="6" t="n">
        <v>11</v>
      </c>
      <c r="J14" s="12" t="n">
        <f aca="false">((1-C$2)*C$3*EXP(-$E$2*(I14^$G$2)))+(C$2*C$3*EXP(-$E$3*I14))</f>
        <v>5.78218340274719</v>
      </c>
    </row>
    <row r="15" customFormat="false" ht="15" hidden="false" customHeight="false" outlineLevel="0" collapsed="false">
      <c r="B15" s="16" t="s">
        <v>10</v>
      </c>
      <c r="C15" s="17" t="n">
        <v>7.3227629386573</v>
      </c>
      <c r="D15" s="16" t="n">
        <v>10.0765350681868</v>
      </c>
      <c r="I15" s="6" t="n">
        <v>12</v>
      </c>
      <c r="J15" s="12" t="n">
        <f aca="false">((1-C$2)*C$3*EXP(-$E$2*(I15^$G$2)))+(C$2*C$3*EXP(-$E$3*I15))</f>
        <v>4.97157360190777</v>
      </c>
    </row>
    <row r="16" customFormat="false" ht="15" hidden="false" customHeight="false" outlineLevel="0" collapsed="false">
      <c r="B16" s="16" t="n">
        <v>4</v>
      </c>
      <c r="C16" s="17" t="n">
        <v>13.9613979720855</v>
      </c>
      <c r="D16" s="16" t="n">
        <v>3.69683536303664</v>
      </c>
      <c r="I16" s="6" t="n">
        <v>13</v>
      </c>
      <c r="J16" s="12" t="n">
        <f aca="false">((1-C$2)*C$3*EXP(-$E$2*(I16^$G$2)))+(C$2*C$3*EXP(-$E$3*I16))</f>
        <v>4.27460396144526</v>
      </c>
    </row>
    <row r="17" customFormat="false" ht="15" hidden="false" customHeight="false" outlineLevel="0" collapsed="false">
      <c r="B17" s="16" t="s">
        <v>11</v>
      </c>
      <c r="C17" s="17" t="n">
        <v>34.8666767235899</v>
      </c>
      <c r="D17" s="16" t="n">
        <v>0.157212058851476</v>
      </c>
      <c r="I17" s="6" t="n">
        <v>14</v>
      </c>
      <c r="J17" s="12" t="n">
        <f aca="false">((1-C$2)*C$3*EXP(-$E$2*(I17^$G$2)))+(C$2*C$3*EXP(-$E$3*I17))</f>
        <v>3.67534315899333</v>
      </c>
    </row>
    <row r="18" customFormat="false" ht="15" hidden="false" customHeight="false" outlineLevel="0" collapsed="false">
      <c r="B18" s="15"/>
      <c r="C18" s="18"/>
      <c r="D18" s="15"/>
      <c r="I18" s="6" t="n">
        <v>15</v>
      </c>
      <c r="J18" s="12" t="n">
        <f aca="false">((1-C$2)*C$3*EXP(-$E$2*(I18^$G$2)))+(C$2*C$3*EXP(-$E$3*I18))</f>
        <v>3.16009329944847</v>
      </c>
    </row>
    <row r="19" customFormat="false" ht="15" hidden="false" customHeight="false" outlineLevel="0" collapsed="false">
      <c r="B19" s="15"/>
      <c r="C19" s="18"/>
      <c r="D19" s="15"/>
      <c r="I19" s="6" t="n">
        <v>16</v>
      </c>
      <c r="J19" s="12" t="n">
        <f aca="false">((1-C$2)*C$3*EXP(-$E$2*(I19^$G$2)))+(C$2*C$3*EXP(-$E$3*I19))</f>
        <v>2.71707680867392</v>
      </c>
    </row>
    <row r="20" customFormat="false" ht="15" hidden="false" customHeight="false" outlineLevel="0" collapsed="false">
      <c r="I20" s="6" t="n">
        <v>17</v>
      </c>
      <c r="J20" s="12" t="n">
        <f aca="false">((1-C$2)*C$3*EXP(-$E$2*(I20^$G$2)))+(C$2*C$3*EXP(-$E$3*I20))</f>
        <v>2.33616722187351</v>
      </c>
    </row>
    <row r="21" customFormat="false" ht="15" hidden="false" customHeight="false" outlineLevel="0" collapsed="false">
      <c r="I21" s="6" t="n">
        <v>18</v>
      </c>
      <c r="J21" s="12" t="n">
        <f aca="false">((1-C$2)*C$3*EXP(-$E$2*(I21^$G$2)))+(C$2*C$3*EXP(-$E$3*I21))</f>
        <v>2.00865771299997</v>
      </c>
    </row>
    <row r="22" customFormat="false" ht="15" hidden="false" customHeight="false" outlineLevel="0" collapsed="false">
      <c r="I22" s="6" t="n">
        <v>19</v>
      </c>
      <c r="J22" s="12" t="n">
        <f aca="false">((1-C$2)*C$3*EXP(-$E$2*(I22^$G$2)))+(C$2*C$3*EXP(-$E$3*I22))</f>
        <v>1.72706207424595</v>
      </c>
    </row>
    <row r="23" customFormat="false" ht="15" hidden="false" customHeight="false" outlineLevel="0" collapsed="false">
      <c r="I23" s="6" t="n">
        <v>20</v>
      </c>
      <c r="J23" s="12" t="n">
        <f aca="false">((1-C$2)*C$3*EXP(-$E$2*(I23^$G$2)))+(C$2*C$3*EXP(-$E$3*I23))</f>
        <v>1.48494359640994</v>
      </c>
    </row>
    <row r="24" customFormat="false" ht="15" hidden="false" customHeight="false" outlineLevel="0" collapsed="false">
      <c r="I24" s="6" t="n">
        <v>21</v>
      </c>
      <c r="J24" s="12" t="n">
        <f aca="false">((1-C$2)*C$3*EXP(-$E$2*(I24^$G$2)))+(C$2*C$3*EXP(-$E$3*I24))</f>
        <v>1.27676793868664</v>
      </c>
    </row>
    <row r="25" customFormat="false" ht="15" hidden="false" customHeight="false" outlineLevel="0" collapsed="false">
      <c r="I25" s="6" t="n">
        <v>22</v>
      </c>
      <c r="J25" s="12" t="n">
        <f aca="false">((1-C$2)*C$3*EXP(-$E$2*(I25^$G$2)))+(C$2*C$3*EXP(-$E$3*I25))</f>
        <v>1.09777662478172</v>
      </c>
    </row>
    <row r="26" customFormat="false" ht="15" hidden="false" customHeight="false" outlineLevel="0" collapsed="false">
      <c r="I26" s="6" t="n">
        <v>23</v>
      </c>
      <c r="J26" s="12" t="n">
        <f aca="false">((1-C$2)*C$3*EXP(-$E$2*(I26^$G$2)))+(C$2*C$3*EXP(-$E$3*I26))</f>
        <v>0.943878273726703</v>
      </c>
    </row>
    <row r="27" customFormat="false" ht="15" hidden="false" customHeight="false" outlineLevel="0" collapsed="false">
      <c r="I27" s="6" t="n">
        <v>24</v>
      </c>
      <c r="J27" s="12" t="n">
        <f aca="false">((1-C$2)*C$3*EXP(-$E$2*(I27^$G$2)))+(C$2*C$3*EXP(-$E$3*I27))</f>
        <v>0.811555079149592</v>
      </c>
    </row>
    <row r="28" customFormat="false" ht="15" hidden="false" customHeight="false" outlineLevel="0" collapsed="false">
      <c r="I28" s="6" t="n">
        <v>25</v>
      </c>
      <c r="J28" s="12" t="n">
        <f aca="false">((1-C$2)*C$3*EXP(-$E$2*(I28^$G$2)))+(C$2*C$3*EXP(-$E$3*I28))</f>
        <v>0.697782399305657</v>
      </c>
    </row>
    <row r="29" customFormat="false" ht="15" hidden="false" customHeight="false" outlineLevel="0" collapsed="false">
      <c r="I29" s="6" t="n">
        <v>26</v>
      </c>
      <c r="J29" s="12" t="n">
        <f aca="false">((1-C$2)*C$3*EXP(-$E$2*(I29^$G$2)))+(C$2*C$3*EXP(-$E$3*I29))</f>
        <v>0.59995961985842</v>
      </c>
    </row>
    <row r="30" customFormat="false" ht="15" hidden="false" customHeight="false" outlineLevel="0" collapsed="false">
      <c r="I30" s="6" t="n">
        <v>27</v>
      </c>
      <c r="J30" s="12" t="n">
        <f aca="false">((1-C$2)*C$3*EXP(-$E$2*(I30^$G$2)))+(C$2*C$3*EXP(-$E$3*I30))</f>
        <v>0.515850709073254</v>
      </c>
    </row>
    <row r="31" customFormat="false" ht="15" hidden="false" customHeight="false" outlineLevel="0" collapsed="false">
      <c r="E31" s="19"/>
      <c r="F31" s="19"/>
      <c r="I31" s="6" t="n">
        <v>28</v>
      </c>
      <c r="J31" s="12" t="n">
        <f aca="false">((1-C$2)*C$3*EXP(-$E$2*(I31^$G$2)))+(C$2*C$3*EXP(-$E$3*I31))</f>
        <v>0.443533106635034</v>
      </c>
    </row>
    <row r="32" customFormat="false" ht="15" hidden="false" customHeight="false" outlineLevel="0" collapsed="false">
      <c r="E32" s="19"/>
      <c r="F32" s="19"/>
      <c r="I32" s="6" t="n">
        <v>29</v>
      </c>
      <c r="J32" s="12" t="n">
        <f aca="false">((1-C$2)*C$3*EXP(-$E$2*(I32^$G$2)))+(C$2*C$3*EXP(-$E$3*I32))</f>
        <v>0.381353777791142</v>
      </c>
    </row>
    <row r="33" customFormat="false" ht="15" hidden="false" customHeight="false" outlineLevel="0" collapsed="false">
      <c r="E33" s="19"/>
      <c r="F33" s="19"/>
      <c r="I33" s="6" t="n">
        <v>30</v>
      </c>
      <c r="J33" s="12" t="n">
        <f aca="false">((1-C$2)*C$3*EXP(-$E$2*(I33^$G$2)))+(C$2*C$3*EXP(-$E$3*I33))</f>
        <v>0.327891428306038</v>
      </c>
    </row>
    <row r="34" customFormat="false" ht="15" hidden="false" customHeight="false" outlineLevel="0" collapsed="false">
      <c r="E34" s="19"/>
      <c r="F34" s="19"/>
      <c r="I34" s="6" t="n">
        <v>31</v>
      </c>
      <c r="J34" s="12" t="n">
        <f aca="false">((1-C$2)*C$3*EXP(-$E$2*(I34^$G$2)))+(C$2*C$3*EXP(-$E$3*I34))</f>
        <v>0.281924016537357</v>
      </c>
    </row>
    <row r="35" customFormat="false" ht="15" hidden="false" customHeight="false" outlineLevel="0" collapsed="false">
      <c r="B35" s="19"/>
      <c r="C35" s="19"/>
      <c r="D35" s="19"/>
      <c r="E35" s="19"/>
      <c r="F35" s="19"/>
      <c r="I35" s="6" t="n">
        <v>32</v>
      </c>
      <c r="J35" s="12" t="n">
        <f aca="false">((1-C$2)*C$3*EXP(-$E$2*(I35^$G$2)))+(C$2*C$3*EXP(-$E$3*I35))</f>
        <v>0.242400820025012</v>
      </c>
    </row>
    <row r="36" customFormat="false" ht="15" hidden="false" customHeight="false" outlineLevel="0" collapsed="false">
      <c r="B36" s="19"/>
      <c r="C36" s="19"/>
      <c r="D36" s="19"/>
      <c r="E36" s="19"/>
      <c r="F36" s="19"/>
      <c r="I36" s="6" t="n">
        <v>33</v>
      </c>
      <c r="J36" s="12" t="n">
        <f aca="false">((1-C$2)*C$3*EXP(-$E$2*(I36^$G$2)))+(C$2*C$3*EXP(-$E$3*I36))</f>
        <v>0.208418418091785</v>
      </c>
    </row>
    <row r="37" customFormat="false" ht="15" hidden="false" customHeight="false" outlineLevel="0" collapsed="false">
      <c r="B37" s="19"/>
      <c r="C37" s="19"/>
      <c r="D37" s="19"/>
      <c r="E37" s="19"/>
      <c r="F37" s="19"/>
      <c r="I37" s="6" t="n">
        <v>34</v>
      </c>
      <c r="J37" s="12" t="n">
        <f aca="false">((1-C$2)*C$3*EXP(-$E$2*(I37^$G$2)))+(C$2*C$3*EXP(-$E$3*I37))</f>
        <v>0.179200041466032</v>
      </c>
    </row>
    <row r="38" customFormat="false" ht="15" hidden="false" customHeight="false" outlineLevel="0" collapsed="false">
      <c r="B38" s="19"/>
      <c r="C38" s="19"/>
      <c r="D38" s="19"/>
      <c r="E38" s="19"/>
      <c r="F38" s="19"/>
      <c r="I38" s="6" t="n">
        <v>35</v>
      </c>
      <c r="J38" s="12" t="n">
        <f aca="false">((1-C$2)*C$3*EXP(-$E$2*(I38^$G$2)))+(C$2*C$3*EXP(-$E$3*I38))</f>
        <v>0.15407781690045</v>
      </c>
    </row>
    <row r="39" customFormat="false" ht="15" hidden="false" customHeight="false" outlineLevel="0" collapsed="false">
      <c r="B39" s="19"/>
      <c r="C39" s="19"/>
      <c r="D39" s="19"/>
      <c r="E39" s="19"/>
      <c r="F39" s="19"/>
      <c r="I39" s="6" t="n">
        <v>36</v>
      </c>
      <c r="J39" s="12" t="n">
        <f aca="false">((1-C$2)*C$3*EXP(-$E$2*(I39^$G$2)))+(C$2*C$3*EXP(-$E$3*I39))</f>
        <v>0.132477500934667</v>
      </c>
    </row>
    <row r="40" customFormat="false" ht="15" hidden="false" customHeight="false" outlineLevel="0" collapsed="false">
      <c r="B40" s="19"/>
      <c r="C40" s="19"/>
      <c r="D40" s="19"/>
      <c r="E40" s="19"/>
      <c r="F40" s="19"/>
      <c r="I40" s="6" t="n">
        <v>37</v>
      </c>
      <c r="J40" s="12" t="n">
        <f aca="false">((1-C$2)*C$3*EXP(-$E$2*(I40^$G$2)))+(C$2*C$3*EXP(-$E$3*I40))</f>
        <v>0.113905353846192</v>
      </c>
    </row>
    <row r="41" customFormat="false" ht="15" hidden="false" customHeight="false" outlineLevel="0" collapsed="false">
      <c r="B41" s="19"/>
      <c r="C41" s="19"/>
      <c r="D41" s="19"/>
      <c r="E41" s="19"/>
      <c r="F41" s="19"/>
      <c r="I41" s="6" t="n">
        <v>38</v>
      </c>
      <c r="J41" s="12" t="n">
        <f aca="false">((1-C$2)*C$3*EXP(-$E$2*(I41^$G$2)))+(C$2*C$3*EXP(-$E$3*I41))</f>
        <v>0.0979368537546981</v>
      </c>
    </row>
    <row r="42" customFormat="false" ht="15" hidden="false" customHeight="false" outlineLevel="0" collapsed="false">
      <c r="B42" s="19"/>
      <c r="C42" s="19"/>
      <c r="D42" s="19"/>
      <c r="E42" s="19"/>
      <c r="F42" s="19"/>
      <c r="I42" s="6" t="n">
        <v>39</v>
      </c>
      <c r="J42" s="12" t="n">
        <f aca="false">((1-C$2)*C$3*EXP(-$E$2*(I42^$G$2)))+(C$2*C$3*EXP(-$E$3*I42))</f>
        <v>0.0842069929067671</v>
      </c>
    </row>
    <row r="43" customFormat="false" ht="15" hidden="false" customHeight="false" outlineLevel="0" collapsed="false">
      <c r="B43" s="19"/>
      <c r="C43" s="19"/>
      <c r="D43" s="19"/>
      <c r="E43" s="19"/>
      <c r="F43" s="19"/>
      <c r="I43" s="6" t="n">
        <v>40</v>
      </c>
      <c r="J43" s="12" t="n">
        <f aca="false">((1-C$2)*C$3*EXP(-$E$2*(I43^$G$2)))+(C$2*C$3*EXP(-$E$3*I43))</f>
        <v>0.0724019343337356</v>
      </c>
    </row>
    <row r="44" customFormat="false" ht="15" hidden="false" customHeight="false" outlineLevel="0" collapsed="false">
      <c r="B44" s="19"/>
      <c r="C44" s="19"/>
      <c r="D44" s="19"/>
      <c r="E44" s="19"/>
      <c r="F44" s="19"/>
      <c r="I44" s="6" t="n">
        <v>41</v>
      </c>
      <c r="J44" s="12" t="n">
        <f aca="false">((1-C$2)*C$3*EXP(-$E$2*(I44^$G$2)))+(C$2*C$3*EXP(-$E$3*I44))</f>
        <v>0.0622518381706194</v>
      </c>
    </row>
    <row r="45" customFormat="false" ht="15" hidden="false" customHeight="false" outlineLevel="0" collapsed="false">
      <c r="B45" s="19"/>
      <c r="C45" s="19"/>
      <c r="D45" s="19"/>
      <c r="E45" s="19"/>
      <c r="F45" s="19"/>
      <c r="I45" s="6" t="n">
        <v>42</v>
      </c>
      <c r="J45" s="12" t="n">
        <f aca="false">((1-C$2)*C$3*EXP(-$E$2*(I45^$G$2)))+(C$2*C$3*EXP(-$E$3*I45))</f>
        <v>0.0535246936602259</v>
      </c>
    </row>
    <row r="46" customFormat="false" ht="15" hidden="false" customHeight="false" outlineLevel="0" collapsed="false">
      <c r="B46" s="19"/>
      <c r="C46" s="19"/>
      <c r="D46" s="19"/>
      <c r="E46" s="19"/>
      <c r="F46" s="19"/>
      <c r="I46" s="6" t="n">
        <v>43</v>
      </c>
      <c r="J46" s="12" t="n">
        <f aca="false">((1-C$2)*C$3*EXP(-$E$2*(I46^$G$2)))+(C$2*C$3*EXP(-$E$3*I46))</f>
        <v>0.0460210158544869</v>
      </c>
    </row>
    <row r="47" customFormat="false" ht="15" hidden="false" customHeight="false" outlineLevel="0" collapsed="false">
      <c r="B47" s="19"/>
      <c r="C47" s="19"/>
      <c r="D47" s="19"/>
      <c r="E47" s="19"/>
      <c r="F47" s="19"/>
      <c r="I47" s="6" t="n">
        <v>44</v>
      </c>
      <c r="J47" s="12" t="n">
        <f aca="false">((1-C$2)*C$3*EXP(-$E$2*(I47^$G$2)))+(C$2*C$3*EXP(-$E$3*I47))</f>
        <v>0.0395692857902849</v>
      </c>
    </row>
    <row r="48" customFormat="false" ht="15" hidden="false" customHeight="false" outlineLevel="0" collapsed="false">
      <c r="B48" s="19"/>
      <c r="C48" s="19"/>
      <c r="D48" s="19"/>
      <c r="E48" s="19"/>
      <c r="F48" s="19"/>
      <c r="I48" s="6" t="n">
        <v>45</v>
      </c>
      <c r="J48" s="12" t="n">
        <f aca="false">((1-C$2)*C$3*EXP(-$E$2*(I48^$G$2)))+(C$2*C$3*EXP(-$E$3*I48))</f>
        <v>0.0340220299113756</v>
      </c>
    </row>
    <row r="49" customFormat="false" ht="15" hidden="false" customHeight="false" outlineLevel="0" collapsed="false">
      <c r="B49" s="19"/>
      <c r="C49" s="19"/>
      <c r="D49" s="19"/>
      <c r="E49" s="19"/>
      <c r="F49" s="19"/>
      <c r="G49" s="19"/>
      <c r="H49" s="19"/>
      <c r="I49" s="6" t="n">
        <v>46</v>
      </c>
      <c r="J49" s="12" t="n">
        <f aca="false">((1-C$2)*C$3*EXP(-$E$2*(I49^$G$2)))+(C$2*C$3*EXP(-$E$3*I49))</f>
        <v>0.029252449119886</v>
      </c>
    </row>
    <row r="50" customFormat="false" ht="15" hidden="false" customHeight="false" outlineLevel="0" collapsed="false">
      <c r="B50" s="19"/>
      <c r="C50" s="19"/>
      <c r="D50" s="19"/>
      <c r="E50" s="19"/>
      <c r="F50" s="19"/>
      <c r="G50" s="19"/>
      <c r="H50" s="19"/>
      <c r="I50" s="6" t="n">
        <v>47</v>
      </c>
      <c r="J50" s="12" t="n">
        <f aca="false">((1-C$2)*C$3*EXP(-$E$2*(I50^$G$2)))+(C$2*C$3*EXP(-$E$3*I50))</f>
        <v>0.0251515204042956</v>
      </c>
    </row>
    <row r="51" customFormat="false" ht="15" hidden="false" customHeight="false" outlineLevel="0" collapsed="false">
      <c r="B51" s="19"/>
      <c r="C51" s="19"/>
      <c r="D51" s="19"/>
      <c r="E51" s="19"/>
      <c r="F51" s="19"/>
      <c r="G51" s="19"/>
      <c r="H51" s="19"/>
      <c r="I51" s="6" t="n">
        <v>48</v>
      </c>
      <c r="J51" s="12" t="n">
        <f aca="false">((1-C$2)*C$3*EXP(-$E$2*(I51^$G$2)))+(C$2*C$3*EXP(-$E$3*I51))</f>
        <v>0.0216255047929527</v>
      </c>
    </row>
    <row r="52" customFormat="false" ht="15" hidden="false" customHeight="false" outlineLevel="0" collapsed="false">
      <c r="B52" s="19"/>
      <c r="C52" s="19"/>
      <c r="D52" s="19"/>
      <c r="E52" s="19"/>
      <c r="F52" s="19"/>
      <c r="G52" s="19"/>
      <c r="H52" s="19"/>
      <c r="I52" s="6" t="n">
        <v>49</v>
      </c>
      <c r="J52" s="12" t="n">
        <f aca="false">((1-C$2)*C$3*EXP(-$E$2*(I52^$G$2)))+(C$2*C$3*EXP(-$E$3*I52))</f>
        <v>0.0185938046699613</v>
      </c>
    </row>
    <row r="53" customFormat="false" ht="15" hidden="false" customHeight="false" outlineLevel="0" collapsed="false">
      <c r="B53" s="19"/>
      <c r="C53" s="19"/>
      <c r="D53" s="19"/>
      <c r="E53" s="19"/>
      <c r="F53" s="19"/>
      <c r="G53" s="19"/>
      <c r="H53" s="19"/>
      <c r="I53" s="6" t="n">
        <v>50</v>
      </c>
      <c r="J53" s="12" t="n">
        <f aca="false">((1-C$2)*C$3*EXP(-$E$2*(I53^$G$2)))+(C$2*C$3*EXP(-$E$3*I53))</f>
        <v>0.0159871214759963</v>
      </c>
    </row>
    <row r="54" customFormat="false" ht="15" hidden="false" customHeight="false" outlineLevel="0" collapsed="false">
      <c r="B54" s="19"/>
      <c r="C54" s="19"/>
      <c r="D54" s="19"/>
      <c r="E54" s="19"/>
      <c r="F54" s="19"/>
      <c r="G54" s="19"/>
      <c r="H54" s="19"/>
      <c r="I54" s="6" t="n">
        <v>51</v>
      </c>
      <c r="J54" s="12" t="n">
        <f aca="false">((1-C$2)*C$3*EXP(-$E$2*(I54^$G$2)))+(C$2*C$3*EXP(-$E$3*I54))</f>
        <v>0.0137458716827961</v>
      </c>
    </row>
    <row r="55" customFormat="false" ht="15" hidden="false" customHeight="false" outlineLevel="0" collapsed="false">
      <c r="B55" s="19"/>
      <c r="C55" s="19"/>
      <c r="D55" s="19"/>
      <c r="E55" s="19"/>
      <c r="F55" s="19"/>
      <c r="G55" s="19"/>
      <c r="H55" s="19"/>
      <c r="I55" s="6" t="n">
        <v>52</v>
      </c>
      <c r="J55" s="12" t="n">
        <f aca="false">((1-C$2)*C$3*EXP(-$E$2*(I55^$G$2)))+(C$2*C$3*EXP(-$E$3*I55))</f>
        <v>0.0118188248337007</v>
      </c>
    </row>
    <row r="56" customFormat="false" ht="15" hidden="false" customHeight="false" outlineLevel="0" collapsed="false">
      <c r="B56" s="19"/>
      <c r="C56" s="19"/>
      <c r="D56" s="19"/>
      <c r="E56" s="19"/>
      <c r="F56" s="19"/>
      <c r="G56" s="19"/>
      <c r="H56" s="19"/>
      <c r="I56" s="6" t="n">
        <v>53</v>
      </c>
      <c r="J56" s="12" t="n">
        <f aca="false">((1-C$2)*C$3*EXP(-$E$2*(I56^$G$2)))+(C$2*C$3*EXP(-$E$3*I56))</f>
        <v>0.0101619325185849</v>
      </c>
    </row>
    <row r="57" customFormat="false" ht="15" hidden="false" customHeight="false" outlineLevel="0" collapsed="false">
      <c r="B57" s="19"/>
      <c r="C57" s="19"/>
      <c r="D57" s="19"/>
      <c r="E57" s="19"/>
      <c r="F57" s="19"/>
      <c r="G57" s="19"/>
      <c r="H57" s="19"/>
      <c r="I57" s="6" t="n">
        <v>54</v>
      </c>
      <c r="J57" s="12" t="n">
        <f aca="false">((1-C$2)*C$3*EXP(-$E$2*(I57^$G$2)))+(C$2*C$3*EXP(-$E$3*I57))</f>
        <v>0.00873732151591068</v>
      </c>
    </row>
    <row r="58" customFormat="false" ht="15" hidden="false" customHeight="false" outlineLevel="0" collapsed="false">
      <c r="B58" s="19"/>
      <c r="C58" s="19"/>
      <c r="D58" s="19"/>
      <c r="G58" s="19"/>
      <c r="H58" s="19"/>
      <c r="I58" s="6" t="n">
        <v>55</v>
      </c>
      <c r="J58" s="12" t="n">
        <f aca="false">((1-C$2)*C$3*EXP(-$E$2*(I58^$G$2)))+(C$2*C$3*EXP(-$E$3*I58))</f>
        <v>0.00751242808715549</v>
      </c>
    </row>
    <row r="59" customFormat="false" ht="15" hidden="false" customHeight="false" outlineLevel="0" collapsed="false">
      <c r="B59" s="19"/>
      <c r="C59" s="19"/>
      <c r="D59" s="19"/>
      <c r="G59" s="19"/>
      <c r="H59" s="19"/>
      <c r="I59" s="6" t="n">
        <v>56</v>
      </c>
      <c r="J59" s="12" t="n">
        <f aca="false">((1-C$2)*C$3*EXP(-$E$2*(I59^$G$2)))+(C$2*C$3*EXP(-$E$3*I59))</f>
        <v>0.00645925363532882</v>
      </c>
    </row>
    <row r="60" customFormat="false" ht="15" hidden="false" customHeight="false" outlineLevel="0" collapsed="false">
      <c r="B60" s="19"/>
      <c r="C60" s="19"/>
      <c r="D60" s="19"/>
      <c r="G60" s="19"/>
      <c r="H60" s="19"/>
      <c r="I60" s="6" t="n">
        <v>57</v>
      </c>
      <c r="J60" s="12" t="n">
        <f aca="false">((1-C$2)*C$3*EXP(-$E$2*(I60^$G$2)))+(C$2*C$3*EXP(-$E$3*I60))</f>
        <v>0.00555372471343098</v>
      </c>
    </row>
    <row r="61" customFormat="false" ht="15" hidden="false" customHeight="false" outlineLevel="0" collapsed="false">
      <c r="B61" s="19"/>
      <c r="C61" s="19"/>
      <c r="D61" s="19"/>
      <c r="G61" s="19"/>
      <c r="H61" s="19"/>
      <c r="I61" s="6" t="n">
        <v>58</v>
      </c>
      <c r="J61" s="12" t="n">
        <f aca="false">((1-C$2)*C$3*EXP(-$E$2*(I61^$G$2)))+(C$2*C$3*EXP(-$E$3*I61))</f>
        <v>0.00477514275393583</v>
      </c>
    </row>
    <row r="62" customFormat="false" ht="15" hidden="false" customHeight="false" outlineLevel="0" collapsed="false">
      <c r="G62" s="19"/>
      <c r="H62" s="19"/>
      <c r="I62" s="6" t="n">
        <v>59</v>
      </c>
      <c r="J62" s="12" t="n">
        <f aca="false">((1-C$2)*C$3*EXP(-$E$2*(I62^$G$2)))+(C$2*C$3*EXP(-$E$3*I62))</f>
        <v>0.00410571094122151</v>
      </c>
    </row>
    <row r="63" customFormat="false" ht="15" hidden="false" customHeight="false" outlineLevel="0" collapsed="false">
      <c r="G63" s="19"/>
      <c r="H63" s="19"/>
      <c r="I63" s="6" t="n">
        <v>60</v>
      </c>
      <c r="J63" s="12" t="n">
        <f aca="false">((1-C$2)*C$3*EXP(-$E$2*(I63^$G$2)))+(C$2*C$3*EXP(-$E$3*I63))</f>
        <v>0.00353012741220605</v>
      </c>
    </row>
    <row r="64" customFormat="false" ht="15" hidden="false" customHeight="false" outlineLevel="0" collapsed="false">
      <c r="G64" s="19"/>
      <c r="H64" s="19"/>
      <c r="I64" s="19"/>
    </row>
    <row r="65" customFormat="false" ht="15" hidden="false" customHeight="false" outlineLevel="0" collapsed="false">
      <c r="G65" s="19"/>
      <c r="H65" s="19"/>
      <c r="I65" s="19"/>
    </row>
    <row r="66" customFormat="false" ht="15" hidden="false" customHeight="false" outlineLevel="0" collapsed="false">
      <c r="G66" s="19"/>
      <c r="H66" s="19"/>
      <c r="I66" s="19"/>
    </row>
    <row r="67" customFormat="false" ht="15" hidden="false" customHeight="false" outlineLevel="0" collapsed="false">
      <c r="G67" s="19"/>
      <c r="H67" s="19"/>
      <c r="I67" s="19"/>
    </row>
    <row r="68" customFormat="false" ht="15" hidden="false" customHeight="false" outlineLevel="0" collapsed="false">
      <c r="G68" s="19"/>
      <c r="H68" s="19"/>
      <c r="I68" s="19"/>
    </row>
    <row r="69" customFormat="false" ht="15" hidden="false" customHeight="false" outlineLevel="0" collapsed="false">
      <c r="G69" s="19"/>
      <c r="H69" s="19"/>
      <c r="I69" s="19"/>
    </row>
    <row r="70" customFormat="false" ht="15" hidden="false" customHeight="false" outlineLevel="0" collapsed="false">
      <c r="G70" s="19"/>
      <c r="H70" s="19"/>
      <c r="I70" s="19"/>
    </row>
    <row r="71" customFormat="false" ht="15" hidden="false" customHeight="false" outlineLevel="0" collapsed="false">
      <c r="G71" s="19"/>
      <c r="H71" s="19"/>
      <c r="I71" s="19"/>
    </row>
    <row r="72" customFormat="false" ht="15" hidden="false" customHeight="false" outlineLevel="0" collapsed="false">
      <c r="G72" s="19"/>
      <c r="H72" s="19"/>
      <c r="I72" s="19"/>
    </row>
    <row r="73" customFormat="false" ht="15" hidden="false" customHeight="false" outlineLevel="0" collapsed="false">
      <c r="G73" s="19"/>
      <c r="H73" s="19"/>
      <c r="I73" s="19"/>
    </row>
    <row r="74" customFormat="false" ht="15" hidden="false" customHeight="false" outlineLevel="0" collapsed="false">
      <c r="G74" s="19"/>
      <c r="H74" s="19"/>
      <c r="I74" s="19"/>
    </row>
    <row r="75" customFormat="false" ht="15" hidden="false" customHeight="false" outlineLevel="0" collapsed="false">
      <c r="G75" s="19"/>
      <c r="H75" s="19"/>
      <c r="I75" s="19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&amp;C_x005F_x000D_&amp;1#&amp;"Default,Regular"&amp;10&amp;Kd89b2b Confidential - Company Proprietary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23.57"/>
    <col collapsed="false" customWidth="true" hidden="false" outlineLevel="0" max="4" min="4" style="0" width="24.42"/>
  </cols>
  <sheetData>
    <row r="2" customFormat="false" ht="15" hidden="false" customHeight="false" outlineLevel="0" collapsed="false">
      <c r="B2" s="1" t="s">
        <v>0</v>
      </c>
      <c r="C2" s="2" t="n">
        <v>0.00224075866587871</v>
      </c>
      <c r="D2" s="3" t="s">
        <v>1</v>
      </c>
      <c r="E2" s="4" t="n">
        <v>1.06330619230889</v>
      </c>
      <c r="F2" s="3" t="s">
        <v>2</v>
      </c>
      <c r="G2" s="5" t="n">
        <v>1.29903153110392</v>
      </c>
      <c r="I2" s="6" t="s">
        <v>3</v>
      </c>
      <c r="J2" s="6" t="s">
        <v>4</v>
      </c>
    </row>
    <row r="3" customFormat="false" ht="15" hidden="false" customHeight="false" outlineLevel="0" collapsed="false">
      <c r="B3" s="7" t="s">
        <v>5</v>
      </c>
      <c r="C3" s="8" t="n">
        <f aca="false">(B6+B12)/2</f>
        <v>5350</v>
      </c>
      <c r="D3" s="9" t="s">
        <v>6</v>
      </c>
      <c r="E3" s="10" t="n">
        <v>0.0125857754623776</v>
      </c>
      <c r="F3" s="9"/>
      <c r="G3" s="11"/>
      <c r="I3" s="6" t="n">
        <v>0</v>
      </c>
      <c r="J3" s="12" t="n">
        <f aca="false">((1-C$2)*C$3*EXP(-$E$2*(I3^$G$2)))+(C$2*C$3*EXP(-$E$3*I3))</f>
        <v>5350</v>
      </c>
    </row>
    <row r="4" customFormat="false" ht="15" hidden="false" customHeight="false" outlineLevel="0" collapsed="false">
      <c r="I4" s="6" t="n">
        <v>1</v>
      </c>
      <c r="J4" s="12" t="n">
        <f aca="false">((1-C$2)*C$3*EXP(-$E$2*(I4^$G$2)))+(C$2*C$3*EXP(-$E$3*I4))</f>
        <v>1855.11905125877</v>
      </c>
    </row>
    <row r="5" customFormat="false" ht="15" hidden="false" customHeight="false" outlineLevel="0" collapsed="false">
      <c r="B5" s="13" t="s">
        <v>7</v>
      </c>
      <c r="C5" s="14" t="s">
        <v>8</v>
      </c>
      <c r="D5" s="14" t="s">
        <v>9</v>
      </c>
      <c r="E5" s="15"/>
      <c r="I5" s="6" t="n">
        <v>2</v>
      </c>
      <c r="J5" s="12" t="n">
        <f aca="false">((1-C$2)*C$3*EXP(-$E$2*(I5^$G$2)))+(C$2*C$3*EXP(-$E$3*I5))</f>
        <v>401.710283027859</v>
      </c>
    </row>
    <row r="6" customFormat="false" ht="15" hidden="false" customHeight="false" outlineLevel="0" collapsed="false">
      <c r="B6" s="16" t="n">
        <v>5600</v>
      </c>
      <c r="C6" s="17" t="n">
        <v>0</v>
      </c>
      <c r="D6" s="16" t="n">
        <v>5350</v>
      </c>
      <c r="E6" s="15"/>
      <c r="I6" s="6" t="n">
        <v>3</v>
      </c>
      <c r="J6" s="12" t="n">
        <f aca="false">((1-C$2)*C$3*EXP(-$E$2*(I6^$G$2)))+(C$2*C$3*EXP(-$E$3*I6))</f>
        <v>75.1110069145721</v>
      </c>
    </row>
    <row r="7" customFormat="false" ht="15" hidden="false" customHeight="false" outlineLevel="0" collapsed="false">
      <c r="B7" s="16" t="n">
        <v>3900</v>
      </c>
      <c r="C7" s="17" t="n">
        <v>0.686406436310531</v>
      </c>
      <c r="D7" s="16" t="n">
        <v>2792.48277774693</v>
      </c>
      <c r="E7" s="15"/>
      <c r="I7" s="6" t="n">
        <v>4</v>
      </c>
      <c r="J7" s="12" t="n">
        <f aca="false">((1-C$2)*C$3*EXP(-$E$2*(I7^$G$2)))+(C$2*C$3*EXP(-$E$3*I7))</f>
        <v>19.937891751549</v>
      </c>
    </row>
    <row r="8" customFormat="false" ht="15" hidden="false" customHeight="false" outlineLevel="0" collapsed="false">
      <c r="B8" s="16" t="n">
        <v>500</v>
      </c>
      <c r="C8" s="17" t="n">
        <v>1.99305397968086</v>
      </c>
      <c r="D8" s="16" t="n">
        <v>406.339986688643</v>
      </c>
      <c r="E8" s="15"/>
      <c r="I8" s="6" t="n">
        <v>5</v>
      </c>
      <c r="J8" s="12" t="n">
        <f aca="false">((1-C$2)*C$3*EXP(-$E$2*(I8^$G$2)))+(C$2*C$3*EXP(-$E$3*I8))</f>
        <v>12.2368709652563</v>
      </c>
    </row>
    <row r="9" customFormat="false" ht="15" hidden="false" customHeight="false" outlineLevel="0" collapsed="false">
      <c r="B9" s="16" t="n">
        <v>58</v>
      </c>
      <c r="C9" s="17" t="n">
        <v>3.21619260321904</v>
      </c>
      <c r="D9" s="16" t="n">
        <v>53.3145036221413</v>
      </c>
      <c r="E9" s="15"/>
      <c r="I9" s="6" t="n">
        <v>6</v>
      </c>
      <c r="J9" s="12" t="n">
        <f aca="false">((1-C$2)*C$3*EXP(-$E$2*(I9^$G$2)))+(C$2*C$3*EXP(-$E$3*I9))</f>
        <v>11.2144664277081</v>
      </c>
    </row>
    <row r="10" customFormat="false" ht="15" hidden="false" customHeight="false" outlineLevel="0" collapsed="false">
      <c r="B10" s="16" t="n">
        <v>24</v>
      </c>
      <c r="C10" s="17" t="n">
        <v>5.9428784807779</v>
      </c>
      <c r="D10" s="16" t="n">
        <v>11.2366340324238</v>
      </c>
      <c r="E10" s="15"/>
      <c r="I10" s="6" t="n">
        <v>7</v>
      </c>
      <c r="J10" s="12" t="n">
        <f aca="false">((1-C$2)*C$3*EXP(-$E$2*(I10^$G$2)))+(C$2*C$3*EXP(-$E$3*I10))</f>
        <v>10.9858642156998</v>
      </c>
    </row>
    <row r="11" customFormat="false" ht="15" hidden="false" customHeight="false" outlineLevel="0" collapsed="false">
      <c r="B11" s="16" t="n">
        <v>8</v>
      </c>
      <c r="C11" s="17" t="n">
        <v>13.2846207787973</v>
      </c>
      <c r="D11" s="16" t="n">
        <v>10.1422899434961</v>
      </c>
      <c r="E11" s="15"/>
      <c r="I11" s="6" t="n">
        <v>8</v>
      </c>
      <c r="J11" s="12" t="n">
        <f aca="false">((1-C$2)*C$3*EXP(-$E$2*(I11^$G$2)))+(C$2*C$3*EXP(-$E$3*I11))</f>
        <v>10.8405071372095</v>
      </c>
    </row>
    <row r="12" customFormat="false" ht="15" hidden="false" customHeight="false" outlineLevel="0" collapsed="false">
      <c r="B12" s="16" t="n">
        <v>5100</v>
      </c>
      <c r="C12" s="17" t="n">
        <v>0</v>
      </c>
      <c r="D12" s="16" t="n">
        <v>5350</v>
      </c>
      <c r="E12" s="15"/>
      <c r="I12" s="6" t="n">
        <v>9</v>
      </c>
      <c r="J12" s="12" t="n">
        <f aca="false">((1-C$2)*C$3*EXP(-$E$2*(I12^$G$2)))+(C$2*C$3*EXP(-$E$3*I12))</f>
        <v>10.7042822460641</v>
      </c>
    </row>
    <row r="13" customFormat="false" ht="15" hidden="false" customHeight="false" outlineLevel="0" collapsed="false">
      <c r="B13" s="16" t="n">
        <v>540</v>
      </c>
      <c r="C13" s="17" t="n">
        <v>1.52256675005619</v>
      </c>
      <c r="D13" s="16" t="n">
        <v>863.078519102912</v>
      </c>
      <c r="E13" s="15"/>
      <c r="I13" s="6" t="n">
        <v>10</v>
      </c>
      <c r="J13" s="12" t="n">
        <f aca="false">((1-C$2)*C$3*EXP(-$E$2*(I13^$G$2)))+(C$2*C$3*EXP(-$E$3*I13))</f>
        <v>10.5703575742819</v>
      </c>
    </row>
    <row r="14" customFormat="false" ht="15" hidden="false" customHeight="false" outlineLevel="0" collapsed="false">
      <c r="B14" s="16" t="n">
        <v>12</v>
      </c>
      <c r="C14" s="17" t="n">
        <v>4.47954664551733</v>
      </c>
      <c r="D14" s="16" t="n">
        <v>14.4093951519216</v>
      </c>
      <c r="E14" s="15"/>
      <c r="I14" s="6" t="n">
        <v>11</v>
      </c>
      <c r="J14" s="12" t="n">
        <f aca="false">((1-C$2)*C$3*EXP(-$E$2*(I14^$G$2)))+(C$2*C$3*EXP(-$E$3*I14))</f>
        <v>10.4381519405221</v>
      </c>
    </row>
    <row r="15" customFormat="false" ht="15" hidden="false" customHeight="false" outlineLevel="0" collapsed="false">
      <c r="B15" s="16" t="n">
        <v>6</v>
      </c>
      <c r="C15" s="17" t="n">
        <v>7.3227629386573</v>
      </c>
      <c r="D15" s="16" t="n">
        <v>10.9365205266325</v>
      </c>
      <c r="I15" s="6" t="n">
        <v>12</v>
      </c>
      <c r="J15" s="12" t="n">
        <f aca="false">((1-C$2)*C$3*EXP(-$E$2*(I15^$G$2)))+(C$2*C$3*EXP(-$E$3*I15))</f>
        <v>10.3076027618358</v>
      </c>
    </row>
    <row r="16" customFormat="false" ht="15" hidden="false" customHeight="false" outlineLevel="0" collapsed="false">
      <c r="B16" s="16" t="n">
        <v>12</v>
      </c>
      <c r="C16" s="17" t="n">
        <v>13.9613979720855</v>
      </c>
      <c r="D16" s="16" t="n">
        <v>10.0562671739186</v>
      </c>
      <c r="I16" s="6" t="n">
        <v>13</v>
      </c>
      <c r="J16" s="12" t="n">
        <f aca="false">((1-C$2)*C$3*EXP(-$E$2*(I16^$G$2)))+(C$2*C$3*EXP(-$E$3*I16))</f>
        <v>10.1786865337444</v>
      </c>
    </row>
    <row r="17" customFormat="false" ht="15" hidden="false" customHeight="false" outlineLevel="0" collapsed="false">
      <c r="B17" s="16" t="n">
        <v>8</v>
      </c>
      <c r="C17" s="17" t="n">
        <v>34.8666767235899</v>
      </c>
      <c r="D17" s="16" t="n">
        <v>7.72983019382439</v>
      </c>
      <c r="I17" s="6" t="n">
        <v>14</v>
      </c>
      <c r="J17" s="12" t="n">
        <f aca="false">((1-C$2)*C$3*EXP(-$E$2*(I17^$G$2)))+(C$2*C$3*EXP(-$E$3*I17))</f>
        <v>10.0513826593468</v>
      </c>
    </row>
    <row r="18" customFormat="false" ht="15" hidden="false" customHeight="false" outlineLevel="0" collapsed="false">
      <c r="B18" s="15"/>
      <c r="C18" s="18"/>
      <c r="D18" s="15"/>
      <c r="I18" s="6" t="n">
        <v>15</v>
      </c>
      <c r="J18" s="12" t="n">
        <f aca="false">((1-C$2)*C$3*EXP(-$E$2*(I18^$G$2)))+(C$2*C$3*EXP(-$E$3*I18))</f>
        <v>9.92567096307965</v>
      </c>
    </row>
    <row r="19" customFormat="false" ht="15" hidden="false" customHeight="false" outlineLevel="0" collapsed="false">
      <c r="B19" s="15"/>
      <c r="C19" s="18"/>
      <c r="D19" s="15"/>
      <c r="I19" s="6" t="n">
        <v>16</v>
      </c>
      <c r="J19" s="12" t="n">
        <f aca="false">((1-C$2)*C$3*EXP(-$E$2*(I19^$G$2)))+(C$2*C$3*EXP(-$E$3*I19))</f>
        <v>9.80153153118566</v>
      </c>
    </row>
    <row r="20" customFormat="false" ht="15" hidden="false" customHeight="false" outlineLevel="0" collapsed="false">
      <c r="C20" s="18"/>
      <c r="D20" s="15"/>
      <c r="I20" s="6" t="n">
        <v>17</v>
      </c>
      <c r="J20" s="12" t="n">
        <f aca="false">((1-C$2)*C$3*EXP(-$E$2*(I20^$G$2)))+(C$2*C$3*EXP(-$E$3*I20))</f>
        <v>9.67894469947567</v>
      </c>
    </row>
    <row r="21" customFormat="false" ht="15" hidden="false" customHeight="false" outlineLevel="0" collapsed="false">
      <c r="I21" s="6" t="n">
        <v>18</v>
      </c>
      <c r="J21" s="12" t="n">
        <f aca="false">((1-C$2)*C$3*EXP(-$E$2*(I21^$G$2)))+(C$2*C$3*EXP(-$E$3*I21))</f>
        <v>9.55789104972419</v>
      </c>
    </row>
    <row r="22" customFormat="false" ht="15" hidden="false" customHeight="false" outlineLevel="0" collapsed="false">
      <c r="I22" s="6" t="n">
        <v>19</v>
      </c>
      <c r="J22" s="12" t="n">
        <f aca="false">((1-C$2)*C$3*EXP(-$E$2*(I22^$G$2)))+(C$2*C$3*EXP(-$E$3*I22))</f>
        <v>9.43835140656879</v>
      </c>
    </row>
    <row r="23" customFormat="false" ht="15" hidden="false" customHeight="false" outlineLevel="0" collapsed="false">
      <c r="I23" s="6" t="n">
        <v>20</v>
      </c>
      <c r="J23" s="12" t="n">
        <f aca="false">((1-C$2)*C$3*EXP(-$E$2*(I23^$G$2)))+(C$2*C$3*EXP(-$E$3*I23))</f>
        <v>9.32030683447158</v>
      </c>
    </row>
    <row r="24" customFormat="false" ht="15" hidden="false" customHeight="false" outlineLevel="0" collapsed="false">
      <c r="I24" s="6" t="n">
        <v>21</v>
      </c>
      <c r="J24" s="12" t="n">
        <f aca="false">((1-C$2)*C$3*EXP(-$E$2*(I24^$G$2)))+(C$2*C$3*EXP(-$E$3*I24))</f>
        <v>9.20373863471964</v>
      </c>
    </row>
    <row r="25" customFormat="false" ht="15" hidden="false" customHeight="false" outlineLevel="0" collapsed="false">
      <c r="I25" s="6" t="n">
        <v>22</v>
      </c>
      <c r="J25" s="12" t="n">
        <f aca="false">((1-C$2)*C$3*EXP(-$E$2*(I25^$G$2)))+(C$2*C$3*EXP(-$E$3*I25))</f>
        <v>9.08862834246309</v>
      </c>
    </row>
    <row r="26" customFormat="false" ht="15" hidden="false" customHeight="false" outlineLevel="0" collapsed="false">
      <c r="I26" s="6" t="n">
        <v>23</v>
      </c>
      <c r="J26" s="12" t="n">
        <f aca="false">((1-C$2)*C$3*EXP(-$E$2*(I26^$G$2)))+(C$2*C$3*EXP(-$E$3*I26))</f>
        <v>8.97495772379022</v>
      </c>
    </row>
    <row r="27" customFormat="false" ht="15" hidden="false" customHeight="false" outlineLevel="0" collapsed="false">
      <c r="I27" s="6" t="n">
        <v>24</v>
      </c>
      <c r="J27" s="12" t="n">
        <f aca="false">((1-C$2)*C$3*EXP(-$E$2*(I27^$G$2)))+(C$2*C$3*EXP(-$E$3*I27))</f>
        <v>8.8627087728391</v>
      </c>
    </row>
    <row r="28" customFormat="false" ht="15" hidden="false" customHeight="false" outlineLevel="0" collapsed="false">
      <c r="I28" s="6" t="n">
        <v>25</v>
      </c>
      <c r="J28" s="12" t="n">
        <f aca="false">((1-C$2)*C$3*EXP(-$E$2*(I28^$G$2)))+(C$2*C$3*EXP(-$E$3*I28))</f>
        <v>8.75186370894543</v>
      </c>
    </row>
    <row r="29" customFormat="false" ht="15" hidden="false" customHeight="false" outlineLevel="0" collapsed="false">
      <c r="I29" s="6" t="n">
        <v>26</v>
      </c>
      <c r="J29" s="12" t="n">
        <f aca="false">((1-C$2)*C$3*EXP(-$E$2*(I29^$G$2)))+(C$2*C$3*EXP(-$E$3*I29))</f>
        <v>8.64240497382601</v>
      </c>
    </row>
    <row r="30" customFormat="false" ht="15" hidden="false" customHeight="false" outlineLevel="0" collapsed="false">
      <c r="I30" s="6" t="n">
        <v>27</v>
      </c>
      <c r="J30" s="12" t="n">
        <f aca="false">((1-C$2)*C$3*EXP(-$E$2*(I30^$G$2)))+(C$2*C$3*EXP(-$E$3*I30))</f>
        <v>8.53431522879744</v>
      </c>
    </row>
    <row r="31" customFormat="false" ht="15" hidden="false" customHeight="false" outlineLevel="0" collapsed="false">
      <c r="I31" s="6" t="n">
        <v>28</v>
      </c>
      <c r="J31" s="12" t="n">
        <f aca="false">((1-C$2)*C$3*EXP(-$E$2*(I31^$G$2)))+(C$2*C$3*EXP(-$E$3*I31))</f>
        <v>8.42757735202958</v>
      </c>
    </row>
    <row r="32" customFormat="false" ht="15" hidden="false" customHeight="false" outlineLevel="0" collapsed="false">
      <c r="E32" s="19"/>
      <c r="F32" s="19"/>
      <c r="I32" s="6" t="n">
        <v>29</v>
      </c>
      <c r="J32" s="12" t="n">
        <f aca="false">((1-C$2)*C$3*EXP(-$E$2*(I32^$G$2)))+(C$2*C$3*EXP(-$E$3*I32))</f>
        <v>8.32217443583341</v>
      </c>
    </row>
    <row r="33" customFormat="false" ht="15" hidden="false" customHeight="false" outlineLevel="0" collapsed="false">
      <c r="E33" s="19"/>
      <c r="F33" s="19"/>
      <c r="I33" s="6" t="n">
        <v>30</v>
      </c>
      <c r="J33" s="12" t="n">
        <f aca="false">((1-C$2)*C$3*EXP(-$E$2*(I33^$G$2)))+(C$2*C$3*EXP(-$E$3*I33))</f>
        <v>8.21808978398281</v>
      </c>
    </row>
    <row r="34" customFormat="false" ht="15" hidden="false" customHeight="false" outlineLevel="0" collapsed="false">
      <c r="B34" s="19"/>
      <c r="C34" s="19"/>
      <c r="D34" s="19"/>
      <c r="E34" s="19"/>
      <c r="F34" s="19"/>
      <c r="I34" s="6" t="n">
        <v>31</v>
      </c>
      <c r="J34" s="12" t="n">
        <f aca="false">((1-C$2)*C$3*EXP(-$E$2*(I34^$G$2)))+(C$2*C$3*EXP(-$E$3*I34))</f>
        <v>8.11530690906977</v>
      </c>
    </row>
    <row r="35" customFormat="false" ht="15" hidden="false" customHeight="false" outlineLevel="0" collapsed="false">
      <c r="B35" s="19"/>
      <c r="C35" s="19"/>
      <c r="D35" s="19"/>
      <c r="E35" s="19"/>
      <c r="F35" s="19"/>
      <c r="I35" s="6" t="n">
        <v>32</v>
      </c>
      <c r="J35" s="12" t="n">
        <f aca="false">((1-C$2)*C$3*EXP(-$E$2*(I35^$G$2)))+(C$2*C$3*EXP(-$E$3*I35))</f>
        <v>8.01380952989273</v>
      </c>
    </row>
    <row r="36" customFormat="false" ht="15" hidden="false" customHeight="false" outlineLevel="0" collapsed="false">
      <c r="B36" s="19"/>
      <c r="C36" s="19"/>
      <c r="D36" s="19"/>
      <c r="E36" s="19"/>
      <c r="F36" s="19"/>
      <c r="I36" s="6" t="n">
        <v>33</v>
      </c>
      <c r="J36" s="12" t="n">
        <f aca="false">((1-C$2)*C$3*EXP(-$E$2*(I36^$G$2)))+(C$2*C$3*EXP(-$E$3*I36))</f>
        <v>7.91358156887759</v>
      </c>
    </row>
    <row r="37" customFormat="false" ht="15" hidden="false" customHeight="false" outlineLevel="0" collapsed="false">
      <c r="B37" s="19"/>
      <c r="C37" s="19"/>
      <c r="D37" s="19"/>
      <c r="E37" s="19"/>
      <c r="F37" s="19"/>
      <c r="I37" s="6" t="n">
        <v>34</v>
      </c>
      <c r="J37" s="12" t="n">
        <f aca="false">((1-C$2)*C$3*EXP(-$E$2*(I37^$G$2)))+(C$2*C$3*EXP(-$E$3*I37))</f>
        <v>7.81460714953096</v>
      </c>
    </row>
    <row r="38" customFormat="false" ht="15" hidden="false" customHeight="false" outlineLevel="0" collapsed="false">
      <c r="B38" s="19"/>
      <c r="C38" s="19"/>
      <c r="D38" s="19"/>
      <c r="E38" s="19"/>
      <c r="F38" s="19"/>
      <c r="I38" s="6" t="n">
        <v>35</v>
      </c>
      <c r="J38" s="12" t="n">
        <f aca="false">((1-C$2)*C$3*EXP(-$E$2*(I38^$G$2)))+(C$2*C$3*EXP(-$E$3*I38))</f>
        <v>7.71687059392527</v>
      </c>
    </row>
    <row r="39" customFormat="false" ht="15" hidden="false" customHeight="false" outlineLevel="0" collapsed="false">
      <c r="B39" s="19"/>
      <c r="C39" s="19"/>
      <c r="D39" s="19"/>
      <c r="E39" s="19"/>
      <c r="F39" s="19"/>
      <c r="I39" s="6" t="n">
        <v>36</v>
      </c>
      <c r="J39" s="12" t="n">
        <f aca="false">((1-C$2)*C$3*EXP(-$E$2*(I39^$G$2)))+(C$2*C$3*EXP(-$E$3*I39))</f>
        <v>7.62035642021528</v>
      </c>
    </row>
    <row r="40" customFormat="false" ht="15" hidden="false" customHeight="false" outlineLevel="0" collapsed="false">
      <c r="B40" s="19"/>
      <c r="C40" s="19"/>
      <c r="D40" s="19"/>
      <c r="E40" s="19"/>
      <c r="F40" s="19"/>
      <c r="I40" s="6" t="n">
        <v>37</v>
      </c>
      <c r="J40" s="12" t="n">
        <f aca="false">((1-C$2)*C$3*EXP(-$E$2*(I40^$G$2)))+(C$2*C$3*EXP(-$E$3*I40))</f>
        <v>7.52504934018576</v>
      </c>
    </row>
    <row r="41" customFormat="false" ht="15" hidden="false" customHeight="false" outlineLevel="0" collapsed="false">
      <c r="B41" s="19"/>
      <c r="C41" s="19"/>
      <c r="D41" s="19"/>
      <c r="E41" s="19"/>
      <c r="F41" s="19"/>
      <c r="I41" s="6" t="n">
        <v>38</v>
      </c>
      <c r="J41" s="12" t="n">
        <f aca="false">((1-C$2)*C$3*EXP(-$E$2*(I41^$G$2)))+(C$2*C$3*EXP(-$E$3*I41))</f>
        <v>7.43093425682974</v>
      </c>
    </row>
    <row r="42" customFormat="false" ht="15" hidden="false" customHeight="false" outlineLevel="0" collapsed="false">
      <c r="B42" s="19"/>
      <c r="C42" s="19"/>
      <c r="D42" s="19"/>
      <c r="E42" s="19"/>
      <c r="F42" s="19"/>
      <c r="I42" s="6" t="n">
        <v>39</v>
      </c>
      <c r="J42" s="12" t="n">
        <f aca="false">((1-C$2)*C$3*EXP(-$E$2*(I42^$G$2)))+(C$2*C$3*EXP(-$E$3*I42))</f>
        <v>7.33799626195709</v>
      </c>
    </row>
    <row r="43" customFormat="false" ht="15" hidden="false" customHeight="false" outlineLevel="0" collapsed="false">
      <c r="B43" s="19"/>
      <c r="C43" s="19"/>
      <c r="D43" s="19"/>
      <c r="E43" s="19"/>
      <c r="F43" s="19"/>
      <c r="I43" s="6" t="n">
        <v>40</v>
      </c>
      <c r="J43" s="12" t="n">
        <f aca="false">((1-C$2)*C$3*EXP(-$E$2*(I43^$G$2)))+(C$2*C$3*EXP(-$E$3*I43))</f>
        <v>7.246220633833</v>
      </c>
    </row>
    <row r="44" customFormat="false" ht="15" hidden="false" customHeight="false" outlineLevel="0" collapsed="false">
      <c r="B44" s="19"/>
      <c r="C44" s="19"/>
      <c r="D44" s="19"/>
      <c r="E44" s="19"/>
      <c r="F44" s="19"/>
      <c r="I44" s="6" t="n">
        <v>41</v>
      </c>
      <c r="J44" s="12" t="n">
        <f aca="false">((1-C$2)*C$3*EXP(-$E$2*(I44^$G$2)))+(C$2*C$3*EXP(-$E$3*I44))</f>
        <v>7.15559283484604</v>
      </c>
    </row>
    <row r="45" customFormat="false" ht="15" hidden="false" customHeight="false" outlineLevel="0" collapsed="false">
      <c r="B45" s="19"/>
      <c r="C45" s="19"/>
      <c r="D45" s="19"/>
      <c r="E45" s="19"/>
      <c r="F45" s="19"/>
      <c r="I45" s="6" t="n">
        <v>42</v>
      </c>
      <c r="J45" s="12" t="n">
        <f aca="false">((1-C$2)*C$3*EXP(-$E$2*(I45^$G$2)))+(C$2*C$3*EXP(-$E$3*I45))</f>
        <v>7.06609850920529</v>
      </c>
    </row>
    <row r="46" customFormat="false" ht="15" hidden="false" customHeight="false" outlineLevel="0" collapsed="false">
      <c r="B46" s="19"/>
      <c r="C46" s="19"/>
      <c r="D46" s="19"/>
      <c r="E46" s="19"/>
      <c r="F46" s="19"/>
      <c r="I46" s="6" t="n">
        <v>43</v>
      </c>
      <c r="J46" s="12" t="n">
        <f aca="false">((1-C$2)*C$3*EXP(-$E$2*(I46^$G$2)))+(C$2*C$3*EXP(-$E$3*I46))</f>
        <v>6.97772348066637</v>
      </c>
    </row>
    <row r="47" customFormat="false" ht="15" hidden="false" customHeight="false" outlineLevel="0" collapsed="false">
      <c r="B47" s="19"/>
      <c r="C47" s="19"/>
      <c r="D47" s="19"/>
      <c r="E47" s="19"/>
      <c r="F47" s="19"/>
      <c r="I47" s="6" t="n">
        <v>44</v>
      </c>
      <c r="J47" s="12" t="n">
        <f aca="false">((1-C$2)*C$3*EXP(-$E$2*(I47^$G$2)))+(C$2*C$3*EXP(-$E$3*I47))</f>
        <v>6.89045375028584</v>
      </c>
    </row>
    <row r="48" customFormat="false" ht="15" hidden="false" customHeight="false" outlineLevel="0" collapsed="false">
      <c r="B48" s="19"/>
      <c r="C48" s="19"/>
      <c r="D48" s="19"/>
      <c r="E48" s="19"/>
      <c r="F48" s="19"/>
      <c r="I48" s="6" t="n">
        <v>45</v>
      </c>
      <c r="J48" s="12" t="n">
        <f aca="false">((1-C$2)*C$3*EXP(-$E$2*(I48^$G$2)))+(C$2*C$3*EXP(-$E$3*I48))</f>
        <v>6.80427549420374</v>
      </c>
    </row>
    <row r="49" customFormat="false" ht="15" hidden="false" customHeight="false" outlineLevel="0" collapsed="false">
      <c r="B49" s="19"/>
      <c r="C49" s="19"/>
      <c r="D49" s="19"/>
      <c r="E49" s="19"/>
      <c r="F49" s="19"/>
      <c r="G49" s="19"/>
      <c r="H49" s="19"/>
      <c r="I49" s="6" t="n">
        <v>46</v>
      </c>
      <c r="J49" s="12" t="n">
        <f aca="false">((1-C$2)*C$3*EXP(-$E$2*(I49^$G$2)))+(C$2*C$3*EXP(-$E$3*I49))</f>
        <v>6.71917506145382</v>
      </c>
    </row>
    <row r="50" customFormat="false" ht="15" hidden="false" customHeight="false" outlineLevel="0" collapsed="false">
      <c r="B50" s="19"/>
      <c r="C50" s="19"/>
      <c r="D50" s="19"/>
      <c r="E50" s="19"/>
      <c r="F50" s="19"/>
      <c r="G50" s="19"/>
      <c r="H50" s="19"/>
      <c r="I50" s="6" t="n">
        <v>47</v>
      </c>
      <c r="J50" s="12" t="n">
        <f aca="false">((1-C$2)*C$3*EXP(-$E$2*(I50^$G$2)))+(C$2*C$3*EXP(-$E$3*I50))</f>
        <v>6.63513897180118</v>
      </c>
    </row>
    <row r="51" customFormat="false" ht="15" hidden="false" customHeight="false" outlineLevel="0" collapsed="false">
      <c r="B51" s="19"/>
      <c r="C51" s="19"/>
      <c r="D51" s="19"/>
      <c r="E51" s="19"/>
      <c r="F51" s="19"/>
      <c r="G51" s="19"/>
      <c r="H51" s="19"/>
      <c r="I51" s="6" t="n">
        <v>48</v>
      </c>
      <c r="J51" s="12" t="n">
        <f aca="false">((1-C$2)*C$3*EXP(-$E$2*(I51^$G$2)))+(C$2*C$3*EXP(-$E$3*I51))</f>
        <v>6.55215391360694</v>
      </c>
    </row>
    <row r="52" customFormat="false" ht="15" hidden="false" customHeight="false" outlineLevel="0" collapsed="false">
      <c r="B52" s="19"/>
      <c r="C52" s="19"/>
      <c r="D52" s="19"/>
      <c r="E52" s="19"/>
      <c r="F52" s="19"/>
      <c r="G52" s="19"/>
      <c r="H52" s="19"/>
      <c r="I52" s="6" t="n">
        <v>49</v>
      </c>
      <c r="J52" s="12" t="n">
        <f aca="false">((1-C$2)*C$3*EXP(-$E$2*(I52^$G$2)))+(C$2*C$3*EXP(-$E$3*I52))</f>
        <v>6.47020674171964</v>
      </c>
    </row>
    <row r="53" customFormat="false" ht="15" hidden="false" customHeight="false" outlineLevel="0" collapsed="false">
      <c r="B53" s="19"/>
      <c r="C53" s="19"/>
      <c r="D53" s="19"/>
      <c r="E53" s="19"/>
      <c r="F53" s="19"/>
      <c r="G53" s="19"/>
      <c r="H53" s="19"/>
      <c r="I53" s="6" t="n">
        <v>50</v>
      </c>
      <c r="J53" s="12" t="n">
        <f aca="false">((1-C$2)*C$3*EXP(-$E$2*(I53^$G$2)))+(C$2*C$3*EXP(-$E$3*I53))</f>
        <v>6.389284475393</v>
      </c>
    </row>
    <row r="54" customFormat="false" ht="15" hidden="false" customHeight="false" outlineLevel="0" collapsed="false">
      <c r="B54" s="19"/>
      <c r="C54" s="19"/>
      <c r="D54" s="19"/>
      <c r="E54" s="19"/>
      <c r="F54" s="19"/>
      <c r="G54" s="19"/>
      <c r="H54" s="19"/>
      <c r="I54" s="6" t="n">
        <v>51</v>
      </c>
      <c r="J54" s="12" t="n">
        <f aca="false">((1-C$2)*C$3*EXP(-$E$2*(I54^$G$2)))+(C$2*C$3*EXP(-$E$3*I54))</f>
        <v>6.30937429622969</v>
      </c>
    </row>
    <row r="55" customFormat="false" ht="15" hidden="false" customHeight="false" outlineLevel="0" collapsed="false">
      <c r="B55" s="19"/>
      <c r="C55" s="19"/>
      <c r="D55" s="19"/>
      <c r="E55" s="19"/>
      <c r="F55" s="19"/>
      <c r="G55" s="19"/>
      <c r="H55" s="19"/>
      <c r="I55" s="6" t="n">
        <v>52</v>
      </c>
      <c r="J55" s="12" t="n">
        <f aca="false">((1-C$2)*C$3*EXP(-$E$2*(I55^$G$2)))+(C$2*C$3*EXP(-$E$3*I55))</f>
        <v>6.2304635461509</v>
      </c>
    </row>
    <row r="56" customFormat="false" ht="15" hidden="false" customHeight="false" outlineLevel="0" collapsed="false">
      <c r="B56" s="19"/>
      <c r="C56" s="19"/>
      <c r="D56" s="19"/>
      <c r="E56" s="19"/>
      <c r="F56" s="19"/>
      <c r="G56" s="19"/>
      <c r="H56" s="19"/>
      <c r="I56" s="6" t="n">
        <v>53</v>
      </c>
      <c r="J56" s="12" t="n">
        <f aca="false">((1-C$2)*C$3*EXP(-$E$2*(I56^$G$2)))+(C$2*C$3*EXP(-$E$3*I56))</f>
        <v>6.15253972539118</v>
      </c>
    </row>
    <row r="57" customFormat="false" ht="15" hidden="false" customHeight="false" outlineLevel="0" collapsed="false">
      <c r="B57" s="19"/>
      <c r="C57" s="19"/>
      <c r="D57" s="19"/>
      <c r="E57" s="19"/>
      <c r="F57" s="19"/>
      <c r="G57" s="19"/>
      <c r="H57" s="19"/>
      <c r="I57" s="6" t="n">
        <v>54</v>
      </c>
      <c r="J57" s="12" t="n">
        <f aca="false">((1-C$2)*C$3*EXP(-$E$2*(I57^$G$2)))+(C$2*C$3*EXP(-$E$3*I57))</f>
        <v>6.07559049051851</v>
      </c>
    </row>
    <row r="58" customFormat="false" ht="15" hidden="false" customHeight="false" outlineLevel="0" collapsed="false">
      <c r="B58" s="19"/>
      <c r="C58" s="19"/>
      <c r="D58" s="19"/>
      <c r="E58" s="19"/>
      <c r="F58" s="19"/>
      <c r="G58" s="19"/>
      <c r="H58" s="19"/>
      <c r="I58" s="6" t="n">
        <v>55</v>
      </c>
      <c r="J58" s="12" t="n">
        <f aca="false">((1-C$2)*C$3*EXP(-$E$2*(I58^$G$2)))+(C$2*C$3*EXP(-$E$3*I58))</f>
        <v>5.99960365247897</v>
      </c>
    </row>
    <row r="59" customFormat="false" ht="15" hidden="false" customHeight="false" outlineLevel="0" collapsed="false">
      <c r="B59" s="19"/>
      <c r="C59" s="19"/>
      <c r="D59" s="19"/>
      <c r="G59" s="19"/>
      <c r="H59" s="19"/>
      <c r="I59" s="6" t="n">
        <v>56</v>
      </c>
      <c r="J59" s="12" t="n">
        <f aca="false">((1-C$2)*C$3*EXP(-$E$2*(I59^$G$2)))+(C$2*C$3*EXP(-$E$3*I59))</f>
        <v>5.92456717466603</v>
      </c>
    </row>
    <row r="60" customFormat="false" ht="15" hidden="false" customHeight="false" outlineLevel="0" collapsed="false">
      <c r="B60" s="19"/>
      <c r="C60" s="19"/>
      <c r="D60" s="19"/>
      <c r="G60" s="19"/>
      <c r="H60" s="19"/>
      <c r="I60" s="6" t="n">
        <v>57</v>
      </c>
      <c r="J60" s="12" t="n">
        <f aca="false">((1-C$2)*C$3*EXP(-$E$2*(I60^$G$2)))+(C$2*C$3*EXP(-$E$3*I60))</f>
        <v>5.85046917101383</v>
      </c>
    </row>
    <row r="61" customFormat="false" ht="15" hidden="false" customHeight="false" outlineLevel="0" collapsed="false">
      <c r="G61" s="19"/>
      <c r="H61" s="19"/>
      <c r="I61" s="6" t="n">
        <v>58</v>
      </c>
      <c r="J61" s="12" t="n">
        <f aca="false">((1-C$2)*C$3*EXP(-$E$2*(I61^$G$2)))+(C$2*C$3*EXP(-$E$3*I61))</f>
        <v>5.77729790411444</v>
      </c>
    </row>
    <row r="62" customFormat="false" ht="15" hidden="false" customHeight="false" outlineLevel="0" collapsed="false">
      <c r="G62" s="19"/>
      <c r="H62" s="19"/>
      <c r="I62" s="6" t="n">
        <v>59</v>
      </c>
      <c r="J62" s="12" t="n">
        <f aca="false">((1-C$2)*C$3*EXP(-$E$2*(I62^$G$2)))+(C$2*C$3*EXP(-$E$3*I62))</f>
        <v>5.70504178335858</v>
      </c>
    </row>
    <row r="63" customFormat="false" ht="15" hidden="false" customHeight="false" outlineLevel="0" collapsed="false">
      <c r="G63" s="19"/>
      <c r="H63" s="19"/>
      <c r="I63" s="6" t="n">
        <v>60</v>
      </c>
      <c r="J63" s="12" t="n">
        <f aca="false">((1-C$2)*C$3*EXP(-$E$2*(I63^$G$2)))+(C$2*C$3*EXP(-$E$3*I63))</f>
        <v>5.63368936309961</v>
      </c>
    </row>
    <row r="64" customFormat="false" ht="15" hidden="false" customHeight="false" outlineLevel="0" collapsed="false">
      <c r="G64" s="19"/>
      <c r="H64" s="19"/>
      <c r="I64" s="19"/>
    </row>
    <row r="65" customFormat="false" ht="15" hidden="false" customHeight="false" outlineLevel="0" collapsed="false">
      <c r="G65" s="19"/>
      <c r="H65" s="19"/>
      <c r="I65" s="19"/>
    </row>
    <row r="66" customFormat="false" ht="15" hidden="false" customHeight="false" outlineLevel="0" collapsed="false">
      <c r="G66" s="19"/>
      <c r="H66" s="19"/>
      <c r="I66" s="19"/>
    </row>
    <row r="67" customFormat="false" ht="15" hidden="false" customHeight="false" outlineLevel="0" collapsed="false">
      <c r="G67" s="19"/>
      <c r="H67" s="19"/>
      <c r="I67" s="19"/>
    </row>
    <row r="68" customFormat="false" ht="15" hidden="false" customHeight="false" outlineLevel="0" collapsed="false">
      <c r="G68" s="19"/>
      <c r="H68" s="19"/>
      <c r="I68" s="19"/>
    </row>
    <row r="69" customFormat="false" ht="15" hidden="false" customHeight="false" outlineLevel="0" collapsed="false">
      <c r="G69" s="19"/>
      <c r="H69" s="19"/>
      <c r="I69" s="19"/>
    </row>
    <row r="70" customFormat="false" ht="15" hidden="false" customHeight="false" outlineLevel="0" collapsed="false">
      <c r="G70" s="19"/>
      <c r="H70" s="19"/>
      <c r="I70" s="19"/>
    </row>
    <row r="71" customFormat="false" ht="15" hidden="false" customHeight="false" outlineLevel="0" collapsed="false">
      <c r="G71" s="19"/>
      <c r="H71" s="19"/>
      <c r="I71" s="19"/>
    </row>
    <row r="72" customFormat="false" ht="15" hidden="false" customHeight="false" outlineLevel="0" collapsed="false">
      <c r="G72" s="19"/>
      <c r="H72" s="19"/>
      <c r="I72" s="19"/>
    </row>
    <row r="73" customFormat="false" ht="15" hidden="false" customHeight="false" outlineLevel="0" collapsed="false">
      <c r="G73" s="19"/>
      <c r="H73" s="19"/>
      <c r="I73" s="19"/>
    </row>
    <row r="74" customFormat="false" ht="15" hidden="false" customHeight="false" outlineLevel="0" collapsed="false">
      <c r="G74" s="19"/>
      <c r="H74" s="19"/>
      <c r="I74" s="19"/>
    </row>
    <row r="75" customFormat="false" ht="15" hidden="false" customHeight="false" outlineLevel="0" collapsed="false">
      <c r="G75" s="19"/>
      <c r="H75" s="19"/>
      <c r="I75" s="19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&amp;C_x005F_x000D_&amp;1#&amp;"Default,Regular"&amp;10&amp;Kd89b2b Confidential - Company Proprietary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23.57"/>
    <col collapsed="false" customWidth="true" hidden="false" outlineLevel="0" max="4" min="4" style="0" width="24.42"/>
  </cols>
  <sheetData>
    <row r="2" customFormat="false" ht="15" hidden="false" customHeight="false" outlineLevel="0" collapsed="false">
      <c r="B2" s="1" t="s">
        <v>0</v>
      </c>
      <c r="C2" s="2" t="n">
        <v>0.00481275546573815</v>
      </c>
      <c r="D2" s="3" t="s">
        <v>1</v>
      </c>
      <c r="E2" s="4" t="n">
        <v>1.1417229181532</v>
      </c>
      <c r="F2" s="3" t="s">
        <v>2</v>
      </c>
      <c r="G2" s="5" t="n">
        <v>1.13785202001979</v>
      </c>
      <c r="I2" s="6" t="s">
        <v>3</v>
      </c>
      <c r="J2" s="6" t="s">
        <v>4</v>
      </c>
    </row>
    <row r="3" customFormat="false" ht="15" hidden="false" customHeight="false" outlineLevel="0" collapsed="false">
      <c r="B3" s="7" t="s">
        <v>5</v>
      </c>
      <c r="C3" s="8" t="n">
        <f aca="false">(B6+B12)/2</f>
        <v>99000</v>
      </c>
      <c r="D3" s="9" t="s">
        <v>6</v>
      </c>
      <c r="E3" s="10" t="n">
        <v>0.0313431355061898</v>
      </c>
      <c r="F3" s="9"/>
      <c r="G3" s="11"/>
      <c r="I3" s="6" t="n">
        <v>0</v>
      </c>
      <c r="J3" s="12" t="n">
        <f aca="false">((1-C$2)*C$3*EXP(-$E$2*(I3^$G$2)))+(C$2*C$3*EXP(-$E$3*I3))</f>
        <v>99000</v>
      </c>
    </row>
    <row r="4" customFormat="false" ht="15" hidden="false" customHeight="false" outlineLevel="0" collapsed="false">
      <c r="I4" s="6" t="n">
        <v>1</v>
      </c>
      <c r="J4" s="12" t="n">
        <f aca="false">((1-C$2)*C$3*EXP(-$E$2*(I4^$G$2)))+(C$2*C$3*EXP(-$E$3*I4))</f>
        <v>31917.2199640831</v>
      </c>
    </row>
    <row r="5" customFormat="false" ht="15" hidden="false" customHeight="false" outlineLevel="0" collapsed="false">
      <c r="B5" s="13" t="s">
        <v>7</v>
      </c>
      <c r="C5" s="14" t="s">
        <v>8</v>
      </c>
      <c r="D5" s="14" t="s">
        <v>9</v>
      </c>
      <c r="I5" s="6" t="n">
        <v>2</v>
      </c>
      <c r="J5" s="12" t="n">
        <f aca="false">((1-C$2)*C$3*EXP(-$E$2*(I5^$G$2)))+(C$2*C$3*EXP(-$E$3*I5))</f>
        <v>8435.17508638196</v>
      </c>
    </row>
    <row r="6" customFormat="false" ht="15" hidden="false" customHeight="false" outlineLevel="0" collapsed="false">
      <c r="B6" s="16" t="n">
        <v>100000</v>
      </c>
      <c r="C6" s="17" t="n">
        <v>0</v>
      </c>
      <c r="D6" s="16" t="n">
        <v>99000</v>
      </c>
      <c r="I6" s="6" t="n">
        <v>3</v>
      </c>
      <c r="J6" s="12" t="n">
        <f aca="false">((1-C$2)*C$3*EXP(-$E$2*(I6^$G$2)))+(C$2*C$3*EXP(-$E$3*I6))</f>
        <v>2265.06327236249</v>
      </c>
    </row>
    <row r="7" customFormat="false" ht="15" hidden="false" customHeight="false" outlineLevel="0" collapsed="false">
      <c r="B7" s="16" t="n">
        <v>66000</v>
      </c>
      <c r="C7" s="17" t="n">
        <v>0.686406436310531</v>
      </c>
      <c r="D7" s="16" t="n">
        <v>47282.2881749532</v>
      </c>
      <c r="I7" s="6" t="n">
        <v>4</v>
      </c>
      <c r="J7" s="12" t="n">
        <f aca="false">((1-C$2)*C$3*EXP(-$E$2*(I7^$G$2)))+(C$2*C$3*EXP(-$E$3*I7))</f>
        <v>811.607398387112</v>
      </c>
    </row>
    <row r="8" customFormat="false" ht="15" hidden="false" customHeight="false" outlineLevel="0" collapsed="false">
      <c r="B8" s="16" t="n">
        <v>12400</v>
      </c>
      <c r="C8" s="17" t="n">
        <v>1.99305397968086</v>
      </c>
      <c r="D8" s="16" t="n">
        <v>8514.95319930256</v>
      </c>
      <c r="I8" s="6" t="n">
        <v>5</v>
      </c>
      <c r="J8" s="12" t="n">
        <f aca="false">((1-C$2)*C$3*EXP(-$E$2*(I8^$G$2)))+(C$2*C$3*EXP(-$E$3*I8))</f>
        <v>486.505277948328</v>
      </c>
    </row>
    <row r="9" customFormat="false" ht="15" hidden="false" customHeight="false" outlineLevel="0" collapsed="false">
      <c r="B9" s="16" t="n">
        <v>1275</v>
      </c>
      <c r="C9" s="17" t="n">
        <v>3.21619260321904</v>
      </c>
      <c r="D9" s="16" t="n">
        <v>1749.52551662721</v>
      </c>
      <c r="I9" s="6" t="n">
        <v>6</v>
      </c>
      <c r="J9" s="12" t="n">
        <f aca="false">((1-C$2)*C$3*EXP(-$E$2*(I9^$G$2)))+(C$2*C$3*EXP(-$E$3*I9))</f>
        <v>410.08941894811</v>
      </c>
    </row>
    <row r="10" customFormat="false" ht="15" hidden="false" customHeight="false" outlineLevel="0" collapsed="false">
      <c r="B10" s="16" t="n">
        <v>440</v>
      </c>
      <c r="C10" s="17" t="n">
        <v>5.9428784807779</v>
      </c>
      <c r="D10" s="16" t="n">
        <v>412.321408259089</v>
      </c>
      <c r="I10" s="6" t="n">
        <v>7</v>
      </c>
      <c r="J10" s="12" t="n">
        <f aca="false">((1-C$2)*C$3*EXP(-$E$2*(I10^$G$2)))+(C$2*C$3*EXP(-$E$3*I10))</f>
        <v>385.448369851031</v>
      </c>
    </row>
    <row r="11" customFormat="false" ht="15" hidden="false" customHeight="false" outlineLevel="0" collapsed="false">
      <c r="B11" s="16" t="n">
        <v>370</v>
      </c>
      <c r="C11" s="17" t="n">
        <v>13.2846207787973</v>
      </c>
      <c r="D11" s="16" t="n">
        <v>314.193200573643</v>
      </c>
      <c r="I11" s="6" t="n">
        <v>8</v>
      </c>
      <c r="J11" s="12" t="n">
        <f aca="false">((1-C$2)*C$3*EXP(-$E$2*(I11^$G$2)))+(C$2*C$3*EXP(-$E$3*I11))</f>
        <v>371.306040961607</v>
      </c>
    </row>
    <row r="12" customFormat="false" ht="15" hidden="false" customHeight="false" outlineLevel="0" collapsed="false">
      <c r="B12" s="16" t="n">
        <v>98000</v>
      </c>
      <c r="C12" s="17" t="n">
        <v>0</v>
      </c>
      <c r="D12" s="16" t="n">
        <v>99000</v>
      </c>
      <c r="I12" s="6" t="n">
        <v>9</v>
      </c>
      <c r="J12" s="12" t="n">
        <f aca="false">((1-C$2)*C$3*EXP(-$E$2*(I12^$G$2)))+(C$2*C$3*EXP(-$E$3*I12))</f>
        <v>359.441223718799</v>
      </c>
    </row>
    <row r="13" customFormat="false" ht="15" hidden="false" customHeight="false" outlineLevel="0" collapsed="false">
      <c r="B13" s="16" t="n">
        <v>10400</v>
      </c>
      <c r="C13" s="17" t="n">
        <v>1.52256675005619</v>
      </c>
      <c r="D13" s="16" t="n">
        <v>16069.1938731867</v>
      </c>
      <c r="I13" s="6" t="n">
        <v>10</v>
      </c>
      <c r="J13" s="12" t="n">
        <f aca="false">((1-C$2)*C$3*EXP(-$E$2*(I13^$G$2)))+(C$2*C$3*EXP(-$E$3*I13))</f>
        <v>348.278348875438</v>
      </c>
    </row>
    <row r="14" customFormat="false" ht="15" hidden="false" customHeight="false" outlineLevel="0" collapsed="false">
      <c r="B14" s="16" t="n">
        <v>840</v>
      </c>
      <c r="C14" s="17" t="n">
        <v>4.47954664551733</v>
      </c>
      <c r="D14" s="16" t="n">
        <v>597.004403490158</v>
      </c>
      <c r="I14" s="6" t="n">
        <v>11</v>
      </c>
      <c r="J14" s="12" t="n">
        <f aca="false">((1-C$2)*C$3*EXP(-$E$2*(I14^$G$2)))+(C$2*C$3*EXP(-$E$3*I14))</f>
        <v>337.51927790698</v>
      </c>
    </row>
    <row r="15" customFormat="false" ht="15" hidden="false" customHeight="false" outlineLevel="0" collapsed="false">
      <c r="B15" s="16" t="n">
        <v>305</v>
      </c>
      <c r="C15" s="17" t="n">
        <v>7.3227629386573</v>
      </c>
      <c r="D15" s="16" t="n">
        <v>380.391913489742</v>
      </c>
      <c r="I15" s="6" t="n">
        <v>12</v>
      </c>
      <c r="J15" s="12" t="n">
        <f aca="false">((1-C$2)*C$3*EXP(-$E$2*(I15^$G$2)))+(C$2*C$3*EXP(-$E$3*I15))</f>
        <v>327.102395807998</v>
      </c>
    </row>
    <row r="16" customFormat="false" ht="15" hidden="false" customHeight="false" outlineLevel="0" collapsed="false">
      <c r="B16" s="16" t="n">
        <v>250</v>
      </c>
      <c r="C16" s="17" t="n">
        <v>13.9613979720855</v>
      </c>
      <c r="D16" s="16" t="n">
        <v>307.598597781201</v>
      </c>
      <c r="I16" s="6" t="n">
        <v>13</v>
      </c>
      <c r="J16" s="12" t="n">
        <f aca="false">((1-C$2)*C$3*EXP(-$E$2*(I16^$G$2)))+(C$2*C$3*EXP(-$E$3*I16))</f>
        <v>317.008654839153</v>
      </c>
    </row>
    <row r="17" customFormat="false" ht="15" hidden="false" customHeight="false" outlineLevel="0" collapsed="false">
      <c r="B17" s="16" t="n">
        <v>165</v>
      </c>
      <c r="C17" s="17" t="n">
        <v>34.8666767235899</v>
      </c>
      <c r="D17" s="16" t="n">
        <v>159.741783577679</v>
      </c>
      <c r="E17" s="19"/>
      <c r="I17" s="6" t="n">
        <v>14</v>
      </c>
      <c r="J17" s="12" t="n">
        <f aca="false">((1-C$2)*C$3*EXP(-$E$2*(I17^$G$2)))+(C$2*C$3*EXP(-$E$3*I17))</f>
        <v>307.226655902841</v>
      </c>
    </row>
    <row r="18" customFormat="false" ht="15" hidden="false" customHeight="false" outlineLevel="0" collapsed="false">
      <c r="B18" s="15"/>
      <c r="C18" s="18"/>
      <c r="D18" s="15"/>
      <c r="E18" s="19"/>
      <c r="I18" s="6" t="n">
        <v>15</v>
      </c>
      <c r="J18" s="12" t="n">
        <f aca="false">((1-C$2)*C$3*EXP(-$E$2*(I18^$G$2)))+(C$2*C$3*EXP(-$E$3*I18))</f>
        <v>297.746545079065</v>
      </c>
    </row>
    <row r="19" customFormat="false" ht="15" hidden="false" customHeight="false" outlineLevel="0" collapsed="false">
      <c r="B19" s="15"/>
      <c r="C19" s="18"/>
      <c r="D19" s="15"/>
      <c r="E19" s="19"/>
      <c r="I19" s="6" t="n">
        <v>16</v>
      </c>
      <c r="J19" s="12" t="n">
        <f aca="false">((1-C$2)*C$3*EXP(-$E$2*(I19^$G$2)))+(C$2*C$3*EXP(-$E$3*I19))</f>
        <v>288.55896933523</v>
      </c>
    </row>
    <row r="20" customFormat="false" ht="15" hidden="false" customHeight="false" outlineLevel="0" collapsed="false">
      <c r="C20" s="18"/>
      <c r="D20" s="15"/>
      <c r="E20" s="19"/>
      <c r="I20" s="6" t="n">
        <v>17</v>
      </c>
      <c r="J20" s="12" t="n">
        <f aca="false">((1-C$2)*C$3*EXP(-$E$2*(I20^$G$2)))+(C$2*C$3*EXP(-$E$3*I20))</f>
        <v>279.65489598154</v>
      </c>
    </row>
    <row r="21" customFormat="false" ht="15" hidden="false" customHeight="false" outlineLevel="0" collapsed="false">
      <c r="E21" s="19"/>
      <c r="I21" s="6" t="n">
        <v>18</v>
      </c>
      <c r="J21" s="12" t="n">
        <f aca="false">((1-C$2)*C$3*EXP(-$E$2*(I21^$G$2)))+(C$2*C$3*EXP(-$E$3*I21))</f>
        <v>271.025576061279</v>
      </c>
    </row>
    <row r="22" customFormat="false" ht="15" hidden="false" customHeight="false" outlineLevel="0" collapsed="false">
      <c r="E22" s="19"/>
      <c r="I22" s="6" t="n">
        <v>19</v>
      </c>
      <c r="J22" s="12" t="n">
        <f aca="false">((1-C$2)*C$3*EXP(-$E$2*(I22^$G$2)))+(C$2*C$3*EXP(-$E$3*I22))</f>
        <v>262.662531360507</v>
      </c>
    </row>
    <row r="23" customFormat="false" ht="15" hidden="false" customHeight="false" outlineLevel="0" collapsed="false">
      <c r="E23" s="19"/>
      <c r="I23" s="6" t="n">
        <v>20</v>
      </c>
      <c r="J23" s="12" t="n">
        <f aca="false">((1-C$2)*C$3*EXP(-$E$2*(I23^$G$2)))+(C$2*C$3*EXP(-$E$3*I23))</f>
        <v>254.557545395771</v>
      </c>
    </row>
    <row r="24" customFormat="false" ht="15" hidden="false" customHeight="false" outlineLevel="0" collapsed="false">
      <c r="E24" s="19"/>
      <c r="I24" s="6" t="n">
        <v>21</v>
      </c>
      <c r="J24" s="12" t="n">
        <f aca="false">((1-C$2)*C$3*EXP(-$E$2*(I24^$G$2)))+(C$2*C$3*EXP(-$E$3*I24))</f>
        <v>246.702655237533</v>
      </c>
    </row>
    <row r="25" customFormat="false" ht="15" hidden="false" customHeight="false" outlineLevel="0" collapsed="false">
      <c r="E25" s="19"/>
      <c r="I25" s="6" t="n">
        <v>22</v>
      </c>
      <c r="J25" s="12" t="n">
        <f aca="false">((1-C$2)*C$3*EXP(-$E$2*(I25^$G$2)))+(C$2*C$3*EXP(-$E$3*I25))</f>
        <v>239.090143671217</v>
      </c>
    </row>
    <row r="26" customFormat="false" ht="15" hidden="false" customHeight="false" outlineLevel="0" collapsed="false">
      <c r="E26" s="19"/>
      <c r="I26" s="6" t="n">
        <v>23</v>
      </c>
      <c r="J26" s="12" t="n">
        <f aca="false">((1-C$2)*C$3*EXP(-$E$2*(I26^$G$2)))+(C$2*C$3*EXP(-$E$3*I26))</f>
        <v>231.712531612949</v>
      </c>
    </row>
    <row r="27" customFormat="false" ht="15" hidden="false" customHeight="false" outlineLevel="0" collapsed="false">
      <c r="E27" s="19"/>
      <c r="I27" s="6" t="n">
        <v>24</v>
      </c>
      <c r="J27" s="12" t="n">
        <f aca="false">((1-C$2)*C$3*EXP(-$E$2*(I27^$G$2)))+(C$2*C$3*EXP(-$E$3*I27))</f>
        <v>224.562570761238</v>
      </c>
    </row>
    <row r="28" customFormat="false" ht="15" hidden="false" customHeight="false" outlineLevel="0" collapsed="false">
      <c r="E28" s="19"/>
      <c r="I28" s="6" t="n">
        <v>25</v>
      </c>
      <c r="J28" s="12" t="n">
        <f aca="false">((1-C$2)*C$3*EXP(-$E$2*(I28^$G$2)))+(C$2*C$3*EXP(-$E$3*I28))</f>
        <v>217.633236475666</v>
      </c>
    </row>
    <row r="29" customFormat="false" ht="15" hidden="false" customHeight="false" outlineLevel="0" collapsed="false">
      <c r="E29" s="19"/>
      <c r="I29" s="6" t="n">
        <v>26</v>
      </c>
      <c r="J29" s="12" t="n">
        <f aca="false">((1-C$2)*C$3*EXP(-$E$2*(I29^$G$2)))+(C$2*C$3*EXP(-$E$3*I29))</f>
        <v>210.917720875365</v>
      </c>
    </row>
    <row r="30" customFormat="false" ht="15" hidden="false" customHeight="false" outlineLevel="0" collapsed="false">
      <c r="E30" s="19"/>
      <c r="I30" s="6" t="n">
        <v>27</v>
      </c>
      <c r="J30" s="12" t="n">
        <f aca="false">((1-C$2)*C$3*EXP(-$E$2*(I30^$G$2)))+(C$2*C$3*EXP(-$E$3*I30))</f>
        <v>204.40942615046</v>
      </c>
    </row>
    <row r="31" customFormat="false" ht="15" hidden="false" customHeight="false" outlineLevel="0" collapsed="false">
      <c r="E31" s="19"/>
      <c r="I31" s="6" t="n">
        <v>28</v>
      </c>
      <c r="J31" s="12" t="n">
        <f aca="false">((1-C$2)*C$3*EXP(-$E$2*(I31^$G$2)))+(C$2*C$3*EXP(-$E$3*I31))</f>
        <v>198.101958079904</v>
      </c>
    </row>
    <row r="32" customFormat="false" ht="15" hidden="false" customHeight="false" outlineLevel="0" collapsed="false">
      <c r="E32" s="19"/>
      <c r="F32" s="19"/>
      <c r="I32" s="6" t="n">
        <v>29</v>
      </c>
      <c r="J32" s="12" t="n">
        <f aca="false">((1-C$2)*C$3*EXP(-$E$2*(I32^$G$2)))+(C$2*C$3*EXP(-$E$3*I32))</f>
        <v>191.989119749328</v>
      </c>
    </row>
    <row r="33" customFormat="false" ht="15" hidden="false" customHeight="false" outlineLevel="0" collapsed="false">
      <c r="E33" s="19"/>
      <c r="F33" s="19"/>
      <c r="I33" s="6" t="n">
        <v>30</v>
      </c>
      <c r="J33" s="12" t="n">
        <f aca="false">((1-C$2)*C$3*EXP(-$E$2*(I33^$G$2)))+(C$2*C$3*EXP(-$E$3*I33))</f>
        <v>186.064905462743</v>
      </c>
    </row>
    <row r="34" customFormat="false" ht="15" hidden="false" customHeight="false" outlineLevel="0" collapsed="false">
      <c r="B34" s="19"/>
      <c r="C34" s="19"/>
      <c r="D34" s="19"/>
      <c r="E34" s="19"/>
      <c r="F34" s="19"/>
      <c r="I34" s="6" t="n">
        <v>31</v>
      </c>
      <c r="J34" s="12" t="n">
        <f aca="false">((1-C$2)*C$3*EXP(-$E$2*(I34^$G$2)))+(C$2*C$3*EXP(-$E$3*I34))</f>
        <v>180.323494842112</v>
      </c>
    </row>
    <row r="35" customFormat="false" ht="15" hidden="false" customHeight="false" outlineLevel="0" collapsed="false">
      <c r="B35" s="19"/>
      <c r="C35" s="19"/>
      <c r="D35" s="19"/>
      <c r="E35" s="19"/>
      <c r="F35" s="19"/>
      <c r="I35" s="6" t="n">
        <v>32</v>
      </c>
      <c r="J35" s="12" t="n">
        <f aca="false">((1-C$2)*C$3*EXP(-$E$2*(I35^$G$2)))+(C$2*C$3*EXP(-$E$3*I35))</f>
        <v>174.759247108984</v>
      </c>
    </row>
    <row r="36" customFormat="false" ht="15" hidden="false" customHeight="false" outlineLevel="0" collapsed="false">
      <c r="B36" s="19"/>
      <c r="C36" s="19"/>
      <c r="D36" s="19"/>
      <c r="E36" s="19"/>
      <c r="F36" s="19"/>
      <c r="I36" s="6" t="n">
        <v>33</v>
      </c>
      <c r="J36" s="12" t="n">
        <f aca="false">((1-C$2)*C$3*EXP(-$E$2*(I36^$G$2)))+(C$2*C$3*EXP(-$E$3*I36))</f>
        <v>169.366695542585</v>
      </c>
    </row>
    <row r="37" customFormat="false" ht="15" hidden="false" customHeight="false" outlineLevel="0" collapsed="false">
      <c r="B37" s="19"/>
      <c r="C37" s="19"/>
      <c r="D37" s="19"/>
      <c r="E37" s="19"/>
      <c r="F37" s="19"/>
      <c r="I37" s="6" t="n">
        <v>34</v>
      </c>
      <c r="J37" s="12" t="n">
        <f aca="false">((1-C$2)*C$3*EXP(-$E$2*(I37^$G$2)))+(C$2*C$3*EXP(-$E$3*I37))</f>
        <v>164.140542108917</v>
      </c>
    </row>
    <row r="38" customFormat="false" ht="15" hidden="false" customHeight="false" outlineLevel="0" collapsed="false">
      <c r="B38" s="19"/>
      <c r="C38" s="19"/>
      <c r="D38" s="19"/>
      <c r="E38" s="19"/>
      <c r="F38" s="19"/>
      <c r="I38" s="6" t="n">
        <v>35</v>
      </c>
      <c r="J38" s="12" t="n">
        <f aca="false">((1-C$2)*C$3*EXP(-$E$2*(I38^$G$2)))+(C$2*C$3*EXP(-$E$3*I38))</f>
        <v>159.07565225558</v>
      </c>
    </row>
    <row r="39" customFormat="false" ht="15" hidden="false" customHeight="false" outlineLevel="0" collapsed="false">
      <c r="B39" s="19"/>
      <c r="C39" s="19"/>
      <c r="D39" s="19"/>
      <c r="E39" s="19"/>
      <c r="F39" s="19"/>
      <c r="I39" s="6" t="n">
        <v>36</v>
      </c>
      <c r="J39" s="12" t="n">
        <f aca="false">((1-C$2)*C$3*EXP(-$E$2*(I39^$G$2)))+(C$2*C$3*EXP(-$E$3*I39))</f>
        <v>154.167049867223</v>
      </c>
    </row>
    <row r="40" customFormat="false" ht="15" hidden="false" customHeight="false" outlineLevel="0" collapsed="false">
      <c r="B40" s="19"/>
      <c r="C40" s="19"/>
      <c r="D40" s="19"/>
      <c r="E40" s="19"/>
      <c r="F40" s="19"/>
      <c r="I40" s="6" t="n">
        <v>37</v>
      </c>
      <c r="J40" s="12" t="n">
        <f aca="false">((1-C$2)*C$3*EXP(-$E$2*(I40^$G$2)))+(C$2*C$3*EXP(-$E$3*I40))</f>
        <v>149.409912376638</v>
      </c>
    </row>
    <row r="41" customFormat="false" ht="15" hidden="false" customHeight="false" outlineLevel="0" collapsed="false">
      <c r="B41" s="19"/>
      <c r="C41" s="19"/>
      <c r="D41" s="19"/>
      <c r="E41" s="19"/>
      <c r="F41" s="19"/>
      <c r="I41" s="6" t="n">
        <v>38</v>
      </c>
      <c r="J41" s="12" t="n">
        <f aca="false">((1-C$2)*C$3*EXP(-$E$2*(I41^$G$2)))+(C$2*C$3*EXP(-$E$3*I41))</f>
        <v>144.799566026726</v>
      </c>
    </row>
    <row r="42" customFormat="false" ht="15" hidden="false" customHeight="false" outlineLevel="0" collapsed="false">
      <c r="B42" s="19"/>
      <c r="C42" s="19"/>
      <c r="D42" s="19"/>
      <c r="E42" s="19"/>
      <c r="F42" s="19"/>
      <c r="I42" s="6" t="n">
        <v>39</v>
      </c>
      <c r="J42" s="12" t="n">
        <f aca="false">((1-C$2)*C$3*EXP(-$E$2*(I42^$G$2)))+(C$2*C$3*EXP(-$E$3*I42))</f>
        <v>140.33148127866</v>
      </c>
    </row>
    <row r="43" customFormat="false" ht="15" hidden="false" customHeight="false" outlineLevel="0" collapsed="false">
      <c r="B43" s="19"/>
      <c r="C43" s="19"/>
      <c r="D43" s="19"/>
      <c r="E43" s="19"/>
      <c r="F43" s="19"/>
      <c r="I43" s="6" t="n">
        <v>40</v>
      </c>
      <c r="J43" s="12" t="n">
        <f aca="false">((1-C$2)*C$3*EXP(-$E$2*(I43^$G$2)))+(C$2*C$3*EXP(-$E$3*I43))</f>
        <v>136.00126836173</v>
      </c>
    </row>
    <row r="44" customFormat="false" ht="15" hidden="false" customHeight="false" outlineLevel="0" collapsed="false">
      <c r="B44" s="19"/>
      <c r="C44" s="19"/>
      <c r="D44" s="19"/>
      <c r="F44" s="19"/>
      <c r="I44" s="6" t="n">
        <v>41</v>
      </c>
      <c r="J44" s="12" t="n">
        <f aca="false">((1-C$2)*C$3*EXP(-$E$2*(I44^$G$2)))+(C$2*C$3*EXP(-$E$3*I44))</f>
        <v>131.804672960521</v>
      </c>
    </row>
    <row r="45" customFormat="false" ht="15" hidden="false" customHeight="false" outlineLevel="0" collapsed="false">
      <c r="B45" s="19"/>
      <c r="C45" s="19"/>
      <c r="D45" s="19"/>
      <c r="F45" s="19"/>
      <c r="I45" s="6" t="n">
        <v>42</v>
      </c>
      <c r="J45" s="12" t="n">
        <f aca="false">((1-C$2)*C$3*EXP(-$E$2*(I45^$G$2)))+(C$2*C$3*EXP(-$E$3*I45))</f>
        <v>127.737572035162</v>
      </c>
    </row>
    <row r="46" customFormat="false" ht="15" hidden="false" customHeight="false" outlineLevel="0" collapsed="false">
      <c r="B46" s="19"/>
      <c r="C46" s="19"/>
      <c r="D46" s="19"/>
      <c r="F46" s="19"/>
      <c r="I46" s="6" t="n">
        <v>43</v>
      </c>
      <c r="J46" s="12" t="n">
        <f aca="false">((1-C$2)*C$3*EXP(-$E$2*(I46^$G$2)))+(C$2*C$3*EXP(-$E$3*I46))</f>
        <v>123.795969770553</v>
      </c>
    </row>
    <row r="47" customFormat="false" ht="15" hidden="false" customHeight="false" outlineLevel="0" collapsed="false">
      <c r="B47" s="19"/>
      <c r="C47" s="19"/>
      <c r="D47" s="19"/>
      <c r="F47" s="19"/>
      <c r="I47" s="6" t="n">
        <v>44</v>
      </c>
      <c r="J47" s="12" t="n">
        <f aca="false">((1-C$2)*C$3*EXP(-$E$2*(I47^$G$2)))+(C$2*C$3*EXP(-$E$3*I47))</f>
        <v>119.975993650584</v>
      </c>
    </row>
    <row r="48" customFormat="false" ht="15" hidden="false" customHeight="false" outlineLevel="0" collapsed="false">
      <c r="B48" s="19"/>
      <c r="C48" s="19"/>
      <c r="D48" s="19"/>
      <c r="F48" s="19"/>
      <c r="I48" s="6" t="n">
        <v>45</v>
      </c>
      <c r="J48" s="12" t="n">
        <f aca="false">((1-C$2)*C$3*EXP(-$E$2*(I48^$G$2)))+(C$2*C$3*EXP(-$E$3*I48))</f>
        <v>116.273890653498</v>
      </c>
    </row>
    <row r="49" customFormat="false" ht="15" hidden="false" customHeight="false" outlineLevel="0" collapsed="false">
      <c r="B49" s="19"/>
      <c r="C49" s="19"/>
      <c r="D49" s="19"/>
      <c r="F49" s="19"/>
      <c r="G49" s="19"/>
      <c r="H49" s="19"/>
      <c r="I49" s="6" t="n">
        <v>46</v>
      </c>
      <c r="J49" s="12" t="n">
        <f aca="false">((1-C$2)*C$3*EXP(-$E$2*(I49^$G$2)))+(C$2*C$3*EXP(-$E$3*I49))</f>
        <v>112.686023564646</v>
      </c>
    </row>
    <row r="50" customFormat="false" ht="15" hidden="false" customHeight="false" outlineLevel="0" collapsed="false">
      <c r="B50" s="19"/>
      <c r="C50" s="19"/>
      <c r="D50" s="19"/>
      <c r="F50" s="19"/>
      <c r="G50" s="19"/>
      <c r="H50" s="19"/>
      <c r="I50" s="6" t="n">
        <v>47</v>
      </c>
      <c r="J50" s="12" t="n">
        <f aca="false">((1-C$2)*C$3*EXP(-$E$2*(I50^$G$2)))+(C$2*C$3*EXP(-$E$3*I50))</f>
        <v>109.208867403028</v>
      </c>
    </row>
    <row r="51" customFormat="false" ht="15" hidden="false" customHeight="false" outlineLevel="0" collapsed="false">
      <c r="B51" s="19"/>
      <c r="C51" s="19"/>
      <c r="D51" s="19"/>
      <c r="F51" s="19"/>
      <c r="G51" s="19"/>
      <c r="H51" s="19"/>
      <c r="I51" s="6" t="n">
        <v>48</v>
      </c>
      <c r="J51" s="12" t="n">
        <f aca="false">((1-C$2)*C$3*EXP(-$E$2*(I51^$G$2)))+(C$2*C$3*EXP(-$E$3*I51))</f>
        <v>105.83900595809</v>
      </c>
    </row>
    <row r="52" customFormat="false" ht="15" hidden="false" customHeight="false" outlineLevel="0" collapsed="false">
      <c r="B52" s="19"/>
      <c r="C52" s="19"/>
      <c r="D52" s="19"/>
      <c r="F52" s="19"/>
      <c r="G52" s="19"/>
      <c r="H52" s="19"/>
      <c r="I52" s="6" t="n">
        <v>49</v>
      </c>
      <c r="J52" s="12" t="n">
        <f aca="false">((1-C$2)*C$3*EXP(-$E$2*(I52^$G$2)))+(C$2*C$3*EXP(-$E$3*I52))</f>
        <v>102.573128433398</v>
      </c>
    </row>
    <row r="53" customFormat="false" ht="15" hidden="false" customHeight="false" outlineLevel="0" collapsed="false">
      <c r="B53" s="19"/>
      <c r="C53" s="19"/>
      <c r="D53" s="19"/>
      <c r="F53" s="19"/>
      <c r="G53" s="19"/>
      <c r="H53" s="19"/>
      <c r="I53" s="6" t="n">
        <v>50</v>
      </c>
      <c r="J53" s="12" t="n">
        <f aca="false">((1-C$2)*C$3*EXP(-$E$2*(I53^$G$2)))+(C$2*C$3*EXP(-$E$3*I53))</f>
        <v>99.4080261938639</v>
      </c>
    </row>
    <row r="54" customFormat="false" ht="15" hidden="false" customHeight="false" outlineLevel="0" collapsed="false">
      <c r="B54" s="19"/>
      <c r="C54" s="19"/>
      <c r="D54" s="19"/>
      <c r="F54" s="19"/>
      <c r="G54" s="19"/>
      <c r="H54" s="19"/>
      <c r="I54" s="6" t="n">
        <v>51</v>
      </c>
      <c r="J54" s="12" t="n">
        <f aca="false">((1-C$2)*C$3*EXP(-$E$2*(I54^$G$2)))+(C$2*C$3*EXP(-$E$3*I54))</f>
        <v>96.3405896133547</v>
      </c>
    </row>
    <row r="55" customFormat="false" ht="15" hidden="false" customHeight="false" outlineLevel="0" collapsed="false">
      <c r="B55" s="19"/>
      <c r="C55" s="19"/>
      <c r="D55" s="19"/>
      <c r="F55" s="19"/>
      <c r="G55" s="19"/>
      <c r="H55" s="19"/>
      <c r="I55" s="6" t="n">
        <v>52</v>
      </c>
      <c r="J55" s="12" t="n">
        <f aca="false">((1-C$2)*C$3*EXP(-$E$2*(I55^$G$2)))+(C$2*C$3*EXP(-$E$3*I55))</f>
        <v>93.3678050195684</v>
      </c>
    </row>
    <row r="56" customFormat="false" ht="15" hidden="false" customHeight="false" outlineLevel="0" collapsed="false">
      <c r="B56" s="19"/>
      <c r="C56" s="19"/>
      <c r="D56" s="19"/>
      <c r="F56" s="19"/>
      <c r="G56" s="19"/>
      <c r="H56" s="19"/>
      <c r="I56" s="6" t="n">
        <v>53</v>
      </c>
      <c r="J56" s="12" t="n">
        <f aca="false">((1-C$2)*C$3*EXP(-$E$2*(I56^$G$2)))+(C$2*C$3*EXP(-$E$3*I56))</f>
        <v>90.4867517331835</v>
      </c>
    </row>
    <row r="57" customFormat="false" ht="15" hidden="false" customHeight="false" outlineLevel="0" collapsed="false">
      <c r="B57" s="19"/>
      <c r="C57" s="19"/>
      <c r="D57" s="19"/>
      <c r="F57" s="19"/>
      <c r="G57" s="19"/>
      <c r="H57" s="19"/>
      <c r="I57" s="6" t="n">
        <v>54</v>
      </c>
      <c r="J57" s="12" t="n">
        <f aca="false">((1-C$2)*C$3*EXP(-$E$2*(I57^$G$2)))+(C$2*C$3*EXP(-$E$3*I57))</f>
        <v>87.6945991983719</v>
      </c>
    </row>
    <row r="58" customFormat="false" ht="15" hidden="false" customHeight="false" outlineLevel="0" collapsed="false">
      <c r="B58" s="19"/>
      <c r="C58" s="19"/>
      <c r="D58" s="19"/>
      <c r="F58" s="19"/>
      <c r="G58" s="19"/>
      <c r="H58" s="19"/>
      <c r="I58" s="6" t="n">
        <v>55</v>
      </c>
      <c r="J58" s="12" t="n">
        <f aca="false">((1-C$2)*C$3*EXP(-$E$2*(I58^$G$2)))+(C$2*C$3*EXP(-$E$3*I58))</f>
        <v>84.9886042018554</v>
      </c>
    </row>
    <row r="59" customFormat="false" ht="15" hidden="false" customHeight="false" outlineLevel="0" collapsed="false">
      <c r="B59" s="19"/>
      <c r="C59" s="19"/>
      <c r="D59" s="19"/>
      <c r="G59" s="19"/>
      <c r="H59" s="19"/>
      <c r="I59" s="6" t="n">
        <v>56</v>
      </c>
      <c r="J59" s="12" t="n">
        <f aca="false">((1-C$2)*C$3*EXP(-$E$2*(I59^$G$2)))+(C$2*C$3*EXP(-$E$3*I59))</f>
        <v>82.366108177774</v>
      </c>
    </row>
    <row r="60" customFormat="false" ht="15" hidden="false" customHeight="false" outlineLevel="0" collapsed="false">
      <c r="B60" s="19"/>
      <c r="C60" s="19"/>
      <c r="D60" s="19"/>
      <c r="G60" s="19"/>
      <c r="H60" s="19"/>
      <c r="I60" s="6" t="n">
        <v>57</v>
      </c>
      <c r="J60" s="12" t="n">
        <f aca="false">((1-C$2)*C$3*EXP(-$E$2*(I60^$G$2)))+(C$2*C$3*EXP(-$E$3*I60))</f>
        <v>79.8245345957178</v>
      </c>
    </row>
    <row r="61" customFormat="false" ht="15" hidden="false" customHeight="false" outlineLevel="0" collapsed="false">
      <c r="G61" s="19"/>
      <c r="H61" s="19"/>
      <c r="I61" s="6" t="n">
        <v>58</v>
      </c>
      <c r="J61" s="12" t="n">
        <f aca="false">((1-C$2)*C$3*EXP(-$E$2*(I61^$G$2)))+(C$2*C$3*EXP(-$E$3*I61))</f>
        <v>77.3613864293564</v>
      </c>
    </row>
    <row r="62" customFormat="false" ht="15" hidden="false" customHeight="false" outlineLevel="0" collapsed="false">
      <c r="G62" s="19"/>
      <c r="H62" s="19"/>
      <c r="I62" s="6" t="n">
        <v>59</v>
      </c>
      <c r="J62" s="12" t="n">
        <f aca="false">((1-C$2)*C$3*EXP(-$E$2*(I62^$G$2)))+(C$2*C$3*EXP(-$E$3*I62))</f>
        <v>74.9742437031792</v>
      </c>
    </row>
    <row r="63" customFormat="false" ht="15" hidden="false" customHeight="false" outlineLevel="0" collapsed="false">
      <c r="G63" s="19"/>
      <c r="H63" s="19"/>
      <c r="I63" s="6" t="n">
        <v>60</v>
      </c>
      <c r="J63" s="12" t="n">
        <f aca="false">((1-C$2)*C$3*EXP(-$E$2*(I63^$G$2)))+(C$2*C$3*EXP(-$E$3*I63))</f>
        <v>72.6607611149359</v>
      </c>
    </row>
    <row r="64" customFormat="false" ht="15" hidden="false" customHeight="false" outlineLevel="0" collapsed="false">
      <c r="G64" s="19"/>
      <c r="H64" s="19"/>
      <c r="I64" s="19"/>
    </row>
    <row r="65" customFormat="false" ht="15" hidden="false" customHeight="false" outlineLevel="0" collapsed="false">
      <c r="G65" s="19"/>
      <c r="H65" s="19"/>
      <c r="I65" s="19"/>
    </row>
    <row r="66" customFormat="false" ht="15" hidden="false" customHeight="false" outlineLevel="0" collapsed="false">
      <c r="G66" s="19"/>
      <c r="H66" s="19"/>
      <c r="I66" s="19"/>
    </row>
    <row r="67" customFormat="false" ht="15" hidden="false" customHeight="false" outlineLevel="0" collapsed="false">
      <c r="G67" s="19"/>
      <c r="H67" s="19"/>
      <c r="I67" s="19"/>
    </row>
    <row r="68" customFormat="false" ht="15" hidden="false" customHeight="false" outlineLevel="0" collapsed="false">
      <c r="G68" s="19"/>
      <c r="H68" s="19"/>
      <c r="I68" s="19"/>
    </row>
    <row r="69" customFormat="false" ht="15" hidden="false" customHeight="false" outlineLevel="0" collapsed="false">
      <c r="G69" s="19"/>
      <c r="H69" s="19"/>
      <c r="I69" s="19"/>
    </row>
    <row r="70" customFormat="false" ht="15" hidden="false" customHeight="false" outlineLevel="0" collapsed="false">
      <c r="G70" s="19"/>
      <c r="H70" s="19"/>
      <c r="I70" s="19"/>
    </row>
    <row r="71" customFormat="false" ht="15" hidden="false" customHeight="false" outlineLevel="0" collapsed="false">
      <c r="G71" s="19"/>
      <c r="H71" s="19"/>
      <c r="I71" s="19"/>
    </row>
    <row r="72" customFormat="false" ht="15" hidden="false" customHeight="false" outlineLevel="0" collapsed="false">
      <c r="G72" s="19"/>
      <c r="H72" s="19"/>
      <c r="I72" s="19"/>
    </row>
    <row r="73" customFormat="false" ht="15" hidden="false" customHeight="false" outlineLevel="0" collapsed="false">
      <c r="G73" s="19"/>
      <c r="H73" s="19"/>
      <c r="I73" s="19"/>
    </row>
    <row r="74" customFormat="false" ht="15" hidden="false" customHeight="false" outlineLevel="0" collapsed="false">
      <c r="G74" s="19"/>
      <c r="H74" s="19"/>
      <c r="I74" s="19"/>
    </row>
    <row r="75" customFormat="false" ht="15" hidden="false" customHeight="false" outlineLevel="0" collapsed="false">
      <c r="G75" s="19"/>
      <c r="H75" s="19"/>
      <c r="I75" s="19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&amp;C_x005F_x000D_&amp;1#&amp;"Default,Regular"&amp;10&amp;Kd89b2b Confidential - Company Proprietary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23.57"/>
    <col collapsed="false" customWidth="true" hidden="false" outlineLevel="0" max="4" min="4" style="0" width="24.42"/>
  </cols>
  <sheetData>
    <row r="2" customFormat="false" ht="15" hidden="false" customHeight="false" outlineLevel="0" collapsed="false">
      <c r="B2" s="1" t="s">
        <v>0</v>
      </c>
      <c r="C2" s="2" t="n">
        <v>0.0012427623324654</v>
      </c>
      <c r="D2" s="3" t="s">
        <v>1</v>
      </c>
      <c r="E2" s="4" t="n">
        <v>0.682806368262705</v>
      </c>
      <c r="F2" s="3" t="s">
        <v>2</v>
      </c>
      <c r="G2" s="5" t="n">
        <v>0.836433785532417</v>
      </c>
      <c r="I2" s="6" t="s">
        <v>3</v>
      </c>
      <c r="J2" s="6" t="s">
        <v>4</v>
      </c>
    </row>
    <row r="3" customFormat="false" ht="15" hidden="false" customHeight="false" outlineLevel="0" collapsed="false">
      <c r="B3" s="7" t="s">
        <v>5</v>
      </c>
      <c r="C3" s="8" t="n">
        <f aca="false">(B6+B12)/2</f>
        <v>787.5</v>
      </c>
      <c r="D3" s="9" t="s">
        <v>6</v>
      </c>
      <c r="E3" s="10" t="n">
        <v>0</v>
      </c>
      <c r="F3" s="9"/>
      <c r="G3" s="11"/>
      <c r="I3" s="6" t="n">
        <v>0</v>
      </c>
      <c r="J3" s="12" t="n">
        <f aca="false">((1-C$2)*C$3*EXP(-$E$2*(I3^$G$2)))+(C$2*C$3*EXP(-$E$3*I3))</f>
        <v>787.5</v>
      </c>
    </row>
    <row r="4" customFormat="false" ht="15" hidden="false" customHeight="false" outlineLevel="0" collapsed="false">
      <c r="I4" s="6" t="n">
        <v>1</v>
      </c>
      <c r="J4" s="12" t="n">
        <f aca="false">((1-C$2)*C$3*EXP(-$E$2*(I4^$G$2)))+(C$2*C$3*EXP(-$E$3*I4))</f>
        <v>398.327071178076</v>
      </c>
    </row>
    <row r="5" customFormat="false" ht="15" hidden="false" customHeight="false" outlineLevel="0" collapsed="false">
      <c r="B5" s="13" t="s">
        <v>7</v>
      </c>
      <c r="C5" s="14" t="s">
        <v>8</v>
      </c>
      <c r="D5" s="14" t="s">
        <v>9</v>
      </c>
      <c r="E5" s="15"/>
      <c r="I5" s="6" t="n">
        <v>2</v>
      </c>
      <c r="J5" s="12" t="n">
        <f aca="false">((1-C$2)*C$3*EXP(-$E$2*(I5^$G$2)))+(C$2*C$3*EXP(-$E$3*I5))</f>
        <v>233.360027316438</v>
      </c>
    </row>
    <row r="6" customFormat="false" ht="15" hidden="false" customHeight="false" outlineLevel="0" collapsed="false">
      <c r="B6" s="16" t="n">
        <v>775</v>
      </c>
      <c r="C6" s="17" t="n">
        <v>0</v>
      </c>
      <c r="D6" s="16" t="n">
        <v>787.5</v>
      </c>
      <c r="E6" s="15"/>
      <c r="I6" s="6" t="n">
        <v>3</v>
      </c>
      <c r="J6" s="12" t="n">
        <f aca="false">((1-C$2)*C$3*EXP(-$E$2*(I6^$G$2)))+(C$2*C$3*EXP(-$E$3*I6))</f>
        <v>143.019697951958</v>
      </c>
    </row>
    <row r="7" customFormat="false" ht="15" hidden="false" customHeight="false" outlineLevel="0" collapsed="false">
      <c r="B7" s="16" t="n">
        <v>620</v>
      </c>
      <c r="C7" s="17" t="n">
        <v>0.686406436310531</v>
      </c>
      <c r="D7" s="16" t="n">
        <v>478.775057805373</v>
      </c>
      <c r="E7" s="15"/>
      <c r="I7" s="6" t="n">
        <v>4</v>
      </c>
      <c r="J7" s="12" t="n">
        <f aca="false">((1-C$2)*C$3*EXP(-$E$2*(I7^$G$2)))+(C$2*C$3*EXP(-$E$3*I7))</f>
        <v>90.1453430095317</v>
      </c>
    </row>
    <row r="8" customFormat="false" ht="15" hidden="false" customHeight="false" outlineLevel="0" collapsed="false">
      <c r="B8" s="16" t="n">
        <v>260</v>
      </c>
      <c r="C8" s="17" t="n">
        <v>1.99305397968086</v>
      </c>
      <c r="D8" s="16" t="n">
        <v>234.184775109996</v>
      </c>
      <c r="E8" s="15"/>
      <c r="I8" s="6" t="n">
        <v>5</v>
      </c>
      <c r="J8" s="12" t="n">
        <f aca="false">((1-C$2)*C$3*EXP(-$E$2*(I8^$G$2)))+(C$2*C$3*EXP(-$E$3*I8))</f>
        <v>58.0194120222848</v>
      </c>
    </row>
    <row r="9" customFormat="false" ht="15" hidden="false" customHeight="false" outlineLevel="0" collapsed="false">
      <c r="B9" s="16" t="n">
        <v>158</v>
      </c>
      <c r="C9" s="17" t="n">
        <v>3.21619260321904</v>
      </c>
      <c r="D9" s="16" t="n">
        <v>129.172497248102</v>
      </c>
      <c r="E9" s="15"/>
      <c r="I9" s="6" t="n">
        <v>6</v>
      </c>
      <c r="J9" s="12" t="n">
        <f aca="false">((1-C$2)*C$3*EXP(-$E$2*(I9^$G$2)))+(C$2*C$3*EXP(-$E$3*I9))</f>
        <v>38.0004326245033</v>
      </c>
    </row>
    <row r="10" customFormat="false" ht="15" hidden="false" customHeight="false" outlineLevel="0" collapsed="false">
      <c r="B10" s="16" t="n">
        <v>33</v>
      </c>
      <c r="C10" s="17" t="n">
        <v>5.9428784807779</v>
      </c>
      <c r="D10" s="16" t="n">
        <v>38.9131688351192</v>
      </c>
      <c r="E10" s="15"/>
      <c r="I10" s="6" t="n">
        <v>7</v>
      </c>
      <c r="J10" s="12" t="n">
        <f aca="false">((1-C$2)*C$3*EXP(-$E$2*(I10^$G$2)))+(C$2*C$3*EXP(-$E$3*I10))</f>
        <v>25.2896688609647</v>
      </c>
    </row>
    <row r="11" customFormat="false" ht="15" hidden="false" customHeight="false" outlineLevel="0" collapsed="false">
      <c r="B11" s="16" t="n">
        <v>9</v>
      </c>
      <c r="C11" s="17" t="n">
        <v>13.2846207787973</v>
      </c>
      <c r="D11" s="16" t="n">
        <v>3.04547520038484</v>
      </c>
      <c r="E11" s="15"/>
      <c r="I11" s="6" t="n">
        <v>8</v>
      </c>
      <c r="J11" s="12" t="n">
        <f aca="false">((1-C$2)*C$3*EXP(-$E$2*(I11^$G$2)))+(C$2*C$3*EXP(-$E$3*I11))</f>
        <v>17.0993195973751</v>
      </c>
    </row>
    <row r="12" customFormat="false" ht="15" hidden="false" customHeight="false" outlineLevel="0" collapsed="false">
      <c r="B12" s="16" t="n">
        <v>800</v>
      </c>
      <c r="C12" s="17" t="n">
        <v>0</v>
      </c>
      <c r="D12" s="16" t="n">
        <v>787.5</v>
      </c>
      <c r="E12" s="15"/>
      <c r="I12" s="6" t="n">
        <v>9</v>
      </c>
      <c r="J12" s="12" t="n">
        <f aca="false">((1-C$2)*C$3*EXP(-$E$2*(I12^$G$2)))+(C$2*C$3*EXP(-$E$3*I12))</f>
        <v>11.7577906875893</v>
      </c>
    </row>
    <row r="13" customFormat="false" ht="15" hidden="false" customHeight="false" outlineLevel="0" collapsed="false">
      <c r="B13" s="16" t="n">
        <v>250</v>
      </c>
      <c r="C13" s="17" t="n">
        <v>1.52256675005619</v>
      </c>
      <c r="D13" s="16" t="n">
        <v>298.976509201493</v>
      </c>
      <c r="E13" s="15"/>
      <c r="I13" s="6" t="n">
        <v>10</v>
      </c>
      <c r="J13" s="12" t="n">
        <f aca="false">((1-C$2)*C$3*EXP(-$E$2*(I13^$G$2)))+(C$2*C$3*EXP(-$E$3*I13))</f>
        <v>8.23871406942514</v>
      </c>
    </row>
    <row r="14" customFormat="false" ht="15" hidden="false" customHeight="false" outlineLevel="0" collapsed="false">
      <c r="B14" s="16" t="n">
        <v>64</v>
      </c>
      <c r="C14" s="17" t="n">
        <v>4.47954664551733</v>
      </c>
      <c r="D14" s="16" t="n">
        <v>72.8041637352466</v>
      </c>
      <c r="I14" s="6" t="n">
        <v>11</v>
      </c>
      <c r="J14" s="12" t="n">
        <f aca="false">((1-C$2)*C$3*EXP(-$E$2*(I14^$G$2)))+(C$2*C$3*EXP(-$E$3*I14))</f>
        <v>5.9000274574731</v>
      </c>
    </row>
    <row r="15" customFormat="false" ht="15" hidden="false" customHeight="false" outlineLevel="0" collapsed="false">
      <c r="B15" s="16" t="n">
        <v>20</v>
      </c>
      <c r="C15" s="17" t="n">
        <v>7.3227629386573</v>
      </c>
      <c r="D15" s="16" t="n">
        <v>22.2495660213273</v>
      </c>
      <c r="I15" s="6" t="n">
        <v>12</v>
      </c>
      <c r="J15" s="12" t="n">
        <f aca="false">((1-C$2)*C$3*EXP(-$E$2*(I15^$G$2)))+(C$2*C$3*EXP(-$E$3*I15))</f>
        <v>4.33393297608358</v>
      </c>
    </row>
    <row r="16" customFormat="false" ht="15" hidden="false" customHeight="false" outlineLevel="0" collapsed="false">
      <c r="B16" s="16" t="n">
        <v>1</v>
      </c>
      <c r="C16" s="17" t="n">
        <v>13.9613979720855</v>
      </c>
      <c r="D16" s="16" t="n">
        <v>2.58484779316469</v>
      </c>
      <c r="I16" s="6" t="n">
        <v>13</v>
      </c>
      <c r="J16" s="12" t="n">
        <f aca="false">((1-C$2)*C$3*EXP(-$E$2*(I16^$G$2)))+(C$2*C$3*EXP(-$E$3*I16))</f>
        <v>3.2781164193971</v>
      </c>
    </row>
    <row r="17" customFormat="false" ht="15" hidden="false" customHeight="false" outlineLevel="0" collapsed="false">
      <c r="B17" s="16" t="n">
        <v>1</v>
      </c>
      <c r="C17" s="17" t="n">
        <v>34.8666767235899</v>
      </c>
      <c r="D17" s="16" t="n">
        <v>0.979969547459268</v>
      </c>
      <c r="I17" s="6" t="n">
        <v>14</v>
      </c>
      <c r="J17" s="12" t="n">
        <f aca="false">((1-C$2)*C$3*EXP(-$E$2*(I17^$G$2)))+(C$2*C$3*EXP(-$E$3*I17))</f>
        <v>2.56200992295354</v>
      </c>
    </row>
    <row r="18" customFormat="false" ht="15" hidden="false" customHeight="false" outlineLevel="0" collapsed="false">
      <c r="B18" s="15"/>
      <c r="C18" s="18"/>
      <c r="D18" s="15"/>
      <c r="I18" s="6" t="n">
        <v>15</v>
      </c>
      <c r="J18" s="12" t="n">
        <f aca="false">((1-C$2)*C$3*EXP(-$E$2*(I18^$G$2)))+(C$2*C$3*EXP(-$E$3*I18))</f>
        <v>2.07365762178479</v>
      </c>
    </row>
    <row r="19" customFormat="false" ht="15" hidden="false" customHeight="false" outlineLevel="0" collapsed="false">
      <c r="B19" s="15"/>
      <c r="C19" s="18"/>
      <c r="D19" s="15"/>
      <c r="I19" s="6" t="n">
        <v>16</v>
      </c>
      <c r="J19" s="12" t="n">
        <f aca="false">((1-C$2)*C$3*EXP(-$E$2*(I19^$G$2)))+(C$2*C$3*EXP(-$E$3*I19))</f>
        <v>1.73896642311799</v>
      </c>
    </row>
    <row r="20" customFormat="false" ht="15" hidden="false" customHeight="false" outlineLevel="0" collapsed="false">
      <c r="C20" s="18"/>
      <c r="D20" s="15"/>
      <c r="I20" s="6" t="n">
        <v>17</v>
      </c>
      <c r="J20" s="12" t="n">
        <f aca="false">((1-C$2)*C$3*EXP(-$E$2*(I20^$G$2)))+(C$2*C$3*EXP(-$E$3*I20))</f>
        <v>1.50854025804911</v>
      </c>
    </row>
    <row r="21" customFormat="false" ht="15" hidden="false" customHeight="false" outlineLevel="0" collapsed="false">
      <c r="I21" s="6" t="n">
        <v>18</v>
      </c>
      <c r="J21" s="12" t="n">
        <f aca="false">((1-C$2)*C$3*EXP(-$E$2*(I21^$G$2)))+(C$2*C$3*EXP(-$E$3*I21))</f>
        <v>1.34923055773676</v>
      </c>
    </row>
    <row r="22" customFormat="false" ht="15" hidden="false" customHeight="false" outlineLevel="0" collapsed="false">
      <c r="I22" s="6" t="n">
        <v>19</v>
      </c>
      <c r="J22" s="12" t="n">
        <f aca="false">((1-C$2)*C$3*EXP(-$E$2*(I22^$G$2)))+(C$2*C$3*EXP(-$E$3*I22))</f>
        <v>1.23865921322021</v>
      </c>
    </row>
    <row r="23" customFormat="false" ht="15" hidden="false" customHeight="false" outlineLevel="0" collapsed="false">
      <c r="I23" s="6" t="n">
        <v>20</v>
      </c>
      <c r="J23" s="12" t="n">
        <f aca="false">((1-C$2)*C$3*EXP(-$E$2*(I23^$G$2)))+(C$2*C$3*EXP(-$E$3*I23))</f>
        <v>1.16163687623306</v>
      </c>
    </row>
    <row r="24" customFormat="false" ht="15" hidden="false" customHeight="false" outlineLevel="0" collapsed="false">
      <c r="I24" s="6" t="n">
        <v>21</v>
      </c>
      <c r="J24" s="12" t="n">
        <f aca="false">((1-C$2)*C$3*EXP(-$E$2*(I24^$G$2)))+(C$2*C$3*EXP(-$E$3*I24))</f>
        <v>1.10780218981144</v>
      </c>
    </row>
    <row r="25" customFormat="false" ht="15" hidden="false" customHeight="false" outlineLevel="0" collapsed="false">
      <c r="I25" s="6" t="n">
        <v>22</v>
      </c>
      <c r="J25" s="12" t="n">
        <f aca="false">((1-C$2)*C$3*EXP(-$E$2*(I25^$G$2)))+(C$2*C$3*EXP(-$E$3*I25))</f>
        <v>1.0700546774696</v>
      </c>
    </row>
    <row r="26" customFormat="false" ht="15" hidden="false" customHeight="false" outlineLevel="0" collapsed="false">
      <c r="I26" s="6" t="n">
        <v>23</v>
      </c>
      <c r="J26" s="12" t="n">
        <f aca="false">((1-C$2)*C$3*EXP(-$E$2*(I26^$G$2)))+(C$2*C$3*EXP(-$E$3*I26))</f>
        <v>1.04350775546065</v>
      </c>
    </row>
    <row r="27" customFormat="false" ht="15" hidden="false" customHeight="false" outlineLevel="0" collapsed="false">
      <c r="I27" s="6" t="n">
        <v>24</v>
      </c>
      <c r="J27" s="12" t="n">
        <f aca="false">((1-C$2)*C$3*EXP(-$E$2*(I27^$G$2)))+(C$2*C$3*EXP(-$E$3*I27))</f>
        <v>1.02478511654101</v>
      </c>
    </row>
    <row r="28" customFormat="false" ht="15" hidden="false" customHeight="false" outlineLevel="0" collapsed="false">
      <c r="I28" s="6" t="n">
        <v>25</v>
      </c>
      <c r="J28" s="12" t="n">
        <f aca="false">((1-C$2)*C$3*EXP(-$E$2*(I28^$G$2)))+(C$2*C$3*EXP(-$E$3*I28))</f>
        <v>1.01154531444466</v>
      </c>
    </row>
    <row r="29" customFormat="false" ht="15" hidden="false" customHeight="false" outlineLevel="0" collapsed="false">
      <c r="I29" s="6" t="n">
        <v>26</v>
      </c>
      <c r="J29" s="12" t="n">
        <f aca="false">((1-C$2)*C$3*EXP(-$E$2*(I29^$G$2)))+(C$2*C$3*EXP(-$E$3*I29))</f>
        <v>1.00215893461992</v>
      </c>
    </row>
    <row r="30" customFormat="false" ht="15" hidden="false" customHeight="false" outlineLevel="0" collapsed="false">
      <c r="I30" s="6" t="n">
        <v>27</v>
      </c>
      <c r="J30" s="12" t="n">
        <f aca="false">((1-C$2)*C$3*EXP(-$E$2*(I30^$G$2)))+(C$2*C$3*EXP(-$E$3*I30))</f>
        <v>0.995488364375832</v>
      </c>
    </row>
    <row r="31" customFormat="false" ht="15" hidden="false" customHeight="false" outlineLevel="0" collapsed="false">
      <c r="E31" s="19"/>
      <c r="F31" s="19"/>
      <c r="I31" s="6" t="n">
        <v>28</v>
      </c>
      <c r="J31" s="12" t="n">
        <f aca="false">((1-C$2)*C$3*EXP(-$E$2*(I31^$G$2)))+(C$2*C$3*EXP(-$E$3*I31))</f>
        <v>0.990736908576074</v>
      </c>
    </row>
    <row r="32" customFormat="false" ht="15" hidden="false" customHeight="false" outlineLevel="0" collapsed="false">
      <c r="E32" s="19"/>
      <c r="F32" s="19"/>
      <c r="I32" s="6" t="n">
        <v>29</v>
      </c>
      <c r="J32" s="12" t="n">
        <f aca="false">((1-C$2)*C$3*EXP(-$E$2*(I32^$G$2)))+(C$2*C$3*EXP(-$E$3*I32))</f>
        <v>0.98734500015064</v>
      </c>
    </row>
    <row r="33" customFormat="false" ht="15" hidden="false" customHeight="false" outlineLevel="0" collapsed="false">
      <c r="E33" s="19"/>
      <c r="F33" s="19"/>
      <c r="I33" s="6" t="n">
        <v>30</v>
      </c>
      <c r="J33" s="12" t="n">
        <f aca="false">((1-C$2)*C$3*EXP(-$E$2*(I33^$G$2)))+(C$2*C$3*EXP(-$E$3*I33))</f>
        <v>0.984918537180368</v>
      </c>
    </row>
    <row r="34" customFormat="false" ht="15" hidden="false" customHeight="false" outlineLevel="0" collapsed="false">
      <c r="E34" s="19"/>
      <c r="F34" s="19"/>
      <c r="I34" s="6" t="n">
        <v>31</v>
      </c>
      <c r="J34" s="12" t="n">
        <f aca="false">((1-C$2)*C$3*EXP(-$E$2*(I34^$G$2)))+(C$2*C$3*EXP(-$E$3*I34))</f>
        <v>0.983179227175788</v>
      </c>
    </row>
    <row r="35" customFormat="false" ht="15" hidden="false" customHeight="false" outlineLevel="0" collapsed="false">
      <c r="B35" s="19"/>
      <c r="C35" s="19"/>
      <c r="D35" s="19"/>
      <c r="E35" s="19"/>
      <c r="F35" s="19"/>
      <c r="I35" s="6" t="n">
        <v>32</v>
      </c>
      <c r="J35" s="12" t="n">
        <f aca="false">((1-C$2)*C$3*EXP(-$E$2*(I35^$G$2)))+(C$2*C$3*EXP(-$E$3*I35))</f>
        <v>0.981930065577581</v>
      </c>
    </row>
    <row r="36" customFormat="false" ht="15" hidden="false" customHeight="false" outlineLevel="0" collapsed="false">
      <c r="B36" s="19"/>
      <c r="C36" s="19"/>
      <c r="D36" s="19"/>
      <c r="E36" s="19"/>
      <c r="F36" s="19"/>
      <c r="I36" s="6" t="n">
        <v>33</v>
      </c>
      <c r="J36" s="12" t="n">
        <f aca="false">((1-C$2)*C$3*EXP(-$E$2*(I36^$G$2)))+(C$2*C$3*EXP(-$E$3*I36))</f>
        <v>0.981031260223374</v>
      </c>
    </row>
    <row r="37" customFormat="false" ht="15" hidden="false" customHeight="false" outlineLevel="0" collapsed="false">
      <c r="B37" s="19"/>
      <c r="C37" s="19"/>
      <c r="D37" s="19"/>
      <c r="E37" s="19"/>
      <c r="F37" s="19"/>
      <c r="I37" s="6" t="n">
        <v>34</v>
      </c>
      <c r="J37" s="12" t="n">
        <f aca="false">((1-C$2)*C$3*EXP(-$E$2*(I37^$G$2)))+(C$2*C$3*EXP(-$E$3*I37))</f>
        <v>0.980383390813333</v>
      </c>
    </row>
    <row r="38" customFormat="false" ht="15" hidden="false" customHeight="false" outlineLevel="0" collapsed="false">
      <c r="B38" s="19"/>
      <c r="C38" s="19"/>
      <c r="D38" s="19"/>
      <c r="E38" s="19"/>
      <c r="F38" s="19"/>
      <c r="I38" s="6" t="n">
        <v>35</v>
      </c>
      <c r="J38" s="12" t="n">
        <f aca="false">((1-C$2)*C$3*EXP(-$E$2*(I38^$G$2)))+(C$2*C$3*EXP(-$E$3*I38))</f>
        <v>0.979915595812721</v>
      </c>
    </row>
    <row r="39" customFormat="false" ht="15" hidden="false" customHeight="false" outlineLevel="0" collapsed="false">
      <c r="B39" s="19"/>
      <c r="C39" s="19"/>
      <c r="D39" s="19"/>
      <c r="E39" s="19"/>
      <c r="F39" s="19"/>
      <c r="I39" s="6" t="n">
        <v>36</v>
      </c>
      <c r="J39" s="12" t="n">
        <f aca="false">((1-C$2)*C$3*EXP(-$E$2*(I39^$G$2)))+(C$2*C$3*EXP(-$E$3*I39))</f>
        <v>0.979577263626654</v>
      </c>
    </row>
    <row r="40" customFormat="false" ht="15" hidden="false" customHeight="false" outlineLevel="0" collapsed="false">
      <c r="B40" s="19"/>
      <c r="C40" s="19"/>
      <c r="D40" s="19"/>
      <c r="E40" s="19"/>
      <c r="F40" s="19"/>
      <c r="I40" s="6" t="n">
        <v>37</v>
      </c>
      <c r="J40" s="12" t="n">
        <f aca="false">((1-C$2)*C$3*EXP(-$E$2*(I40^$G$2)))+(C$2*C$3*EXP(-$E$3*I40))</f>
        <v>0.979332173534521</v>
      </c>
    </row>
    <row r="41" customFormat="false" ht="15" hidden="false" customHeight="false" outlineLevel="0" collapsed="false">
      <c r="B41" s="19"/>
      <c r="C41" s="19"/>
      <c r="D41" s="19"/>
      <c r="E41" s="19"/>
      <c r="F41" s="19"/>
      <c r="I41" s="6" t="n">
        <v>38</v>
      </c>
      <c r="J41" s="12" t="n">
        <f aca="false">((1-C$2)*C$3*EXP(-$E$2*(I41^$G$2)))+(C$2*C$3*EXP(-$E$3*I41))</f>
        <v>0.979154353982699</v>
      </c>
    </row>
    <row r="42" customFormat="false" ht="15" hidden="false" customHeight="false" outlineLevel="0" collapsed="false">
      <c r="B42" s="19"/>
      <c r="C42" s="19"/>
      <c r="D42" s="19"/>
      <c r="E42" s="19"/>
      <c r="F42" s="19"/>
      <c r="I42" s="6" t="n">
        <v>39</v>
      </c>
      <c r="J42" s="12" t="n">
        <f aca="false">((1-C$2)*C$3*EXP(-$E$2*(I42^$G$2)))+(C$2*C$3*EXP(-$E$3*I42))</f>
        <v>0.97902514800343</v>
      </c>
    </row>
    <row r="43" customFormat="false" ht="15" hidden="false" customHeight="false" outlineLevel="0" collapsed="false">
      <c r="B43" s="19"/>
      <c r="C43" s="19"/>
      <c r="D43" s="19"/>
      <c r="E43" s="19"/>
      <c r="F43" s="19"/>
      <c r="I43" s="6" t="n">
        <v>40</v>
      </c>
      <c r="J43" s="12" t="n">
        <f aca="false">((1-C$2)*C$3*EXP(-$E$2*(I43^$G$2)))+(C$2*C$3*EXP(-$E$3*I43))</f>
        <v>0.978931129273905</v>
      </c>
    </row>
    <row r="44" customFormat="false" ht="15" hidden="false" customHeight="false" outlineLevel="0" collapsed="false">
      <c r="B44" s="19"/>
      <c r="C44" s="19"/>
      <c r="D44" s="19"/>
      <c r="E44" s="19"/>
      <c r="F44" s="19"/>
      <c r="I44" s="6" t="n">
        <v>41</v>
      </c>
      <c r="J44" s="12" t="n">
        <f aca="false">((1-C$2)*C$3*EXP(-$E$2*(I44^$G$2)))+(C$2*C$3*EXP(-$E$3*I44))</f>
        <v>0.978862619061141</v>
      </c>
    </row>
    <row r="45" customFormat="false" ht="15" hidden="false" customHeight="false" outlineLevel="0" collapsed="false">
      <c r="B45" s="19"/>
      <c r="C45" s="19"/>
      <c r="D45" s="19"/>
      <c r="E45" s="19"/>
      <c r="F45" s="19"/>
      <c r="I45" s="6" t="n">
        <v>42</v>
      </c>
      <c r="J45" s="12" t="n">
        <f aca="false">((1-C$2)*C$3*EXP(-$E$2*(I45^$G$2)))+(C$2*C$3*EXP(-$E$3*I45))</f>
        <v>0.978812628614085</v>
      </c>
    </row>
    <row r="46" customFormat="false" ht="15" hidden="false" customHeight="false" outlineLevel="0" collapsed="false">
      <c r="B46" s="19"/>
      <c r="C46" s="19"/>
      <c r="D46" s="19"/>
      <c r="E46" s="19"/>
      <c r="F46" s="19"/>
      <c r="I46" s="6" t="n">
        <v>43</v>
      </c>
      <c r="J46" s="12" t="n">
        <f aca="false">((1-C$2)*C$3*EXP(-$E$2*(I46^$G$2)))+(C$2*C$3*EXP(-$E$3*I46))</f>
        <v>0.978776103457359</v>
      </c>
    </row>
    <row r="47" customFormat="false" ht="15" hidden="false" customHeight="false" outlineLevel="0" collapsed="false">
      <c r="B47" s="19"/>
      <c r="C47" s="19"/>
      <c r="D47" s="19"/>
      <c r="E47" s="19"/>
      <c r="F47" s="19"/>
      <c r="I47" s="6" t="n">
        <v>44</v>
      </c>
      <c r="J47" s="12" t="n">
        <f aca="false">((1-C$2)*C$3*EXP(-$E$2*(I47^$G$2)))+(C$2*C$3*EXP(-$E$3*I47))</f>
        <v>0.97874938237532</v>
      </c>
    </row>
    <row r="48" customFormat="false" ht="15" hidden="false" customHeight="false" outlineLevel="0" collapsed="false">
      <c r="B48" s="19"/>
      <c r="C48" s="19"/>
      <c r="D48" s="19"/>
      <c r="E48" s="19"/>
      <c r="F48" s="19"/>
      <c r="I48" s="6" t="n">
        <v>45</v>
      </c>
      <c r="J48" s="12" t="n">
        <f aca="false">((1-C$2)*C$3*EXP(-$E$2*(I48^$G$2)))+(C$2*C$3*EXP(-$E$3*I48))</f>
        <v>0.978729809381735</v>
      </c>
    </row>
    <row r="49" customFormat="false" ht="15" hidden="false" customHeight="false" outlineLevel="0" collapsed="false">
      <c r="B49" s="19"/>
      <c r="C49" s="19"/>
      <c r="D49" s="19"/>
      <c r="E49" s="19"/>
      <c r="F49" s="19"/>
      <c r="G49" s="19"/>
      <c r="H49" s="19"/>
      <c r="I49" s="6" t="n">
        <v>46</v>
      </c>
      <c r="J49" s="12" t="n">
        <f aca="false">((1-C$2)*C$3*EXP(-$E$2*(I49^$G$2)))+(C$2*C$3*EXP(-$E$3*I49))</f>
        <v>0.978715454920518</v>
      </c>
    </row>
    <row r="50" customFormat="false" ht="15" hidden="false" customHeight="false" outlineLevel="0" collapsed="false">
      <c r="B50" s="19"/>
      <c r="C50" s="19"/>
      <c r="D50" s="19"/>
      <c r="E50" s="19"/>
      <c r="F50" s="19"/>
      <c r="G50" s="19"/>
      <c r="H50" s="19"/>
      <c r="I50" s="6" t="n">
        <v>47</v>
      </c>
      <c r="J50" s="12" t="n">
        <f aca="false">((1-C$2)*C$3*EXP(-$E$2*(I50^$G$2)))+(C$2*C$3*EXP(-$E$3*I50))</f>
        <v>0.978704915205445</v>
      </c>
    </row>
    <row r="51" customFormat="false" ht="15" hidden="false" customHeight="false" outlineLevel="0" collapsed="false">
      <c r="B51" s="19"/>
      <c r="C51" s="19"/>
      <c r="D51" s="19"/>
      <c r="E51" s="19"/>
      <c r="F51" s="19"/>
      <c r="G51" s="19"/>
      <c r="H51" s="19"/>
      <c r="I51" s="6" t="n">
        <v>48</v>
      </c>
      <c r="J51" s="12" t="n">
        <f aca="false">((1-C$2)*C$3*EXP(-$E$2*(I51^$G$2)))+(C$2*C$3*EXP(-$E$3*I51))</f>
        <v>0.978697167559575</v>
      </c>
    </row>
    <row r="52" customFormat="false" ht="15" hidden="false" customHeight="false" outlineLevel="0" collapsed="false">
      <c r="B52" s="19"/>
      <c r="C52" s="19"/>
      <c r="D52" s="19"/>
      <c r="E52" s="19"/>
      <c r="F52" s="19"/>
      <c r="G52" s="19"/>
      <c r="H52" s="19"/>
      <c r="I52" s="6" t="n">
        <v>49</v>
      </c>
      <c r="J52" s="12" t="n">
        <f aca="false">((1-C$2)*C$3*EXP(-$E$2*(I52^$G$2)))+(C$2*C$3*EXP(-$E$3*I52))</f>
        <v>0.978691465958979</v>
      </c>
    </row>
    <row r="53" customFormat="false" ht="15" hidden="false" customHeight="false" outlineLevel="0" collapsed="false">
      <c r="B53" s="19"/>
      <c r="C53" s="19"/>
      <c r="D53" s="19"/>
      <c r="E53" s="19"/>
      <c r="F53" s="19"/>
      <c r="G53" s="19"/>
      <c r="H53" s="19"/>
      <c r="I53" s="6" t="n">
        <v>50</v>
      </c>
      <c r="J53" s="12" t="n">
        <f aca="false">((1-C$2)*C$3*EXP(-$E$2*(I53^$G$2)))+(C$2*C$3*EXP(-$E$3*I53))</f>
        <v>0.978687265490093</v>
      </c>
    </row>
    <row r="54" customFormat="false" ht="15" hidden="false" customHeight="false" outlineLevel="0" collapsed="false">
      <c r="B54" s="19"/>
      <c r="C54" s="19"/>
      <c r="D54" s="19"/>
      <c r="E54" s="19"/>
      <c r="F54" s="19"/>
      <c r="G54" s="19"/>
      <c r="H54" s="19"/>
      <c r="I54" s="6" t="n">
        <v>51</v>
      </c>
      <c r="J54" s="12" t="n">
        <f aca="false">((1-C$2)*C$3*EXP(-$E$2*(I54^$G$2)))+(C$2*C$3*EXP(-$E$3*I54))</f>
        <v>0.978684167635194</v>
      </c>
    </row>
    <row r="55" customFormat="false" ht="15" hidden="false" customHeight="false" outlineLevel="0" collapsed="false">
      <c r="B55" s="19"/>
      <c r="C55" s="19"/>
      <c r="D55" s="19"/>
      <c r="E55" s="19"/>
      <c r="F55" s="19"/>
      <c r="G55" s="19"/>
      <c r="H55" s="19"/>
      <c r="I55" s="6" t="n">
        <v>52</v>
      </c>
      <c r="J55" s="12" t="n">
        <f aca="false">((1-C$2)*C$3*EXP(-$E$2*(I55^$G$2)))+(C$2*C$3*EXP(-$E$3*I55))</f>
        <v>0.978681880585638</v>
      </c>
    </row>
    <row r="56" customFormat="false" ht="15" hidden="false" customHeight="false" outlineLevel="0" collapsed="false">
      <c r="B56" s="19"/>
      <c r="C56" s="19"/>
      <c r="D56" s="19"/>
      <c r="E56" s="19"/>
      <c r="F56" s="19"/>
      <c r="G56" s="19"/>
      <c r="H56" s="19"/>
      <c r="I56" s="6" t="n">
        <v>53</v>
      </c>
      <c r="J56" s="12" t="n">
        <f aca="false">((1-C$2)*C$3*EXP(-$E$2*(I56^$G$2)))+(C$2*C$3*EXP(-$E$3*I56))</f>
        <v>0.97868019041462</v>
      </c>
    </row>
    <row r="57" customFormat="false" ht="15" hidden="false" customHeight="false" outlineLevel="0" collapsed="false">
      <c r="B57" s="19"/>
      <c r="C57" s="19"/>
      <c r="D57" s="19"/>
      <c r="E57" s="19"/>
      <c r="F57" s="19"/>
      <c r="G57" s="19"/>
      <c r="H57" s="19"/>
      <c r="I57" s="6" t="n">
        <v>54</v>
      </c>
      <c r="J57" s="12" t="n">
        <f aca="false">((1-C$2)*C$3*EXP(-$E$2*(I57^$G$2)))+(C$2*C$3*EXP(-$E$3*I57))</f>
        <v>0.978678940109175</v>
      </c>
    </row>
    <row r="58" customFormat="false" ht="15" hidden="false" customHeight="false" outlineLevel="0" collapsed="false">
      <c r="B58" s="19"/>
      <c r="C58" s="19"/>
      <c r="D58" s="19"/>
      <c r="G58" s="19"/>
      <c r="H58" s="19"/>
      <c r="I58" s="6" t="n">
        <v>55</v>
      </c>
      <c r="J58" s="12" t="n">
        <f aca="false">((1-C$2)*C$3*EXP(-$E$2*(I58^$G$2)))+(C$2*C$3*EXP(-$E$3*I58))</f>
        <v>0.978678014298378</v>
      </c>
    </row>
    <row r="59" customFormat="false" ht="15" hidden="false" customHeight="false" outlineLevel="0" collapsed="false">
      <c r="B59" s="19"/>
      <c r="C59" s="19"/>
      <c r="D59" s="19"/>
      <c r="G59" s="19"/>
      <c r="H59" s="19"/>
      <c r="I59" s="6" t="n">
        <v>56</v>
      </c>
      <c r="J59" s="12" t="n">
        <f aca="false">((1-C$2)*C$3*EXP(-$E$2*(I59^$G$2)))+(C$2*C$3*EXP(-$E$3*I59))</f>
        <v>0.978677328115847</v>
      </c>
    </row>
    <row r="60" customFormat="false" ht="15" hidden="false" customHeight="false" outlineLevel="0" collapsed="false">
      <c r="B60" s="19"/>
      <c r="C60" s="19"/>
      <c r="D60" s="19"/>
      <c r="G60" s="19"/>
      <c r="H60" s="19"/>
      <c r="I60" s="6" t="n">
        <v>57</v>
      </c>
      <c r="J60" s="12" t="n">
        <f aca="false">((1-C$2)*C$3*EXP(-$E$2*(I60^$G$2)))+(C$2*C$3*EXP(-$E$3*I60))</f>
        <v>0.978676819067067</v>
      </c>
    </row>
    <row r="61" customFormat="false" ht="15" hidden="false" customHeight="false" outlineLevel="0" collapsed="false">
      <c r="B61" s="19"/>
      <c r="C61" s="19"/>
      <c r="D61" s="19"/>
      <c r="G61" s="19"/>
      <c r="H61" s="19"/>
      <c r="I61" s="6" t="n">
        <v>58</v>
      </c>
      <c r="J61" s="12" t="n">
        <f aca="false">((1-C$2)*C$3*EXP(-$E$2*(I61^$G$2)))+(C$2*C$3*EXP(-$E$3*I61))</f>
        <v>0.978676441083554</v>
      </c>
    </row>
    <row r="62" customFormat="false" ht="15" hidden="false" customHeight="false" outlineLevel="0" collapsed="false">
      <c r="G62" s="19"/>
      <c r="H62" s="19"/>
      <c r="I62" s="6" t="n">
        <v>59</v>
      </c>
      <c r="J62" s="12" t="n">
        <f aca="false">((1-C$2)*C$3*EXP(-$E$2*(I62^$G$2)))+(C$2*C$3*EXP(-$E$3*I62))</f>
        <v>0.978676160170615</v>
      </c>
    </row>
    <row r="63" customFormat="false" ht="15" hidden="false" customHeight="false" outlineLevel="0" collapsed="false">
      <c r="G63" s="19"/>
      <c r="H63" s="19"/>
      <c r="I63" s="6" t="n">
        <v>60</v>
      </c>
      <c r="J63" s="12" t="n">
        <f aca="false">((1-C$2)*C$3*EXP(-$E$2*(I63^$G$2)))+(C$2*C$3*EXP(-$E$3*I63))</f>
        <v>0.978675951217861</v>
      </c>
    </row>
    <row r="64" customFormat="false" ht="15" hidden="false" customHeight="false" outlineLevel="0" collapsed="false">
      <c r="G64" s="19"/>
      <c r="H64" s="19"/>
      <c r="I64" s="19"/>
    </row>
    <row r="65" customFormat="false" ht="15" hidden="false" customHeight="false" outlineLevel="0" collapsed="false">
      <c r="G65" s="19"/>
      <c r="H65" s="19"/>
      <c r="I65" s="19"/>
    </row>
    <row r="66" customFormat="false" ht="15" hidden="false" customHeight="false" outlineLevel="0" collapsed="false">
      <c r="G66" s="19"/>
      <c r="H66" s="19"/>
      <c r="I66" s="19"/>
    </row>
    <row r="67" customFormat="false" ht="15" hidden="false" customHeight="false" outlineLevel="0" collapsed="false">
      <c r="G67" s="19"/>
      <c r="H67" s="19"/>
      <c r="I67" s="19"/>
    </row>
    <row r="68" customFormat="false" ht="15" hidden="false" customHeight="false" outlineLevel="0" collapsed="false">
      <c r="G68" s="19"/>
      <c r="H68" s="19"/>
      <c r="I68" s="19"/>
    </row>
    <row r="69" customFormat="false" ht="15" hidden="false" customHeight="false" outlineLevel="0" collapsed="false">
      <c r="G69" s="19"/>
      <c r="H69" s="19"/>
      <c r="I69" s="19"/>
    </row>
    <row r="70" customFormat="false" ht="15" hidden="false" customHeight="false" outlineLevel="0" collapsed="false">
      <c r="G70" s="19"/>
      <c r="H70" s="19"/>
      <c r="I70" s="19"/>
    </row>
    <row r="71" customFormat="false" ht="15" hidden="false" customHeight="false" outlineLevel="0" collapsed="false">
      <c r="G71" s="19"/>
      <c r="H71" s="19"/>
      <c r="I71" s="19"/>
    </row>
    <row r="72" customFormat="false" ht="15" hidden="false" customHeight="false" outlineLevel="0" collapsed="false">
      <c r="G72" s="19"/>
      <c r="H72" s="19"/>
      <c r="I72" s="19"/>
    </row>
    <row r="73" customFormat="false" ht="15" hidden="false" customHeight="false" outlineLevel="0" collapsed="false">
      <c r="G73" s="19"/>
      <c r="H73" s="19"/>
      <c r="I73" s="19"/>
    </row>
    <row r="74" customFormat="false" ht="15" hidden="false" customHeight="false" outlineLevel="0" collapsed="false">
      <c r="G74" s="19"/>
      <c r="H74" s="19"/>
      <c r="I74" s="19"/>
    </row>
    <row r="75" customFormat="false" ht="15" hidden="false" customHeight="false" outlineLevel="0" collapsed="false">
      <c r="G75" s="19"/>
      <c r="H75" s="19"/>
      <c r="I75" s="19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&amp;C_x005F_x000D_&amp;1#&amp;"Default,Regular"&amp;10&amp;Kd89b2b Confidential - Company Proprietary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23.57"/>
    <col collapsed="false" customWidth="true" hidden="false" outlineLevel="0" max="4" min="4" style="0" width="24.42"/>
  </cols>
  <sheetData>
    <row r="2" customFormat="false" ht="15" hidden="false" customHeight="false" outlineLevel="0" collapsed="false">
      <c r="B2" s="1" t="s">
        <v>0</v>
      </c>
      <c r="C2" s="2" t="n">
        <v>0.00115154513735935</v>
      </c>
      <c r="D2" s="3" t="s">
        <v>1</v>
      </c>
      <c r="E2" s="4" t="n">
        <v>0.00190496001237708</v>
      </c>
      <c r="F2" s="3" t="s">
        <v>2</v>
      </c>
      <c r="G2" s="5" t="n">
        <v>2.71827160697621</v>
      </c>
      <c r="I2" s="6" t="s">
        <v>3</v>
      </c>
      <c r="J2" s="6" t="s">
        <v>4</v>
      </c>
    </row>
    <row r="3" customFormat="false" ht="15" hidden="false" customHeight="false" outlineLevel="0" collapsed="false">
      <c r="B3" s="7" t="s">
        <v>5</v>
      </c>
      <c r="C3" s="8" t="n">
        <f aca="false">(B6+B12)/2</f>
        <v>1575</v>
      </c>
      <c r="D3" s="9" t="s">
        <v>6</v>
      </c>
      <c r="E3" s="10" t="n">
        <v>0</v>
      </c>
      <c r="F3" s="9"/>
      <c r="G3" s="11"/>
      <c r="I3" s="6" t="n">
        <v>0</v>
      </c>
      <c r="J3" s="12" t="n">
        <f aca="false">((1-C$2)*C$3*EXP(-$E$2*(I3^$G$2)))+(C$2*C$3*EXP(-$E$3*I3))</f>
        <v>1575</v>
      </c>
    </row>
    <row r="4" customFormat="false" ht="15" hidden="false" customHeight="false" outlineLevel="0" collapsed="false">
      <c r="I4" s="6" t="n">
        <v>1</v>
      </c>
      <c r="J4" s="12" t="n">
        <f aca="false">((1-C$2)*C$3*EXP(-$E$2*(I4^$G$2)))+(C$2*C$3*EXP(-$E$3*I4))</f>
        <v>1572.00599560995</v>
      </c>
    </row>
    <row r="5" customFormat="false" ht="15" hidden="false" customHeight="false" outlineLevel="0" collapsed="false">
      <c r="B5" s="13" t="s">
        <v>7</v>
      </c>
      <c r="C5" s="14" t="s">
        <v>8</v>
      </c>
      <c r="D5" s="14" t="s">
        <v>9</v>
      </c>
      <c r="I5" s="6" t="n">
        <v>2</v>
      </c>
      <c r="J5" s="12" t="n">
        <f aca="false">((1-C$2)*C$3*EXP(-$E$2*(I5^$G$2)))+(C$2*C$3*EXP(-$E$3*I5))</f>
        <v>1555.40126914697</v>
      </c>
    </row>
    <row r="6" customFormat="false" ht="15" hidden="false" customHeight="false" outlineLevel="0" collapsed="false">
      <c r="B6" s="16" t="n">
        <v>1650</v>
      </c>
      <c r="C6" s="17" t="n">
        <v>0</v>
      </c>
      <c r="D6" s="16" t="n">
        <v>1575</v>
      </c>
      <c r="I6" s="6" t="n">
        <v>3</v>
      </c>
      <c r="J6" s="12" t="n">
        <f aca="false">((1-C$2)*C$3*EXP(-$E$2*(I6^$G$2)))+(C$2*C$3*EXP(-$E$3*I6))</f>
        <v>1516.73050233981</v>
      </c>
    </row>
    <row r="7" customFormat="false" ht="15" hidden="false" customHeight="false" outlineLevel="0" collapsed="false">
      <c r="B7" s="16" t="n">
        <v>1400</v>
      </c>
      <c r="C7" s="17" t="n">
        <v>1.60039589057475</v>
      </c>
      <c r="D7" s="16" t="n">
        <v>1564.27672891296</v>
      </c>
      <c r="I7" s="6" t="n">
        <v>4</v>
      </c>
      <c r="J7" s="12" t="n">
        <f aca="false">((1-C$2)*C$3*EXP(-$E$2*(I7^$G$2)))+(C$2*C$3*EXP(-$E$3*I7))</f>
        <v>1450.42315241666</v>
      </c>
    </row>
    <row r="8" customFormat="false" ht="15" hidden="false" customHeight="false" outlineLevel="0" collapsed="false">
      <c r="B8" s="16" t="n">
        <v>1750</v>
      </c>
      <c r="C8" s="17" t="n">
        <v>4.75741633861786</v>
      </c>
      <c r="D8" s="16" t="n">
        <v>1380.2136698059</v>
      </c>
      <c r="I8" s="6" t="n">
        <v>5</v>
      </c>
      <c r="J8" s="12" t="n">
        <f aca="false">((1-C$2)*C$3*EXP(-$E$2*(I8^$G$2)))+(C$2*C$3*EXP(-$E$3*I8))</f>
        <v>1354.09101713924</v>
      </c>
    </row>
    <row r="9" customFormat="false" ht="15" hidden="false" customHeight="false" outlineLevel="0" collapsed="false">
      <c r="B9" s="16" t="n">
        <v>1000</v>
      </c>
      <c r="C9" s="17" t="n">
        <v>7.85696111719723</v>
      </c>
      <c r="D9" s="16" t="n">
        <v>939.981816345961</v>
      </c>
      <c r="I9" s="6" t="n">
        <v>6</v>
      </c>
      <c r="J9" s="12" t="n">
        <f aca="false">((1-C$2)*C$3*EXP(-$E$2*(I9^$G$2)))+(C$2*C$3*EXP(-$E$3*I9))</f>
        <v>1229.0018736424</v>
      </c>
    </row>
    <row r="10" customFormat="false" ht="15" hidden="false" customHeight="false" outlineLevel="0" collapsed="false">
      <c r="B10" s="16" t="n">
        <v>94</v>
      </c>
      <c r="C10" s="17" t="n">
        <v>15.3611871026567</v>
      </c>
      <c r="D10" s="16" t="n">
        <v>66.0533747374369</v>
      </c>
      <c r="I10" s="6" t="n">
        <v>7</v>
      </c>
      <c r="J10" s="12" t="n">
        <f aca="false">((1-C$2)*C$3*EXP(-$E$2*(I10^$G$2)))+(C$2*C$3*EXP(-$E$3*I10))</f>
        <v>1080.18406159317</v>
      </c>
    </row>
    <row r="11" customFormat="false" ht="15" hidden="false" customHeight="false" outlineLevel="0" collapsed="false">
      <c r="B11" s="16" t="n">
        <v>1</v>
      </c>
      <c r="C11" s="17" t="n">
        <v>42.1569836596603</v>
      </c>
      <c r="D11" s="16" t="n">
        <v>1.81368359134098</v>
      </c>
      <c r="I11" s="6" t="n">
        <v>8</v>
      </c>
      <c r="J11" s="12" t="n">
        <f aca="false">((1-C$2)*C$3*EXP(-$E$2*(I11^$G$2)))+(C$2*C$3*EXP(-$E$3*I11))</f>
        <v>915.919169834561</v>
      </c>
    </row>
    <row r="12" customFormat="false" ht="15" hidden="false" customHeight="false" outlineLevel="0" collapsed="false">
      <c r="B12" s="16" t="n">
        <v>1500</v>
      </c>
      <c r="C12" s="17" t="n">
        <v>0</v>
      </c>
      <c r="D12" s="16" t="n">
        <v>1575</v>
      </c>
      <c r="I12" s="6" t="n">
        <v>9</v>
      </c>
      <c r="J12" s="12" t="n">
        <f aca="false">((1-C$2)*C$3*EXP(-$E$2*(I12^$G$2)))+(C$2*C$3*EXP(-$E$3*I12))</f>
        <v>746.582842962205</v>
      </c>
    </row>
    <row r="13" customFormat="false" ht="15" hidden="false" customHeight="false" outlineLevel="0" collapsed="false">
      <c r="B13" s="16" t="n">
        <v>2375</v>
      </c>
      <c r="C13" s="17" t="n">
        <v>3.44475137706018</v>
      </c>
      <c r="D13" s="16" t="n">
        <v>1490.87446672126</v>
      </c>
      <c r="I13" s="6" t="n">
        <v>10</v>
      </c>
      <c r="J13" s="12" t="n">
        <f aca="false">((1-C$2)*C$3*EXP(-$E$2*(I13^$G$2)))+(C$2*C$3*EXP(-$E$3*I13))</f>
        <v>583.011942567048</v>
      </c>
    </row>
    <row r="14" customFormat="false" ht="15" hidden="false" customHeight="false" outlineLevel="0" collapsed="false">
      <c r="B14" s="16" t="n">
        <v>360</v>
      </c>
      <c r="C14" s="17" t="n">
        <v>10.2839595674637</v>
      </c>
      <c r="D14" s="16" t="n">
        <v>538.998913375717</v>
      </c>
      <c r="I14" s="6" t="n">
        <v>11</v>
      </c>
      <c r="J14" s="12" t="n">
        <f aca="false">((1-C$2)*C$3*EXP(-$E$2*(I14^$G$2)))+(C$2*C$3*EXP(-$E$3*I14))</f>
        <v>434.757452734327</v>
      </c>
    </row>
    <row r="15" customFormat="false" ht="15" hidden="false" customHeight="false" outlineLevel="0" collapsed="false">
      <c r="B15" s="16" t="n">
        <v>20</v>
      </c>
      <c r="C15" s="17" t="n">
        <v>17.0566520577023</v>
      </c>
      <c r="D15" s="16" t="n">
        <v>24.2278940333717</v>
      </c>
      <c r="I15" s="6" t="n">
        <v>12</v>
      </c>
      <c r="J15" s="12" t="n">
        <f aca="false">((1-C$2)*C$3*EXP(-$E$2*(I15^$G$2)))+(C$2*C$3*EXP(-$E$3*I15))</f>
        <v>308.653450474567</v>
      </c>
    </row>
    <row r="16" customFormat="false" ht="15" hidden="false" customHeight="false" outlineLevel="0" collapsed="false">
      <c r="B16" s="16" t="n">
        <v>2</v>
      </c>
      <c r="C16" s="17" t="n">
        <v>33.7016069605542</v>
      </c>
      <c r="D16" s="16" t="n">
        <v>1.81368359410363</v>
      </c>
      <c r="I16" s="6" t="n">
        <v>13</v>
      </c>
      <c r="J16" s="12" t="n">
        <f aca="false">((1-C$2)*C$3*EXP(-$E$2*(I16^$G$2)))+(C$2*C$3*EXP(-$E$3*I16))</f>
        <v>208.052054272805</v>
      </c>
    </row>
    <row r="17" customFormat="false" ht="15" hidden="false" customHeight="false" outlineLevel="0" collapsed="false">
      <c r="B17" s="16" t="n">
        <v>3</v>
      </c>
      <c r="C17" s="17" t="n">
        <v>96.3596348614606</v>
      </c>
      <c r="D17" s="16" t="n">
        <v>1.81368359134098</v>
      </c>
      <c r="I17" s="6" t="n">
        <v>14</v>
      </c>
      <c r="J17" s="12" t="n">
        <f aca="false">((1-C$2)*C$3*EXP(-$E$2*(I17^$G$2)))+(C$2*C$3*EXP(-$E$3*I17))</f>
        <v>132.865229420642</v>
      </c>
    </row>
    <row r="18" customFormat="false" ht="15" hidden="false" customHeight="false" outlineLevel="0" collapsed="false">
      <c r="B18" s="15"/>
      <c r="C18" s="18"/>
      <c r="D18" s="15"/>
      <c r="I18" s="6" t="n">
        <v>15</v>
      </c>
      <c r="J18" s="12" t="n">
        <f aca="false">((1-C$2)*C$3*EXP(-$E$2*(I18^$G$2)))+(C$2*C$3*EXP(-$E$3*I18))</f>
        <v>80.3003975982912</v>
      </c>
    </row>
    <row r="19" customFormat="false" ht="15" hidden="false" customHeight="false" outlineLevel="0" collapsed="false">
      <c r="B19" s="15"/>
      <c r="C19" s="18"/>
      <c r="D19" s="15"/>
      <c r="E19" s="19"/>
      <c r="I19" s="6" t="n">
        <v>16</v>
      </c>
      <c r="J19" s="12" t="n">
        <f aca="false">((1-C$2)*C$3*EXP(-$E$2*(I19^$G$2)))+(C$2*C$3*EXP(-$E$3*I19))</f>
        <v>45.983394090793</v>
      </c>
    </row>
    <row r="20" customFormat="false" ht="15" hidden="false" customHeight="false" outlineLevel="0" collapsed="false">
      <c r="B20" s="15"/>
      <c r="E20" s="19"/>
      <c r="I20" s="6" t="n">
        <v>17</v>
      </c>
      <c r="J20" s="12" t="n">
        <f aca="false">((1-C$2)*C$3*EXP(-$E$2*(I20^$G$2)))+(C$2*C$3*EXP(-$E$3*I20))</f>
        <v>25.102360378264</v>
      </c>
    </row>
    <row r="21" customFormat="false" ht="15" hidden="false" customHeight="false" outlineLevel="0" collapsed="false">
      <c r="E21" s="19"/>
      <c r="I21" s="6" t="n">
        <v>18</v>
      </c>
      <c r="J21" s="12" t="n">
        <f aca="false">((1-C$2)*C$3*EXP(-$E$2*(I21^$G$2)))+(C$2*C$3*EXP(-$E$3*I21))</f>
        <v>13.2845652093535</v>
      </c>
    </row>
    <row r="22" customFormat="false" ht="15" hidden="false" customHeight="false" outlineLevel="0" collapsed="false">
      <c r="E22" s="19"/>
      <c r="I22" s="6" t="n">
        <v>19</v>
      </c>
      <c r="J22" s="12" t="n">
        <f aca="false">((1-C$2)*C$3*EXP(-$E$2*(I22^$G$2)))+(C$2*C$3*EXP(-$E$3*I22))</f>
        <v>7.07677743711344</v>
      </c>
    </row>
    <row r="23" customFormat="false" ht="15" hidden="false" customHeight="false" outlineLevel="0" collapsed="false">
      <c r="E23" s="19"/>
      <c r="I23" s="6" t="n">
        <v>20</v>
      </c>
      <c r="J23" s="12" t="n">
        <f aca="false">((1-C$2)*C$3*EXP(-$E$2*(I23^$G$2)))+(C$2*C$3*EXP(-$E$3*I23))</f>
        <v>4.05683010979423</v>
      </c>
    </row>
    <row r="24" customFormat="false" ht="15" hidden="false" customHeight="false" outlineLevel="0" collapsed="false">
      <c r="E24" s="19"/>
      <c r="I24" s="6" t="n">
        <v>21</v>
      </c>
      <c r="J24" s="12" t="n">
        <f aca="false">((1-C$2)*C$3*EXP(-$E$2*(I24^$G$2)))+(C$2*C$3*EXP(-$E$3*I24))</f>
        <v>2.69929711456891</v>
      </c>
    </row>
    <row r="25" customFormat="false" ht="15" hidden="false" customHeight="false" outlineLevel="0" collapsed="false">
      <c r="E25" s="19"/>
      <c r="I25" s="6" t="n">
        <v>22</v>
      </c>
      <c r="J25" s="12" t="n">
        <f aca="false">((1-C$2)*C$3*EXP(-$E$2*(I25^$G$2)))+(C$2*C$3*EXP(-$E$3*I25))</f>
        <v>2.13669331563145</v>
      </c>
    </row>
    <row r="26" customFormat="false" ht="15" hidden="false" customHeight="false" outlineLevel="0" collapsed="false">
      <c r="E26" s="19"/>
      <c r="I26" s="6" t="n">
        <v>23</v>
      </c>
      <c r="J26" s="12" t="n">
        <f aca="false">((1-C$2)*C$3*EXP(-$E$2*(I26^$G$2)))+(C$2*C$3*EXP(-$E$3*I26))</f>
        <v>1.92222668971886</v>
      </c>
    </row>
    <row r="27" customFormat="false" ht="15" hidden="false" customHeight="false" outlineLevel="0" collapsed="false">
      <c r="E27" s="19"/>
      <c r="I27" s="6" t="n">
        <v>24</v>
      </c>
      <c r="J27" s="12" t="n">
        <f aca="false">((1-C$2)*C$3*EXP(-$E$2*(I27^$G$2)))+(C$2*C$3*EXP(-$E$3*I27))</f>
        <v>1.84719938321365</v>
      </c>
    </row>
    <row r="28" customFormat="false" ht="15" hidden="false" customHeight="false" outlineLevel="0" collapsed="false">
      <c r="E28" s="19"/>
      <c r="I28" s="6" t="n">
        <v>25</v>
      </c>
      <c r="J28" s="12" t="n">
        <f aca="false">((1-C$2)*C$3*EXP(-$E$2*(I28^$G$2)))+(C$2*C$3*EXP(-$E$3*I28))</f>
        <v>1.82316814436788</v>
      </c>
    </row>
    <row r="29" customFormat="false" ht="15" hidden="false" customHeight="false" outlineLevel="0" collapsed="false">
      <c r="E29" s="19"/>
      <c r="I29" s="6" t="n">
        <v>26</v>
      </c>
      <c r="J29" s="12" t="n">
        <f aca="false">((1-C$2)*C$3*EXP(-$E$2*(I29^$G$2)))+(C$2*C$3*EXP(-$E$3*I29))</f>
        <v>1.8161370409737</v>
      </c>
    </row>
    <row r="30" customFormat="false" ht="15" hidden="false" customHeight="false" outlineLevel="0" collapsed="false">
      <c r="E30" s="19"/>
      <c r="I30" s="6" t="n">
        <v>27</v>
      </c>
      <c r="J30" s="12" t="n">
        <f aca="false">((1-C$2)*C$3*EXP(-$E$2*(I30^$G$2)))+(C$2*C$3*EXP(-$E$3*I30))</f>
        <v>1.81426224104819</v>
      </c>
    </row>
    <row r="31" customFormat="false" ht="15" hidden="false" customHeight="false" outlineLevel="0" collapsed="false">
      <c r="E31" s="19"/>
      <c r="I31" s="6" t="n">
        <v>28</v>
      </c>
      <c r="J31" s="12" t="n">
        <f aca="false">((1-C$2)*C$3*EXP(-$E$2*(I31^$G$2)))+(C$2*C$3*EXP(-$E$3*I31))</f>
        <v>1.81380770800117</v>
      </c>
    </row>
    <row r="32" customFormat="false" ht="15" hidden="false" customHeight="false" outlineLevel="0" collapsed="false">
      <c r="E32" s="19"/>
      <c r="F32" s="19"/>
      <c r="I32" s="6" t="n">
        <v>29</v>
      </c>
      <c r="J32" s="12" t="n">
        <f aca="false">((1-C$2)*C$3*EXP(-$E$2*(I32^$G$2)))+(C$2*C$3*EXP(-$E$3*I32))</f>
        <v>1.81370774200443</v>
      </c>
    </row>
    <row r="33" customFormat="false" ht="15" hidden="false" customHeight="false" outlineLevel="0" collapsed="false">
      <c r="E33" s="19"/>
      <c r="F33" s="19"/>
      <c r="I33" s="6" t="n">
        <v>30</v>
      </c>
      <c r="J33" s="12" t="n">
        <f aca="false">((1-C$2)*C$3*EXP(-$E$2*(I33^$G$2)))+(C$2*C$3*EXP(-$E$3*I33))</f>
        <v>1.81368784372534</v>
      </c>
    </row>
    <row r="34" customFormat="false" ht="15" hidden="false" customHeight="false" outlineLevel="0" collapsed="false">
      <c r="E34" s="19"/>
      <c r="F34" s="19"/>
      <c r="I34" s="6" t="n">
        <v>31</v>
      </c>
      <c r="J34" s="12" t="n">
        <f aca="false">((1-C$2)*C$3*EXP(-$E$2*(I34^$G$2)))+(C$2*C$3*EXP(-$E$3*I34))</f>
        <v>1.81368426722268</v>
      </c>
    </row>
    <row r="35" customFormat="false" ht="15" hidden="false" customHeight="false" outlineLevel="0" collapsed="false">
      <c r="E35" s="19"/>
      <c r="F35" s="19"/>
      <c r="I35" s="6" t="n">
        <v>32</v>
      </c>
      <c r="J35" s="12" t="n">
        <f aca="false">((1-C$2)*C$3*EXP(-$E$2*(I35^$G$2)))+(C$2*C$3*EXP(-$E$3*I35))</f>
        <v>1.81368368807603</v>
      </c>
    </row>
    <row r="36" customFormat="false" ht="15" hidden="false" customHeight="false" outlineLevel="0" collapsed="false">
      <c r="B36" s="19"/>
      <c r="C36" s="19"/>
      <c r="D36" s="19"/>
      <c r="E36" s="19"/>
      <c r="F36" s="19"/>
      <c r="I36" s="6" t="n">
        <v>33</v>
      </c>
      <c r="J36" s="12" t="n">
        <f aca="false">((1-C$2)*C$3*EXP(-$E$2*(I36^$G$2)))+(C$2*C$3*EXP(-$E$3*I36))</f>
        <v>1.81368360377816</v>
      </c>
    </row>
    <row r="37" customFormat="false" ht="15" hidden="false" customHeight="false" outlineLevel="0" collapsed="false">
      <c r="B37" s="19"/>
      <c r="C37" s="19"/>
      <c r="D37" s="19"/>
      <c r="E37" s="19"/>
      <c r="F37" s="19"/>
      <c r="I37" s="6" t="n">
        <v>34</v>
      </c>
      <c r="J37" s="12" t="n">
        <f aca="false">((1-C$2)*C$3*EXP(-$E$2*(I37^$G$2)))+(C$2*C$3*EXP(-$E$3*I37))</f>
        <v>1.81368359277397</v>
      </c>
    </row>
    <row r="38" customFormat="false" ht="15" hidden="false" customHeight="false" outlineLevel="0" collapsed="false">
      <c r="B38" s="19"/>
      <c r="C38" s="19"/>
      <c r="D38" s="19"/>
      <c r="E38" s="19"/>
      <c r="F38" s="19"/>
      <c r="I38" s="6" t="n">
        <v>35</v>
      </c>
      <c r="J38" s="12" t="n">
        <f aca="false">((1-C$2)*C$3*EXP(-$E$2*(I38^$G$2)))+(C$2*C$3*EXP(-$E$3*I38))</f>
        <v>1.81368359148859</v>
      </c>
    </row>
    <row r="39" customFormat="false" ht="15" hidden="false" customHeight="false" outlineLevel="0" collapsed="false">
      <c r="B39" s="19"/>
      <c r="C39" s="19"/>
      <c r="D39" s="19"/>
      <c r="E39" s="19"/>
      <c r="F39" s="19"/>
      <c r="I39" s="6" t="n">
        <v>36</v>
      </c>
      <c r="J39" s="12" t="n">
        <f aca="false">((1-C$2)*C$3*EXP(-$E$2*(I39^$G$2)))+(C$2*C$3*EXP(-$E$3*I39))</f>
        <v>1.81368359135454</v>
      </c>
    </row>
    <row r="40" customFormat="false" ht="15" hidden="false" customHeight="false" outlineLevel="0" collapsed="false">
      <c r="B40" s="19"/>
      <c r="C40" s="19"/>
      <c r="D40" s="19"/>
      <c r="E40" s="19"/>
      <c r="F40" s="19"/>
      <c r="I40" s="6" t="n">
        <v>37</v>
      </c>
      <c r="J40" s="12" t="n">
        <f aca="false">((1-C$2)*C$3*EXP(-$E$2*(I40^$G$2)))+(C$2*C$3*EXP(-$E$3*I40))</f>
        <v>1.81368359134209</v>
      </c>
    </row>
    <row r="41" customFormat="false" ht="15" hidden="false" customHeight="false" outlineLevel="0" collapsed="false">
      <c r="B41" s="19"/>
      <c r="C41" s="19"/>
      <c r="D41" s="19"/>
      <c r="E41" s="19"/>
      <c r="F41" s="19"/>
      <c r="I41" s="6" t="n">
        <v>38</v>
      </c>
      <c r="J41" s="12" t="n">
        <f aca="false">((1-C$2)*C$3*EXP(-$E$2*(I41^$G$2)))+(C$2*C$3*EXP(-$E$3*I41))</f>
        <v>1.81368359134106</v>
      </c>
    </row>
    <row r="42" customFormat="false" ht="15" hidden="false" customHeight="false" outlineLevel="0" collapsed="false">
      <c r="B42" s="19"/>
      <c r="C42" s="19"/>
      <c r="D42" s="19"/>
      <c r="E42" s="19"/>
      <c r="F42" s="19"/>
      <c r="I42" s="6" t="n">
        <v>39</v>
      </c>
      <c r="J42" s="12" t="n">
        <f aca="false">((1-C$2)*C$3*EXP(-$E$2*(I42^$G$2)))+(C$2*C$3*EXP(-$E$3*I42))</f>
        <v>1.81368359134099</v>
      </c>
    </row>
    <row r="43" customFormat="false" ht="15" hidden="false" customHeight="false" outlineLevel="0" collapsed="false">
      <c r="B43" s="19"/>
      <c r="C43" s="19"/>
      <c r="D43" s="19"/>
      <c r="E43" s="19"/>
      <c r="F43" s="19"/>
      <c r="I43" s="6" t="n">
        <v>40</v>
      </c>
      <c r="J43" s="12" t="n">
        <f aca="false">((1-C$2)*C$3*EXP(-$E$2*(I43^$G$2)))+(C$2*C$3*EXP(-$E$3*I43))</f>
        <v>1.81368359134098</v>
      </c>
    </row>
    <row r="44" customFormat="false" ht="15" hidden="false" customHeight="false" outlineLevel="0" collapsed="false">
      <c r="B44" s="19"/>
      <c r="C44" s="19"/>
      <c r="D44" s="19"/>
      <c r="E44" s="19"/>
      <c r="F44" s="19"/>
      <c r="I44" s="6" t="n">
        <v>41</v>
      </c>
      <c r="J44" s="12" t="n">
        <f aca="false">((1-C$2)*C$3*EXP(-$E$2*(I44^$G$2)))+(C$2*C$3*EXP(-$E$3*I44))</f>
        <v>1.81368359134098</v>
      </c>
    </row>
    <row r="45" customFormat="false" ht="15" hidden="false" customHeight="false" outlineLevel="0" collapsed="false">
      <c r="B45" s="19"/>
      <c r="C45" s="19"/>
      <c r="D45" s="19"/>
      <c r="E45" s="19"/>
      <c r="F45" s="19"/>
      <c r="I45" s="6" t="n">
        <v>42</v>
      </c>
      <c r="J45" s="12" t="n">
        <f aca="false">((1-C$2)*C$3*EXP(-$E$2*(I45^$G$2)))+(C$2*C$3*EXP(-$E$3*I45))</f>
        <v>1.81368359134098</v>
      </c>
    </row>
    <row r="46" customFormat="false" ht="15" hidden="false" customHeight="false" outlineLevel="0" collapsed="false">
      <c r="B46" s="19"/>
      <c r="C46" s="19"/>
      <c r="D46" s="19"/>
      <c r="F46" s="19"/>
      <c r="I46" s="6" t="n">
        <v>43</v>
      </c>
      <c r="J46" s="12" t="n">
        <f aca="false">((1-C$2)*C$3*EXP(-$E$2*(I46^$G$2)))+(C$2*C$3*EXP(-$E$3*I46))</f>
        <v>1.81368359134098</v>
      </c>
    </row>
    <row r="47" customFormat="false" ht="15" hidden="false" customHeight="false" outlineLevel="0" collapsed="false">
      <c r="B47" s="19"/>
      <c r="C47" s="19"/>
      <c r="D47" s="19"/>
      <c r="F47" s="19"/>
      <c r="I47" s="6" t="n">
        <v>44</v>
      </c>
      <c r="J47" s="12" t="n">
        <f aca="false">((1-C$2)*C$3*EXP(-$E$2*(I47^$G$2)))+(C$2*C$3*EXP(-$E$3*I47))</f>
        <v>1.81368359134098</v>
      </c>
    </row>
    <row r="48" customFormat="false" ht="15" hidden="false" customHeight="false" outlineLevel="0" collapsed="false">
      <c r="B48" s="19"/>
      <c r="C48" s="19"/>
      <c r="D48" s="19"/>
      <c r="F48" s="19"/>
      <c r="I48" s="6" t="n">
        <v>45</v>
      </c>
      <c r="J48" s="12" t="n">
        <f aca="false">((1-C$2)*C$3*EXP(-$E$2*(I48^$G$2)))+(C$2*C$3*EXP(-$E$3*I48))</f>
        <v>1.81368359134098</v>
      </c>
    </row>
    <row r="49" customFormat="false" ht="15" hidden="false" customHeight="false" outlineLevel="0" collapsed="false">
      <c r="B49" s="19"/>
      <c r="C49" s="19"/>
      <c r="D49" s="19"/>
      <c r="F49" s="19"/>
      <c r="G49" s="19"/>
      <c r="H49" s="19"/>
      <c r="I49" s="6" t="n">
        <v>46</v>
      </c>
      <c r="J49" s="12" t="n">
        <f aca="false">((1-C$2)*C$3*EXP(-$E$2*(I49^$G$2)))+(C$2*C$3*EXP(-$E$3*I49))</f>
        <v>1.81368359134098</v>
      </c>
    </row>
    <row r="50" customFormat="false" ht="15" hidden="false" customHeight="false" outlineLevel="0" collapsed="false">
      <c r="B50" s="19"/>
      <c r="C50" s="19"/>
      <c r="D50" s="19"/>
      <c r="F50" s="19"/>
      <c r="G50" s="19"/>
      <c r="H50" s="19"/>
      <c r="I50" s="6" t="n">
        <v>47</v>
      </c>
      <c r="J50" s="12" t="n">
        <f aca="false">((1-C$2)*C$3*EXP(-$E$2*(I50^$G$2)))+(C$2*C$3*EXP(-$E$3*I50))</f>
        <v>1.81368359134098</v>
      </c>
    </row>
    <row r="51" customFormat="false" ht="15" hidden="false" customHeight="false" outlineLevel="0" collapsed="false">
      <c r="B51" s="19"/>
      <c r="C51" s="19"/>
      <c r="D51" s="19"/>
      <c r="F51" s="19"/>
      <c r="G51" s="19"/>
      <c r="H51" s="19"/>
      <c r="I51" s="6" t="n">
        <v>48</v>
      </c>
      <c r="J51" s="12" t="n">
        <f aca="false">((1-C$2)*C$3*EXP(-$E$2*(I51^$G$2)))+(C$2*C$3*EXP(-$E$3*I51))</f>
        <v>1.81368359134098</v>
      </c>
    </row>
    <row r="52" customFormat="false" ht="15" hidden="false" customHeight="false" outlineLevel="0" collapsed="false">
      <c r="B52" s="19"/>
      <c r="C52" s="19"/>
      <c r="D52" s="19"/>
      <c r="F52" s="19"/>
      <c r="G52" s="19"/>
      <c r="H52" s="19"/>
      <c r="I52" s="6" t="n">
        <v>49</v>
      </c>
      <c r="J52" s="12" t="n">
        <f aca="false">((1-C$2)*C$3*EXP(-$E$2*(I52^$G$2)))+(C$2*C$3*EXP(-$E$3*I52))</f>
        <v>1.81368359134098</v>
      </c>
    </row>
    <row r="53" customFormat="false" ht="15" hidden="false" customHeight="false" outlineLevel="0" collapsed="false">
      <c r="B53" s="19"/>
      <c r="C53" s="19"/>
      <c r="D53" s="19"/>
      <c r="F53" s="19"/>
      <c r="G53" s="19"/>
      <c r="H53" s="19"/>
      <c r="I53" s="6" t="n">
        <v>50</v>
      </c>
      <c r="J53" s="12" t="n">
        <f aca="false">((1-C$2)*C$3*EXP(-$E$2*(I53^$G$2)))+(C$2*C$3*EXP(-$E$3*I53))</f>
        <v>1.81368359134098</v>
      </c>
    </row>
    <row r="54" customFormat="false" ht="15" hidden="false" customHeight="false" outlineLevel="0" collapsed="false">
      <c r="B54" s="19"/>
      <c r="C54" s="19"/>
      <c r="D54" s="19"/>
      <c r="F54" s="19"/>
      <c r="G54" s="19"/>
      <c r="H54" s="19"/>
      <c r="I54" s="6" t="n">
        <v>51</v>
      </c>
      <c r="J54" s="12" t="n">
        <f aca="false">((1-C$2)*C$3*EXP(-$E$2*(I54^$G$2)))+(C$2*C$3*EXP(-$E$3*I54))</f>
        <v>1.81368359134098</v>
      </c>
    </row>
    <row r="55" customFormat="false" ht="15" hidden="false" customHeight="false" outlineLevel="0" collapsed="false">
      <c r="B55" s="19"/>
      <c r="C55" s="19"/>
      <c r="D55" s="19"/>
      <c r="F55" s="19"/>
      <c r="G55" s="19"/>
      <c r="H55" s="19"/>
      <c r="I55" s="6" t="n">
        <v>52</v>
      </c>
      <c r="J55" s="12" t="n">
        <f aca="false">((1-C$2)*C$3*EXP(-$E$2*(I55^$G$2)))+(C$2*C$3*EXP(-$E$3*I55))</f>
        <v>1.81368359134098</v>
      </c>
    </row>
    <row r="56" customFormat="false" ht="15" hidden="false" customHeight="false" outlineLevel="0" collapsed="false">
      <c r="B56" s="19"/>
      <c r="C56" s="19"/>
      <c r="D56" s="19"/>
      <c r="F56" s="19"/>
      <c r="G56" s="19"/>
      <c r="H56" s="19"/>
      <c r="I56" s="6" t="n">
        <v>53</v>
      </c>
      <c r="J56" s="12" t="n">
        <f aca="false">((1-C$2)*C$3*EXP(-$E$2*(I56^$G$2)))+(C$2*C$3*EXP(-$E$3*I56))</f>
        <v>1.81368359134098</v>
      </c>
    </row>
    <row r="57" customFormat="false" ht="15" hidden="false" customHeight="false" outlineLevel="0" collapsed="false">
      <c r="B57" s="19"/>
      <c r="C57" s="19"/>
      <c r="D57" s="19"/>
      <c r="F57" s="19"/>
      <c r="G57" s="19"/>
      <c r="H57" s="19"/>
      <c r="I57" s="6" t="n">
        <v>54</v>
      </c>
      <c r="J57" s="12" t="n">
        <f aca="false">((1-C$2)*C$3*EXP(-$E$2*(I57^$G$2)))+(C$2*C$3*EXP(-$E$3*I57))</f>
        <v>1.81368359134098</v>
      </c>
    </row>
    <row r="58" customFormat="false" ht="15" hidden="false" customHeight="false" outlineLevel="0" collapsed="false">
      <c r="B58" s="19"/>
      <c r="C58" s="19"/>
      <c r="D58" s="19"/>
      <c r="F58" s="19"/>
      <c r="G58" s="19"/>
      <c r="H58" s="19"/>
      <c r="I58" s="6" t="n">
        <v>55</v>
      </c>
      <c r="J58" s="12" t="n">
        <f aca="false">((1-C$2)*C$3*EXP(-$E$2*(I58^$G$2)))+(C$2*C$3*EXP(-$E$3*I58))</f>
        <v>1.81368359134098</v>
      </c>
    </row>
    <row r="59" customFormat="false" ht="15" hidden="false" customHeight="false" outlineLevel="0" collapsed="false">
      <c r="B59" s="19"/>
      <c r="C59" s="19"/>
      <c r="D59" s="19"/>
      <c r="G59" s="19"/>
      <c r="H59" s="19"/>
      <c r="I59" s="6" t="n">
        <v>56</v>
      </c>
      <c r="J59" s="12" t="n">
        <f aca="false">((1-C$2)*C$3*EXP(-$E$2*(I59^$G$2)))+(C$2*C$3*EXP(-$E$3*I59))</f>
        <v>1.81368359134098</v>
      </c>
    </row>
    <row r="60" customFormat="false" ht="15" hidden="false" customHeight="false" outlineLevel="0" collapsed="false">
      <c r="B60" s="19"/>
      <c r="C60" s="19"/>
      <c r="D60" s="19"/>
      <c r="G60" s="19"/>
      <c r="H60" s="19"/>
      <c r="I60" s="6" t="n">
        <v>57</v>
      </c>
      <c r="J60" s="12" t="n">
        <f aca="false">((1-C$2)*C$3*EXP(-$E$2*(I60^$G$2)))+(C$2*C$3*EXP(-$E$3*I60))</f>
        <v>1.81368359134098</v>
      </c>
    </row>
    <row r="61" customFormat="false" ht="15" hidden="false" customHeight="false" outlineLevel="0" collapsed="false">
      <c r="B61" s="19"/>
      <c r="C61" s="19"/>
      <c r="D61" s="19"/>
      <c r="G61" s="19"/>
      <c r="H61" s="19"/>
      <c r="I61" s="6" t="n">
        <v>58</v>
      </c>
      <c r="J61" s="12" t="n">
        <f aca="false">((1-C$2)*C$3*EXP(-$E$2*(I61^$G$2)))+(C$2*C$3*EXP(-$E$3*I61))</f>
        <v>1.81368359134098</v>
      </c>
    </row>
    <row r="62" customFormat="false" ht="15" hidden="false" customHeight="false" outlineLevel="0" collapsed="false">
      <c r="B62" s="19"/>
      <c r="C62" s="19"/>
      <c r="D62" s="19"/>
      <c r="G62" s="19"/>
      <c r="H62" s="19"/>
      <c r="I62" s="6" t="n">
        <v>59</v>
      </c>
      <c r="J62" s="12" t="n">
        <f aca="false">((1-C$2)*C$3*EXP(-$E$2*(I62^$G$2)))+(C$2*C$3*EXP(-$E$3*I62))</f>
        <v>1.81368359134098</v>
      </c>
    </row>
    <row r="63" customFormat="false" ht="15" hidden="false" customHeight="false" outlineLevel="0" collapsed="false">
      <c r="G63" s="19"/>
      <c r="H63" s="19"/>
      <c r="I63" s="6" t="n">
        <v>60</v>
      </c>
      <c r="J63" s="12" t="n">
        <f aca="false">((1-C$2)*C$3*EXP(-$E$2*(I63^$G$2)))+(C$2*C$3*EXP(-$E$3*I63))</f>
        <v>1.81368359134098</v>
      </c>
    </row>
    <row r="64" customFormat="false" ht="15" hidden="false" customHeight="false" outlineLevel="0" collapsed="false">
      <c r="G64" s="19"/>
      <c r="H64" s="19"/>
      <c r="I64" s="6" t="n">
        <v>61</v>
      </c>
      <c r="J64" s="12" t="n">
        <f aca="false">((1-C$2)*C$3*EXP(-$E$2*(I64^$G$2)))+(C$2*C$3*EXP(-$E$3*I64))</f>
        <v>1.81368359134098</v>
      </c>
    </row>
    <row r="65" customFormat="false" ht="15" hidden="false" customHeight="false" outlineLevel="0" collapsed="false">
      <c r="G65" s="19"/>
      <c r="H65" s="19"/>
      <c r="I65" s="6" t="n">
        <v>62</v>
      </c>
      <c r="J65" s="12" t="n">
        <f aca="false">((1-C$2)*C$3*EXP(-$E$2*(I65^$G$2)))+(C$2*C$3*EXP(-$E$3*I65))</f>
        <v>1.81368359134098</v>
      </c>
    </row>
    <row r="66" customFormat="false" ht="15" hidden="false" customHeight="false" outlineLevel="0" collapsed="false">
      <c r="G66" s="19"/>
      <c r="H66" s="19"/>
      <c r="I66" s="6" t="n">
        <v>63</v>
      </c>
      <c r="J66" s="12" t="n">
        <f aca="false">((1-C$2)*C$3*EXP(-$E$2*(I66^$G$2)))+(C$2*C$3*EXP(-$E$3*I66))</f>
        <v>1.81368359134098</v>
      </c>
    </row>
    <row r="67" customFormat="false" ht="15" hidden="false" customHeight="false" outlineLevel="0" collapsed="false">
      <c r="G67" s="19"/>
      <c r="H67" s="19"/>
      <c r="I67" s="6" t="n">
        <v>64</v>
      </c>
      <c r="J67" s="12" t="n">
        <f aca="false">((1-C$2)*C$3*EXP(-$E$2*(I67^$G$2)))+(C$2*C$3*EXP(-$E$3*I67))</f>
        <v>1.81368359134098</v>
      </c>
    </row>
    <row r="68" customFormat="false" ht="15" hidden="false" customHeight="false" outlineLevel="0" collapsed="false">
      <c r="G68" s="19"/>
      <c r="H68" s="19"/>
      <c r="I68" s="6" t="n">
        <v>65</v>
      </c>
      <c r="J68" s="12" t="n">
        <f aca="false">((1-C$2)*C$3*EXP(-$E$2*(I68^$G$2)))+(C$2*C$3*EXP(-$E$3*I68))</f>
        <v>1.81368359134098</v>
      </c>
    </row>
    <row r="69" customFormat="false" ht="15" hidden="false" customHeight="false" outlineLevel="0" collapsed="false">
      <c r="G69" s="19"/>
      <c r="H69" s="19"/>
      <c r="I69" s="6" t="n">
        <v>66</v>
      </c>
      <c r="J69" s="12" t="n">
        <f aca="false">((1-C$2)*C$3*EXP(-$E$2*(I69^$G$2)))+(C$2*C$3*EXP(-$E$3*I69))</f>
        <v>1.81368359134098</v>
      </c>
    </row>
    <row r="70" customFormat="false" ht="15" hidden="false" customHeight="false" outlineLevel="0" collapsed="false">
      <c r="G70" s="19"/>
      <c r="H70" s="19"/>
      <c r="I70" s="6" t="n">
        <v>67</v>
      </c>
      <c r="J70" s="12" t="n">
        <f aca="false">((1-C$2)*C$3*EXP(-$E$2*(I70^$G$2)))+(C$2*C$3*EXP(-$E$3*I70))</f>
        <v>1.81368359134098</v>
      </c>
    </row>
    <row r="71" customFormat="false" ht="15" hidden="false" customHeight="false" outlineLevel="0" collapsed="false">
      <c r="G71" s="19"/>
      <c r="H71" s="19"/>
      <c r="I71" s="6" t="n">
        <v>68</v>
      </c>
      <c r="J71" s="12" t="n">
        <f aca="false">((1-C$2)*C$3*EXP(-$E$2*(I71^$G$2)))+(C$2*C$3*EXP(-$E$3*I71))</f>
        <v>1.81368359134098</v>
      </c>
    </row>
    <row r="72" customFormat="false" ht="15" hidden="false" customHeight="false" outlineLevel="0" collapsed="false">
      <c r="G72" s="19"/>
      <c r="H72" s="19"/>
      <c r="I72" s="6" t="n">
        <v>69</v>
      </c>
      <c r="J72" s="12" t="n">
        <f aca="false">((1-C$2)*C$3*EXP(-$E$2*(I72^$G$2)))+(C$2*C$3*EXP(-$E$3*I72))</f>
        <v>1.81368359134098</v>
      </c>
    </row>
    <row r="73" customFormat="false" ht="15" hidden="false" customHeight="false" outlineLevel="0" collapsed="false">
      <c r="G73" s="19"/>
      <c r="H73" s="19"/>
      <c r="I73" s="6" t="n">
        <v>70</v>
      </c>
      <c r="J73" s="12" t="n">
        <f aca="false">((1-C$2)*C$3*EXP(-$E$2*(I73^$G$2)))+(C$2*C$3*EXP(-$E$3*I73))</f>
        <v>1.81368359134098</v>
      </c>
    </row>
    <row r="74" customFormat="false" ht="15" hidden="false" customHeight="false" outlineLevel="0" collapsed="false">
      <c r="G74" s="19"/>
      <c r="H74" s="19"/>
      <c r="I74" s="6" t="n">
        <v>71</v>
      </c>
      <c r="J74" s="12" t="n">
        <f aca="false">((1-C$2)*C$3*EXP(-$E$2*(I74^$G$2)))+(C$2*C$3*EXP(-$E$3*I74))</f>
        <v>1.81368359134098</v>
      </c>
    </row>
    <row r="75" customFormat="false" ht="15" hidden="false" customHeight="false" outlineLevel="0" collapsed="false">
      <c r="G75" s="19"/>
      <c r="H75" s="19"/>
      <c r="I75" s="19" t="n">
        <f aca="false">I74+1</f>
        <v>72</v>
      </c>
      <c r="J75" s="12" t="n">
        <f aca="false">((1-C$2)*C$3*EXP(-$E$2*(I75^$G$2)))+(C$2*C$3*EXP(-$E$3*I75))</f>
        <v>1.81368359134098</v>
      </c>
    </row>
    <row r="76" customFormat="false" ht="15" hidden="false" customHeight="false" outlineLevel="0" collapsed="false">
      <c r="I76" s="19" t="n">
        <f aca="false">I75+1</f>
        <v>73</v>
      </c>
      <c r="J76" s="12" t="n">
        <f aca="false">((1-C$2)*C$3*EXP(-$E$2*(I76^$G$2)))+(C$2*C$3*EXP(-$E$3*I76))</f>
        <v>1.81368359134098</v>
      </c>
    </row>
    <row r="77" customFormat="false" ht="15" hidden="false" customHeight="false" outlineLevel="0" collapsed="false">
      <c r="I77" s="19" t="n">
        <f aca="false">I76+1</f>
        <v>74</v>
      </c>
      <c r="J77" s="12" t="n">
        <f aca="false">((1-C$2)*C$3*EXP(-$E$2*(I77^$G$2)))+(C$2*C$3*EXP(-$E$3*I77))</f>
        <v>1.81368359134098</v>
      </c>
    </row>
    <row r="78" customFormat="false" ht="15" hidden="false" customHeight="false" outlineLevel="0" collapsed="false">
      <c r="I78" s="19" t="n">
        <f aca="false">I77+1</f>
        <v>75</v>
      </c>
      <c r="J78" s="12" t="n">
        <f aca="false">((1-C$2)*C$3*EXP(-$E$2*(I78^$G$2)))+(C$2*C$3*EXP(-$E$3*I78))</f>
        <v>1.81368359134098</v>
      </c>
    </row>
    <row r="79" customFormat="false" ht="15" hidden="false" customHeight="false" outlineLevel="0" collapsed="false">
      <c r="I79" s="19" t="n">
        <f aca="false">I78+1</f>
        <v>76</v>
      </c>
      <c r="J79" s="12" t="n">
        <f aca="false">((1-C$2)*C$3*EXP(-$E$2*(I79^$G$2)))+(C$2*C$3*EXP(-$E$3*I79))</f>
        <v>1.81368359134098</v>
      </c>
    </row>
    <row r="80" customFormat="false" ht="15" hidden="false" customHeight="false" outlineLevel="0" collapsed="false">
      <c r="I80" s="19" t="n">
        <f aca="false">I79+1</f>
        <v>77</v>
      </c>
      <c r="J80" s="12" t="n">
        <f aca="false">((1-C$2)*C$3*EXP(-$E$2*(I80^$G$2)))+(C$2*C$3*EXP(-$E$3*I80))</f>
        <v>1.81368359134098</v>
      </c>
    </row>
    <row r="81" customFormat="false" ht="15" hidden="false" customHeight="false" outlineLevel="0" collapsed="false">
      <c r="I81" s="19" t="n">
        <f aca="false">I80+1</f>
        <v>78</v>
      </c>
      <c r="J81" s="12" t="n">
        <f aca="false">((1-C$2)*C$3*EXP(-$E$2*(I81^$G$2)))+(C$2*C$3*EXP(-$E$3*I81))</f>
        <v>1.81368359134098</v>
      </c>
    </row>
    <row r="82" customFormat="false" ht="15" hidden="false" customHeight="false" outlineLevel="0" collapsed="false">
      <c r="I82" s="19" t="n">
        <f aca="false">I81+1</f>
        <v>79</v>
      </c>
      <c r="J82" s="12" t="n">
        <f aca="false">((1-C$2)*C$3*EXP(-$E$2*(I82^$G$2)))+(C$2*C$3*EXP(-$E$3*I82))</f>
        <v>1.81368359134098</v>
      </c>
    </row>
    <row r="83" customFormat="false" ht="15" hidden="false" customHeight="false" outlineLevel="0" collapsed="false">
      <c r="I83" s="19" t="n">
        <f aca="false">I82+1</f>
        <v>80</v>
      </c>
      <c r="J83" s="12" t="n">
        <f aca="false">((1-C$2)*C$3*EXP(-$E$2*(I83^$G$2)))+(C$2*C$3*EXP(-$E$3*I83))</f>
        <v>1.81368359134098</v>
      </c>
    </row>
    <row r="84" customFormat="false" ht="15" hidden="false" customHeight="false" outlineLevel="0" collapsed="false">
      <c r="I84" s="19" t="n">
        <f aca="false">I83+1</f>
        <v>81</v>
      </c>
      <c r="J84" s="12" t="n">
        <f aca="false">((1-C$2)*C$3*EXP(-$E$2*(I84^$G$2)))+(C$2*C$3*EXP(-$E$3*I84))</f>
        <v>1.81368359134098</v>
      </c>
    </row>
    <row r="85" customFormat="false" ht="15" hidden="false" customHeight="false" outlineLevel="0" collapsed="false">
      <c r="I85" s="19" t="n">
        <f aca="false">I84+1</f>
        <v>82</v>
      </c>
      <c r="J85" s="12" t="n">
        <f aca="false">((1-C$2)*C$3*EXP(-$E$2*(I85^$G$2)))+(C$2*C$3*EXP(-$E$3*I85))</f>
        <v>1.81368359134098</v>
      </c>
    </row>
    <row r="86" customFormat="false" ht="15" hidden="false" customHeight="false" outlineLevel="0" collapsed="false">
      <c r="I86" s="19" t="n">
        <f aca="false">I85+1</f>
        <v>83</v>
      </c>
      <c r="J86" s="12" t="n">
        <f aca="false">((1-C$2)*C$3*EXP(-$E$2*(I86^$G$2)))+(C$2*C$3*EXP(-$E$3*I86))</f>
        <v>1.81368359134098</v>
      </c>
    </row>
    <row r="87" customFormat="false" ht="15" hidden="false" customHeight="false" outlineLevel="0" collapsed="false">
      <c r="I87" s="19" t="n">
        <f aca="false">I86+1</f>
        <v>84</v>
      </c>
      <c r="J87" s="12" t="n">
        <f aca="false">((1-C$2)*C$3*EXP(-$E$2*(I87^$G$2)))+(C$2*C$3*EXP(-$E$3*I87))</f>
        <v>1.81368359134098</v>
      </c>
    </row>
    <row r="88" customFormat="false" ht="15" hidden="false" customHeight="false" outlineLevel="0" collapsed="false">
      <c r="I88" s="19" t="n">
        <f aca="false">I87+1</f>
        <v>85</v>
      </c>
      <c r="J88" s="12" t="n">
        <f aca="false">((1-C$2)*C$3*EXP(-$E$2*(I88^$G$2)))+(C$2*C$3*EXP(-$E$3*I88))</f>
        <v>1.81368359134098</v>
      </c>
    </row>
    <row r="89" customFormat="false" ht="15" hidden="false" customHeight="false" outlineLevel="0" collapsed="false">
      <c r="I89" s="19" t="n">
        <f aca="false">I88+1</f>
        <v>86</v>
      </c>
      <c r="J89" s="12" t="n">
        <f aca="false">((1-C$2)*C$3*EXP(-$E$2*(I89^$G$2)))+(C$2*C$3*EXP(-$E$3*I89))</f>
        <v>1.81368359134098</v>
      </c>
    </row>
    <row r="90" customFormat="false" ht="15" hidden="false" customHeight="false" outlineLevel="0" collapsed="false">
      <c r="I90" s="19" t="n">
        <f aca="false">I89+1</f>
        <v>87</v>
      </c>
      <c r="J90" s="12" t="n">
        <f aca="false">((1-C$2)*C$3*EXP(-$E$2*(I90^$G$2)))+(C$2*C$3*EXP(-$E$3*I90))</f>
        <v>1.81368359134098</v>
      </c>
    </row>
    <row r="91" customFormat="false" ht="15" hidden="false" customHeight="false" outlineLevel="0" collapsed="false">
      <c r="I91" s="19" t="n">
        <f aca="false">I90+1</f>
        <v>88</v>
      </c>
      <c r="J91" s="12" t="n">
        <f aca="false">((1-C$2)*C$3*EXP(-$E$2*(I91^$G$2)))+(C$2*C$3*EXP(-$E$3*I91))</f>
        <v>1.81368359134098</v>
      </c>
    </row>
    <row r="92" customFormat="false" ht="15" hidden="false" customHeight="false" outlineLevel="0" collapsed="false">
      <c r="I92" s="19" t="n">
        <f aca="false">I91+1</f>
        <v>89</v>
      </c>
      <c r="J92" s="12" t="n">
        <f aca="false">((1-C$2)*C$3*EXP(-$E$2*(I92^$G$2)))+(C$2*C$3*EXP(-$E$3*I92))</f>
        <v>1.81368359134098</v>
      </c>
    </row>
    <row r="93" customFormat="false" ht="15" hidden="false" customHeight="false" outlineLevel="0" collapsed="false">
      <c r="I93" s="19" t="n">
        <f aca="false">I92+1</f>
        <v>90</v>
      </c>
      <c r="J93" s="12" t="n">
        <f aca="false">((1-C$2)*C$3*EXP(-$E$2*(I93^$G$2)))+(C$2*C$3*EXP(-$E$3*I93))</f>
        <v>1.81368359134098</v>
      </c>
    </row>
    <row r="94" customFormat="false" ht="15" hidden="false" customHeight="false" outlineLevel="0" collapsed="false">
      <c r="I94" s="19" t="n">
        <f aca="false">I93+1</f>
        <v>91</v>
      </c>
      <c r="J94" s="12" t="n">
        <f aca="false">((1-C$2)*C$3*EXP(-$E$2*(I94^$G$2)))+(C$2*C$3*EXP(-$E$3*I94))</f>
        <v>1.81368359134098</v>
      </c>
    </row>
    <row r="95" customFormat="false" ht="15" hidden="false" customHeight="false" outlineLevel="0" collapsed="false">
      <c r="I95" s="19" t="n">
        <f aca="false">I94+1</f>
        <v>92</v>
      </c>
      <c r="J95" s="12" t="n">
        <f aca="false">((1-C$2)*C$3*EXP(-$E$2*(I95^$G$2)))+(C$2*C$3*EXP(-$E$3*I95))</f>
        <v>1.81368359134098</v>
      </c>
    </row>
    <row r="96" customFormat="false" ht="15" hidden="false" customHeight="false" outlineLevel="0" collapsed="false">
      <c r="I96" s="19" t="n">
        <f aca="false">I95+1</f>
        <v>93</v>
      </c>
      <c r="J96" s="12" t="n">
        <f aca="false">((1-C$2)*C$3*EXP(-$E$2*(I96^$G$2)))+(C$2*C$3*EXP(-$E$3*I96))</f>
        <v>1.81368359134098</v>
      </c>
    </row>
    <row r="97" customFormat="false" ht="15" hidden="false" customHeight="false" outlineLevel="0" collapsed="false">
      <c r="I97" s="19" t="n">
        <f aca="false">I96+1</f>
        <v>94</v>
      </c>
      <c r="J97" s="20" t="n">
        <f aca="false">((1-C$2)*C$3*EXP(-$E$2*(I97^$G$2)))+(C$2*C$3*EXP(-$E$3*I97))</f>
        <v>1.81368359134098</v>
      </c>
    </row>
    <row r="98" customFormat="false" ht="15" hidden="false" customHeight="false" outlineLevel="0" collapsed="false">
      <c r="I98" s="19" t="n">
        <f aca="false">I97+1</f>
        <v>95</v>
      </c>
      <c r="J98" s="20" t="n">
        <f aca="false">((1-C$2)*C$3*EXP(-$E$2*(I98^$G$2)))+(C$2*C$3*EXP(-$E$3*I98))</f>
        <v>1.81368359134098</v>
      </c>
    </row>
    <row r="99" customFormat="false" ht="15" hidden="false" customHeight="false" outlineLevel="0" collapsed="false">
      <c r="I99" s="19" t="n">
        <f aca="false">I98+1</f>
        <v>96</v>
      </c>
      <c r="J99" s="20" t="n">
        <f aca="false">((1-C$2)*C$3*EXP(-$E$2*(I99^$G$2)))+(C$2*C$3*EXP(-$E$3*I99))</f>
        <v>1.81368359134098</v>
      </c>
    </row>
    <row r="100" customFormat="false" ht="15" hidden="false" customHeight="false" outlineLevel="0" collapsed="false">
      <c r="I100" s="19" t="n">
        <f aca="false">I99+1</f>
        <v>97</v>
      </c>
      <c r="J100" s="20" t="n">
        <f aca="false">((1-C$2)*C$3*EXP(-$E$2*(I100^$G$2)))+(C$2*C$3*EXP(-$E$3*I100))</f>
        <v>1.81368359134098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&amp;C_x005F_x000D_&amp;1#&amp;"Default,Regular"&amp;10&amp;Kd89b2b Confidential - Company Proprietary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23.57"/>
    <col collapsed="false" customWidth="true" hidden="false" outlineLevel="0" max="4" min="4" style="0" width="24.42"/>
  </cols>
  <sheetData>
    <row r="2" customFormat="false" ht="15" hidden="false" customHeight="false" outlineLevel="0" collapsed="false">
      <c r="B2" s="1" t="s">
        <v>0</v>
      </c>
      <c r="C2" s="2" t="n">
        <v>0.0446349566064168</v>
      </c>
      <c r="D2" s="3" t="s">
        <v>1</v>
      </c>
      <c r="E2" s="4" t="n">
        <v>1.29813131281214E-006</v>
      </c>
      <c r="F2" s="3" t="s">
        <v>2</v>
      </c>
      <c r="G2" s="5" t="n">
        <v>5.06507051002816</v>
      </c>
      <c r="I2" s="6" t="s">
        <v>3</v>
      </c>
      <c r="J2" s="6" t="s">
        <v>4</v>
      </c>
    </row>
    <row r="3" customFormat="false" ht="15" hidden="false" customHeight="false" outlineLevel="0" collapsed="false">
      <c r="B3" s="7" t="s">
        <v>5</v>
      </c>
      <c r="C3" s="8" t="n">
        <f aca="false">(B6+B12)/2</f>
        <v>5350</v>
      </c>
      <c r="D3" s="9" t="s">
        <v>6</v>
      </c>
      <c r="E3" s="10" t="n">
        <v>0.0359978057519051</v>
      </c>
      <c r="F3" s="9"/>
      <c r="G3" s="11"/>
      <c r="I3" s="6" t="n">
        <v>0</v>
      </c>
      <c r="J3" s="12" t="n">
        <f aca="false">((1-C$2)*C$3*EXP(-$E$2*(I3^$G$2)))+(C$2*C$3*EXP(-$E$3*I3))</f>
        <v>5350</v>
      </c>
    </row>
    <row r="4" customFormat="false" ht="15" hidden="false" customHeight="false" outlineLevel="0" collapsed="false">
      <c r="I4" s="6" t="n">
        <v>1</v>
      </c>
      <c r="J4" s="12" t="n">
        <f aca="false">((1-C$2)*C$3*EXP(-$E$2*(I4^$G$2)))+(C$2*C$3*EXP(-$E$3*I4))</f>
        <v>5341.55007797627</v>
      </c>
    </row>
    <row r="5" customFormat="false" ht="15" hidden="false" customHeight="false" outlineLevel="0" collapsed="false">
      <c r="B5" s="13" t="s">
        <v>7</v>
      </c>
      <c r="C5" s="14" t="s">
        <v>8</v>
      </c>
      <c r="D5" s="14" t="s">
        <v>9</v>
      </c>
      <c r="E5" s="15"/>
      <c r="I5" s="6" t="n">
        <v>2</v>
      </c>
      <c r="J5" s="12" t="n">
        <f aca="false">((1-C$2)*C$3*EXP(-$E$2*(I5^$G$2)))+(C$2*C$3*EXP(-$E$3*I5))</f>
        <v>5333.18984904182</v>
      </c>
    </row>
    <row r="6" customFormat="false" ht="15" hidden="false" customHeight="false" outlineLevel="0" collapsed="false">
      <c r="B6" s="16" t="n">
        <v>6500</v>
      </c>
      <c r="C6" s="17" t="n">
        <v>0</v>
      </c>
      <c r="D6" s="16" t="n">
        <v>5350</v>
      </c>
      <c r="E6" s="15"/>
      <c r="I6" s="6" t="n">
        <v>3</v>
      </c>
      <c r="J6" s="12" t="n">
        <f aca="false">((1-C$2)*C$3*EXP(-$E$2*(I6^$G$2)))+(C$2*C$3*EXP(-$E$3*I6))</f>
        <v>5323.82369238601</v>
      </c>
    </row>
    <row r="7" customFormat="false" ht="15" hidden="false" customHeight="false" outlineLevel="0" collapsed="false">
      <c r="B7" s="16" t="n">
        <v>4300</v>
      </c>
      <c r="C7" s="17" t="n">
        <v>1.60039589057475</v>
      </c>
      <c r="D7" s="16" t="n">
        <v>5336.55968538998</v>
      </c>
      <c r="E7" s="15"/>
      <c r="I7" s="6" t="n">
        <v>4</v>
      </c>
      <c r="J7" s="12" t="n">
        <f aca="false">((1-C$2)*C$3*EXP(-$E$2*(I7^$G$2)))+(C$2*C$3*EXP(-$E$3*I7))</f>
        <v>5310.54597999621</v>
      </c>
    </row>
    <row r="8" customFormat="false" ht="15" hidden="false" customHeight="false" outlineLevel="0" collapsed="false">
      <c r="B8" s="16" t="n">
        <v>5200</v>
      </c>
      <c r="C8" s="17" t="n">
        <v>4.75741633861786</v>
      </c>
      <c r="D8" s="16" t="n">
        <v>5294.54916810493</v>
      </c>
      <c r="E8" s="15"/>
      <c r="I8" s="6" t="n">
        <v>5</v>
      </c>
      <c r="J8" s="12" t="n">
        <f aca="false">((1-C$2)*C$3*EXP(-$E$2*(I8^$G$2)))+(C$2*C$3*EXP(-$E$3*I8))</f>
        <v>5287.69333721512</v>
      </c>
    </row>
    <row r="9" customFormat="false" ht="15" hidden="false" customHeight="false" outlineLevel="0" collapsed="false">
      <c r="B9" s="16" t="n">
        <v>3250</v>
      </c>
      <c r="C9" s="17" t="n">
        <v>7.85696111719723</v>
      </c>
      <c r="D9" s="16" t="n">
        <v>5068.96638097256</v>
      </c>
      <c r="E9" s="15"/>
      <c r="I9" s="6" t="n">
        <v>6</v>
      </c>
      <c r="J9" s="12" t="n">
        <f aca="false">((1-C$2)*C$3*EXP(-$E$2*(I9^$G$2)))+(C$2*C$3*EXP(-$E$3*I9))</f>
        <v>5245.96632312605</v>
      </c>
    </row>
    <row r="10" customFormat="false" ht="15" hidden="false" customHeight="false" outlineLevel="0" collapsed="false">
      <c r="B10" s="16" t="n">
        <v>2700</v>
      </c>
      <c r="C10" s="17" t="n">
        <v>15.3611871026567</v>
      </c>
      <c r="D10" s="16" t="n">
        <v>1494.16496977619</v>
      </c>
      <c r="E10" s="15"/>
      <c r="I10" s="6" t="n">
        <v>7</v>
      </c>
      <c r="J10" s="12" t="n">
        <f aca="false">((1-C$2)*C$3*EXP(-$E$2*(I10^$G$2)))+(C$2*C$3*EXP(-$E$3*I10))</f>
        <v>5171.79608086624</v>
      </c>
    </row>
    <row r="11" customFormat="false" ht="15" hidden="false" customHeight="false" outlineLevel="0" collapsed="false">
      <c r="B11" s="16" t="n">
        <v>65</v>
      </c>
      <c r="C11" s="17" t="n">
        <v>42.1569836596603</v>
      </c>
      <c r="D11" s="16" t="n">
        <v>52.3553947972078</v>
      </c>
      <c r="E11" s="15"/>
      <c r="I11" s="6" t="n">
        <v>8</v>
      </c>
      <c r="J11" s="12" t="n">
        <f aca="false">((1-C$2)*C$3*EXP(-$E$2*(I11^$G$2)))+(C$2*C$3*EXP(-$E$3*I11))</f>
        <v>5047.29300900173</v>
      </c>
    </row>
    <row r="12" customFormat="false" ht="15" hidden="false" customHeight="false" outlineLevel="0" collapsed="false">
      <c r="B12" s="16" t="n">
        <v>4200</v>
      </c>
      <c r="C12" s="17" t="n">
        <v>0</v>
      </c>
      <c r="D12" s="16" t="n">
        <v>5350</v>
      </c>
      <c r="E12" s="15"/>
      <c r="I12" s="6" t="n">
        <v>9</v>
      </c>
      <c r="J12" s="12" t="n">
        <f aca="false">((1-C$2)*C$3*EXP(-$E$2*(I12^$G$2)))+(C$2*C$3*EXP(-$E$3*I12))</f>
        <v>4851.31746253637</v>
      </c>
    </row>
    <row r="13" customFormat="false" ht="15" hidden="false" customHeight="false" outlineLevel="0" collapsed="false">
      <c r="B13" s="16" t="n">
        <v>5650</v>
      </c>
      <c r="C13" s="17" t="n">
        <v>3.44475137706018</v>
      </c>
      <c r="D13" s="16" t="n">
        <v>5318.66384442598</v>
      </c>
      <c r="E13" s="15"/>
      <c r="I13" s="6" t="n">
        <v>10</v>
      </c>
      <c r="J13" s="12" t="n">
        <f aca="false">((1-C$2)*C$3*EXP(-$E$2*(I13^$G$2)))+(C$2*C$3*EXP(-$E$3*I13))</f>
        <v>4562.36049215228</v>
      </c>
    </row>
    <row r="14" customFormat="false" ht="15" hidden="false" customHeight="false" outlineLevel="0" collapsed="false">
      <c r="B14" s="16" t="n">
        <v>4700</v>
      </c>
      <c r="C14" s="17" t="n">
        <v>10.2839595674637</v>
      </c>
      <c r="D14" s="16" t="n">
        <v>4460.81552130436</v>
      </c>
      <c r="E14" s="15"/>
      <c r="I14" s="6" t="n">
        <v>11</v>
      </c>
      <c r="J14" s="12" t="n">
        <f aca="false">((1-C$2)*C$3*EXP(-$E$2*(I14^$G$2)))+(C$2*C$3*EXP(-$E$3*I14))</f>
        <v>4163.80303276447</v>
      </c>
    </row>
    <row r="15" customFormat="false" ht="15" hidden="false" customHeight="false" outlineLevel="0" collapsed="false">
      <c r="B15" s="16" t="n">
        <v>418</v>
      </c>
      <c r="C15" s="17" t="n">
        <v>17.0566520577023</v>
      </c>
      <c r="D15" s="16" t="n">
        <v>665.816363873961</v>
      </c>
      <c r="E15" s="15"/>
      <c r="I15" s="6" t="n">
        <v>12</v>
      </c>
      <c r="J15" s="12" t="n">
        <f aca="false">((1-C$2)*C$3*EXP(-$E$2*(I15^$G$2)))+(C$2*C$3*EXP(-$E$3*I15))</f>
        <v>3651.41477807265</v>
      </c>
    </row>
    <row r="16" customFormat="false" ht="15" hidden="false" customHeight="false" outlineLevel="0" collapsed="false">
      <c r="B16" s="16" t="n">
        <v>63</v>
      </c>
      <c r="C16" s="17" t="n">
        <v>33.7016069605542</v>
      </c>
      <c r="D16" s="16" t="n">
        <v>70.9822604111243</v>
      </c>
      <c r="I16" s="6" t="n">
        <v>13</v>
      </c>
      <c r="J16" s="12" t="n">
        <f aca="false">((1-C$2)*C$3*EXP(-$E$2*(I16^$G$2)))+(C$2*C$3*EXP(-$E$3*I16))</f>
        <v>3041.41209067497</v>
      </c>
    </row>
    <row r="17" customFormat="false" ht="15" hidden="false" customHeight="false" outlineLevel="0" collapsed="false">
      <c r="B17" s="16" t="n">
        <v>8</v>
      </c>
      <c r="C17" s="17" t="n">
        <v>96.3596348614606</v>
      </c>
      <c r="D17" s="16" t="n">
        <v>7.44005674092278</v>
      </c>
      <c r="I17" s="6" t="n">
        <v>14</v>
      </c>
      <c r="J17" s="12" t="n">
        <f aca="false">((1-C$2)*C$3*EXP(-$E$2*(I17^$G$2)))+(C$2*C$3*EXP(-$E$3*I17))</f>
        <v>2375.30086580743</v>
      </c>
    </row>
    <row r="18" customFormat="false" ht="15" hidden="false" customHeight="false" outlineLevel="0" collapsed="false">
      <c r="B18" s="15"/>
      <c r="C18" s="18"/>
      <c r="D18" s="15"/>
      <c r="I18" s="6" t="n">
        <v>15</v>
      </c>
      <c r="J18" s="12" t="n">
        <f aca="false">((1-C$2)*C$3*EXP(-$E$2*(I18^$G$2)))+(C$2*C$3*EXP(-$E$3*I18))</f>
        <v>1716.46409115529</v>
      </c>
    </row>
    <row r="19" customFormat="false" ht="15" hidden="false" customHeight="false" outlineLevel="0" collapsed="false">
      <c r="B19" s="15"/>
      <c r="C19" s="18"/>
      <c r="D19" s="15"/>
      <c r="I19" s="6" t="n">
        <v>16</v>
      </c>
      <c r="J19" s="12" t="n">
        <f aca="false">((1-C$2)*C$3*EXP(-$E$2*(I19^$G$2)))+(C$2*C$3*EXP(-$E$3*I19))</f>
        <v>1135.3641400435</v>
      </c>
    </row>
    <row r="20" customFormat="false" ht="15" hidden="false" customHeight="false" outlineLevel="0" collapsed="false">
      <c r="C20" s="18"/>
      <c r="D20" s="15"/>
      <c r="I20" s="6" t="n">
        <v>17</v>
      </c>
      <c r="J20" s="12" t="n">
        <f aca="false">((1-C$2)*C$3*EXP(-$E$2*(I20^$G$2)))+(C$2*C$3*EXP(-$E$3*I20))</f>
        <v>686.67533942354</v>
      </c>
    </row>
    <row r="21" customFormat="false" ht="15" hidden="false" customHeight="false" outlineLevel="0" collapsed="false">
      <c r="I21" s="6" t="n">
        <v>18</v>
      </c>
      <c r="J21" s="12" t="n">
        <f aca="false">((1-C$2)*C$3*EXP(-$E$2*(I21^$G$2)))+(C$2*C$3*EXP(-$E$3*I21))</f>
        <v>389.646950184808</v>
      </c>
    </row>
    <row r="22" customFormat="false" ht="15" hidden="false" customHeight="false" outlineLevel="0" collapsed="false">
      <c r="I22" s="6" t="n">
        <v>19</v>
      </c>
      <c r="J22" s="12" t="n">
        <f aca="false">((1-C$2)*C$3*EXP(-$E$2*(I22^$G$2)))+(C$2*C$3*EXP(-$E$3*I22))</f>
        <v>224.677361213926</v>
      </c>
    </row>
    <row r="23" customFormat="false" ht="15" hidden="false" customHeight="false" outlineLevel="0" collapsed="false">
      <c r="I23" s="6" t="n">
        <v>20</v>
      </c>
      <c r="J23" s="12" t="n">
        <f aca="false">((1-C$2)*C$3*EXP(-$E$2*(I23^$G$2)))+(C$2*C$3*EXP(-$E$3*I23))</f>
        <v>149.062046247609</v>
      </c>
    </row>
    <row r="24" customFormat="false" ht="15" hidden="false" customHeight="false" outlineLevel="0" collapsed="false">
      <c r="I24" s="6" t="n">
        <v>21</v>
      </c>
      <c r="J24" s="12" t="n">
        <f aca="false">((1-C$2)*C$3*EXP(-$E$2*(I24^$G$2)))+(C$2*C$3*EXP(-$E$3*I24))</f>
        <v>120.101962889273</v>
      </c>
    </row>
    <row r="25" customFormat="false" ht="15" hidden="false" customHeight="false" outlineLevel="0" collapsed="false">
      <c r="I25" s="6" t="n">
        <v>22</v>
      </c>
      <c r="J25" s="12" t="n">
        <f aca="false">((1-C$2)*C$3*EXP(-$E$2*(I25^$G$2)))+(C$2*C$3*EXP(-$E$3*I25))</f>
        <v>109.596805006763</v>
      </c>
    </row>
    <row r="26" customFormat="false" ht="15" hidden="false" customHeight="false" outlineLevel="0" collapsed="false">
      <c r="I26" s="6" t="n">
        <v>23</v>
      </c>
      <c r="J26" s="12" t="n">
        <f aca="false">((1-C$2)*C$3*EXP(-$E$2*(I26^$G$2)))+(C$2*C$3*EXP(-$E$3*I26))</f>
        <v>104.522391128835</v>
      </c>
    </row>
    <row r="27" customFormat="false" ht="15" hidden="false" customHeight="false" outlineLevel="0" collapsed="false">
      <c r="I27" s="6" t="n">
        <v>24</v>
      </c>
      <c r="J27" s="12" t="n">
        <f aca="false">((1-C$2)*C$3*EXP(-$E$2*(I27^$G$2)))+(C$2*C$3*EXP(-$E$3*I27))</f>
        <v>100.667173184306</v>
      </c>
    </row>
    <row r="28" customFormat="false" ht="15" hidden="false" customHeight="false" outlineLevel="0" collapsed="false">
      <c r="I28" s="6" t="n">
        <v>25</v>
      </c>
      <c r="J28" s="12" t="n">
        <f aca="false">((1-C$2)*C$3*EXP(-$E$2*(I28^$G$2)))+(C$2*C$3*EXP(-$E$3*I28))</f>
        <v>97.0937802892571</v>
      </c>
    </row>
    <row r="29" customFormat="false" ht="15" hidden="false" customHeight="false" outlineLevel="0" collapsed="false">
      <c r="I29" s="6" t="n">
        <v>26</v>
      </c>
      <c r="J29" s="12" t="n">
        <f aca="false">((1-C$2)*C$3*EXP(-$E$2*(I29^$G$2)))+(C$2*C$3*EXP(-$E$3*I29))</f>
        <v>93.6600024621584</v>
      </c>
    </row>
    <row r="30" customFormat="false" ht="15" hidden="false" customHeight="false" outlineLevel="0" collapsed="false">
      <c r="I30" s="6" t="n">
        <v>27</v>
      </c>
      <c r="J30" s="12" t="n">
        <f aca="false">((1-C$2)*C$3*EXP(-$E$2*(I30^$G$2)))+(C$2*C$3*EXP(-$E$3*I30))</f>
        <v>90.3483851309699</v>
      </c>
    </row>
    <row r="31" customFormat="false" ht="15" hidden="false" customHeight="false" outlineLevel="0" collapsed="false">
      <c r="I31" s="6" t="n">
        <v>28</v>
      </c>
      <c r="J31" s="12" t="n">
        <f aca="false">((1-C$2)*C$3*EXP(-$E$2*(I31^$G$2)))+(C$2*C$3*EXP(-$E$3*I31))</f>
        <v>87.1538835239949</v>
      </c>
    </row>
    <row r="32" customFormat="false" ht="15" hidden="false" customHeight="false" outlineLevel="0" collapsed="false">
      <c r="I32" s="6" t="n">
        <v>29</v>
      </c>
      <c r="J32" s="12" t="n">
        <f aca="false">((1-C$2)*C$3*EXP(-$E$2*(I32^$G$2)))+(C$2*C$3*EXP(-$E$3*I32))</f>
        <v>84.0723322517796</v>
      </c>
    </row>
    <row r="33" customFormat="false" ht="15" hidden="false" customHeight="false" outlineLevel="0" collapsed="false">
      <c r="E33" s="19"/>
      <c r="F33" s="19"/>
      <c r="I33" s="6" t="n">
        <v>30</v>
      </c>
      <c r="J33" s="12" t="n">
        <f aca="false">((1-C$2)*C$3*EXP(-$E$2*(I33^$G$2)))+(C$2*C$3*EXP(-$E$3*I33))</f>
        <v>81.0997372098962</v>
      </c>
    </row>
    <row r="34" customFormat="false" ht="15" hidden="false" customHeight="false" outlineLevel="0" collapsed="false">
      <c r="E34" s="19"/>
      <c r="F34" s="19"/>
      <c r="I34" s="6" t="n">
        <v>31</v>
      </c>
      <c r="J34" s="12" t="n">
        <f aca="false">((1-C$2)*C$3*EXP(-$E$2*(I34^$G$2)))+(C$2*C$3*EXP(-$E$3*I34))</f>
        <v>78.2322459643268</v>
      </c>
    </row>
    <row r="35" customFormat="false" ht="15" hidden="false" customHeight="false" outlineLevel="0" collapsed="false">
      <c r="B35" s="19"/>
      <c r="C35" s="19"/>
      <c r="D35" s="19"/>
      <c r="E35" s="19"/>
      <c r="F35" s="19"/>
      <c r="I35" s="6" t="n">
        <v>32</v>
      </c>
      <c r="J35" s="12" t="n">
        <f aca="false">((1-C$2)*C$3*EXP(-$E$2*(I35^$G$2)))+(C$2*C$3*EXP(-$E$3*I35))</f>
        <v>75.4661422981293</v>
      </c>
    </row>
    <row r="36" customFormat="false" ht="15" hidden="false" customHeight="false" outlineLevel="0" collapsed="false">
      <c r="B36" s="19"/>
      <c r="C36" s="19"/>
      <c r="D36" s="19"/>
      <c r="E36" s="19"/>
      <c r="F36" s="19"/>
      <c r="I36" s="6" t="n">
        <v>33</v>
      </c>
      <c r="J36" s="12" t="n">
        <f aca="false">((1-C$2)*C$3*EXP(-$E$2*(I36^$G$2)))+(C$2*C$3*EXP(-$E$3*I36))</f>
        <v>72.7978413908561</v>
      </c>
    </row>
    <row r="37" customFormat="false" ht="15" hidden="false" customHeight="false" outlineLevel="0" collapsed="false">
      <c r="B37" s="19"/>
      <c r="C37" s="19"/>
      <c r="D37" s="19"/>
      <c r="E37" s="19"/>
      <c r="F37" s="19"/>
      <c r="I37" s="6" t="n">
        <v>34</v>
      </c>
      <c r="J37" s="12" t="n">
        <f aca="false">((1-C$2)*C$3*EXP(-$E$2*(I37^$G$2)))+(C$2*C$3*EXP(-$E$3*I37))</f>
        <v>70.2238851726705</v>
      </c>
    </row>
    <row r="38" customFormat="false" ht="15" hidden="false" customHeight="false" outlineLevel="0" collapsed="false">
      <c r="B38" s="19"/>
      <c r="C38" s="19"/>
      <c r="D38" s="19"/>
      <c r="E38" s="19"/>
      <c r="F38" s="19"/>
      <c r="I38" s="6" t="n">
        <v>35</v>
      </c>
      <c r="J38" s="12" t="n">
        <f aca="false">((1-C$2)*C$3*EXP(-$E$2*(I38^$G$2)))+(C$2*C$3*EXP(-$E$3*I38))</f>
        <v>67.7409378427507</v>
      </c>
    </row>
    <row r="39" customFormat="false" ht="15" hidden="false" customHeight="false" outlineLevel="0" collapsed="false">
      <c r="B39" s="19"/>
      <c r="C39" s="19"/>
      <c r="D39" s="19"/>
      <c r="E39" s="19"/>
      <c r="F39" s="19"/>
      <c r="I39" s="6" t="n">
        <v>36</v>
      </c>
      <c r="J39" s="12" t="n">
        <f aca="false">((1-C$2)*C$3*EXP(-$E$2*(I39^$G$2)))+(C$2*C$3*EXP(-$E$3*I39))</f>
        <v>65.3457815461524</v>
      </c>
    </row>
    <row r="40" customFormat="false" ht="15" hidden="false" customHeight="false" outlineLevel="0" collapsed="false">
      <c r="B40" s="19"/>
      <c r="C40" s="19"/>
      <c r="D40" s="19"/>
      <c r="E40" s="19"/>
      <c r="F40" s="19"/>
      <c r="I40" s="6" t="n">
        <v>37</v>
      </c>
      <c r="J40" s="12" t="n">
        <f aca="false">((1-C$2)*C$3*EXP(-$E$2*(I40^$G$2)))+(C$2*C$3*EXP(-$E$3*I40))</f>
        <v>63.0353122035264</v>
      </c>
    </row>
    <row r="41" customFormat="false" ht="15" hidden="false" customHeight="false" outlineLevel="0" collapsed="false">
      <c r="B41" s="19"/>
      <c r="C41" s="19"/>
      <c r="D41" s="19"/>
      <c r="E41" s="19"/>
      <c r="F41" s="19"/>
      <c r="I41" s="6" t="n">
        <v>38</v>
      </c>
      <c r="J41" s="12" t="n">
        <f aca="false">((1-C$2)*C$3*EXP(-$E$2*(I41^$G$2)))+(C$2*C$3*EXP(-$E$3*I41))</f>
        <v>60.8065354882883</v>
      </c>
    </row>
    <row r="42" customFormat="false" ht="15" hidden="false" customHeight="false" outlineLevel="0" collapsed="false">
      <c r="B42" s="19"/>
      <c r="C42" s="19"/>
      <c r="D42" s="19"/>
      <c r="E42" s="19"/>
      <c r="F42" s="19"/>
      <c r="I42" s="6" t="n">
        <v>39</v>
      </c>
      <c r="J42" s="12" t="n">
        <f aca="false">((1-C$2)*C$3*EXP(-$E$2*(I42^$G$2)))+(C$2*C$3*EXP(-$E$3*I42))</f>
        <v>58.6565629460247</v>
      </c>
    </row>
    <row r="43" customFormat="false" ht="15" hidden="false" customHeight="false" outlineLevel="0" collapsed="false">
      <c r="B43" s="19"/>
      <c r="C43" s="19"/>
      <c r="D43" s="19"/>
      <c r="E43" s="19"/>
      <c r="F43" s="19"/>
      <c r="I43" s="6" t="n">
        <v>40</v>
      </c>
      <c r="J43" s="12" t="n">
        <f aca="false">((1-C$2)*C$3*EXP(-$E$2*(I43^$G$2)))+(C$2*C$3*EXP(-$E$3*I43))</f>
        <v>56.5826082511086</v>
      </c>
    </row>
    <row r="44" customFormat="false" ht="15" hidden="false" customHeight="false" outlineLevel="0" collapsed="false">
      <c r="B44" s="19"/>
      <c r="C44" s="19"/>
      <c r="D44" s="19"/>
      <c r="E44" s="19"/>
      <c r="F44" s="19"/>
      <c r="I44" s="6" t="n">
        <v>41</v>
      </c>
      <c r="J44" s="12" t="n">
        <f aca="false">((1-C$2)*C$3*EXP(-$E$2*(I44^$G$2)))+(C$2*C$3*EXP(-$E$3*I44))</f>
        <v>54.5819835956721</v>
      </c>
    </row>
    <row r="45" customFormat="false" ht="15" hidden="false" customHeight="false" outlineLevel="0" collapsed="false">
      <c r="B45" s="19"/>
      <c r="C45" s="19"/>
      <c r="D45" s="19"/>
      <c r="E45" s="19"/>
      <c r="F45" s="19"/>
      <c r="I45" s="6" t="n">
        <v>42</v>
      </c>
      <c r="J45" s="12" t="n">
        <f aca="false">((1-C$2)*C$3*EXP(-$E$2*(I45^$G$2)))+(C$2*C$3*EXP(-$E$3*I45))</f>
        <v>52.6520962062552</v>
      </c>
    </row>
    <row r="46" customFormat="false" ht="15" hidden="false" customHeight="false" outlineLevel="0" collapsed="false">
      <c r="B46" s="19"/>
      <c r="C46" s="19"/>
      <c r="D46" s="19"/>
      <c r="E46" s="19"/>
      <c r="F46" s="19"/>
      <c r="I46" s="6" t="n">
        <v>43</v>
      </c>
      <c r="J46" s="12" t="n">
        <f aca="false">((1-C$2)*C$3*EXP(-$E$2*(I46^$G$2)))+(C$2*C$3*EXP(-$E$3*I46))</f>
        <v>50.7904449836185</v>
      </c>
    </row>
    <row r="47" customFormat="false" ht="15" hidden="false" customHeight="false" outlineLevel="0" collapsed="false">
      <c r="B47" s="19"/>
      <c r="C47" s="19"/>
      <c r="D47" s="19"/>
      <c r="E47" s="19"/>
      <c r="F47" s="19"/>
      <c r="I47" s="6" t="n">
        <v>44</v>
      </c>
      <c r="J47" s="12" t="n">
        <f aca="false">((1-C$2)*C$3*EXP(-$E$2*(I47^$G$2)))+(C$2*C$3*EXP(-$E$3*I47))</f>
        <v>48.9946172613638</v>
      </c>
    </row>
    <row r="48" customFormat="false" ht="15" hidden="false" customHeight="false" outlineLevel="0" collapsed="false">
      <c r="B48" s="19"/>
      <c r="C48" s="19"/>
      <c r="D48" s="19"/>
      <c r="E48" s="19"/>
      <c r="F48" s="19"/>
      <c r="I48" s="6" t="n">
        <v>45</v>
      </c>
      <c r="J48" s="12" t="n">
        <f aca="false">((1-C$2)*C$3*EXP(-$E$2*(I48^$G$2)))+(C$2*C$3*EXP(-$E$3*I48))</f>
        <v>47.2622856791618</v>
      </c>
    </row>
    <row r="49" customFormat="false" ht="15" hidden="false" customHeight="false" outlineLevel="0" collapsed="false">
      <c r="B49" s="19"/>
      <c r="C49" s="19"/>
      <c r="D49" s="19"/>
      <c r="E49" s="19"/>
      <c r="F49" s="19"/>
      <c r="G49" s="19"/>
      <c r="H49" s="19"/>
      <c r="I49" s="6" t="n">
        <v>46</v>
      </c>
      <c r="J49" s="12" t="n">
        <f aca="false">((1-C$2)*C$3*EXP(-$E$2*(I49^$G$2)))+(C$2*C$3*EXP(-$E$3*I49))</f>
        <v>45.5912051665352</v>
      </c>
    </row>
    <row r="50" customFormat="false" ht="15" hidden="false" customHeight="false" outlineLevel="0" collapsed="false">
      <c r="B50" s="19"/>
      <c r="C50" s="19"/>
      <c r="D50" s="19"/>
      <c r="E50" s="19"/>
      <c r="F50" s="19"/>
      <c r="G50" s="19"/>
      <c r="H50" s="19"/>
      <c r="I50" s="6" t="n">
        <v>47</v>
      </c>
      <c r="J50" s="12" t="n">
        <f aca="false">((1-C$2)*C$3*EXP(-$E$2*(I50^$G$2)))+(C$2*C$3*EXP(-$E$3*I50))</f>
        <v>43.9792100332877</v>
      </c>
    </row>
    <row r="51" customFormat="false" ht="15" hidden="false" customHeight="false" outlineLevel="0" collapsed="false">
      <c r="B51" s="19"/>
      <c r="C51" s="19"/>
      <c r="D51" s="19"/>
      <c r="E51" s="19"/>
      <c r="F51" s="19"/>
      <c r="G51" s="19"/>
      <c r="H51" s="19"/>
      <c r="I51" s="6" t="n">
        <v>48</v>
      </c>
      <c r="J51" s="12" t="n">
        <f aca="false">((1-C$2)*C$3*EXP(-$E$2*(I51^$G$2)))+(C$2*C$3*EXP(-$E$3*I51))</f>
        <v>42.424211162809</v>
      </c>
    </row>
    <row r="52" customFormat="false" ht="15" hidden="false" customHeight="false" outlineLevel="0" collapsed="false">
      <c r="B52" s="19"/>
      <c r="C52" s="19"/>
      <c r="D52" s="19"/>
      <c r="E52" s="19"/>
      <c r="F52" s="19"/>
      <c r="G52" s="19"/>
      <c r="H52" s="19"/>
      <c r="I52" s="6" t="n">
        <v>49</v>
      </c>
      <c r="J52" s="12" t="n">
        <f aca="false">((1-C$2)*C$3*EXP(-$E$2*(I52^$G$2)))+(C$2*C$3*EXP(-$E$3*I52))</f>
        <v>40.9241933046167</v>
      </c>
    </row>
    <row r="53" customFormat="false" ht="15" hidden="false" customHeight="false" outlineLevel="0" collapsed="false">
      <c r="B53" s="19"/>
      <c r="C53" s="19"/>
      <c r="D53" s="19"/>
      <c r="E53" s="19"/>
      <c r="F53" s="19"/>
      <c r="G53" s="19"/>
      <c r="H53" s="19"/>
      <c r="I53" s="6" t="n">
        <v>50</v>
      </c>
      <c r="J53" s="12" t="n">
        <f aca="false">((1-C$2)*C$3*EXP(-$E$2*(I53^$G$2)))+(C$2*C$3*EXP(-$E$3*I53))</f>
        <v>39.4772124626287</v>
      </c>
    </row>
    <row r="54" customFormat="false" ht="15" hidden="false" customHeight="false" outlineLevel="0" collapsed="false">
      <c r="B54" s="19"/>
      <c r="C54" s="19"/>
      <c r="D54" s="19"/>
      <c r="E54" s="19"/>
      <c r="F54" s="19"/>
      <c r="G54" s="19"/>
      <c r="H54" s="19"/>
      <c r="I54" s="6" t="n">
        <v>51</v>
      </c>
      <c r="J54" s="12" t="n">
        <f aca="false">((1-C$2)*C$3*EXP(-$E$2*(I54^$G$2)))+(C$2*C$3*EXP(-$E$3*I54))</f>
        <v>38.081393375779</v>
      </c>
    </row>
    <row r="55" customFormat="false" ht="15" hidden="false" customHeight="false" outlineLevel="0" collapsed="false">
      <c r="B55" s="19"/>
      <c r="C55" s="19"/>
      <c r="D55" s="19"/>
      <c r="E55" s="19"/>
      <c r="F55" s="19"/>
      <c r="G55" s="19"/>
      <c r="H55" s="19"/>
      <c r="I55" s="6" t="n">
        <v>52</v>
      </c>
      <c r="J55" s="12" t="n">
        <f aca="false">((1-C$2)*C$3*EXP(-$E$2*(I55^$G$2)))+(C$2*C$3*EXP(-$E$3*I55))</f>
        <v>36.734927087713</v>
      </c>
    </row>
    <row r="56" customFormat="false" ht="15" hidden="false" customHeight="false" outlineLevel="0" collapsed="false">
      <c r="B56" s="19"/>
      <c r="C56" s="19"/>
      <c r="D56" s="19"/>
      <c r="E56" s="19"/>
      <c r="F56" s="19"/>
      <c r="G56" s="19"/>
      <c r="H56" s="19"/>
      <c r="I56" s="6" t="n">
        <v>53</v>
      </c>
      <c r="J56" s="12" t="n">
        <f aca="false">((1-C$2)*C$3*EXP(-$E$2*(I56^$G$2)))+(C$2*C$3*EXP(-$E$3*I56))</f>
        <v>35.4360686024133</v>
      </c>
    </row>
    <row r="57" customFormat="false" ht="15" hidden="false" customHeight="false" outlineLevel="0" collapsed="false">
      <c r="B57" s="19"/>
      <c r="C57" s="19"/>
      <c r="D57" s="19"/>
      <c r="E57" s="19"/>
      <c r="F57" s="19"/>
      <c r="G57" s="19"/>
      <c r="H57" s="19"/>
      <c r="I57" s="6" t="n">
        <v>54</v>
      </c>
      <c r="J57" s="12" t="n">
        <f aca="false">((1-C$2)*C$3*EXP(-$E$2*(I57^$G$2)))+(C$2*C$3*EXP(-$E$3*I57))</f>
        <v>34.1831346227158</v>
      </c>
    </row>
    <row r="58" customFormat="false" ht="15" hidden="false" customHeight="false" outlineLevel="0" collapsed="false">
      <c r="B58" s="19"/>
      <c r="C58" s="19"/>
      <c r="D58" s="19"/>
      <c r="E58" s="19"/>
      <c r="F58" s="19"/>
      <c r="G58" s="19"/>
      <c r="H58" s="19"/>
      <c r="I58" s="6" t="n">
        <v>55</v>
      </c>
      <c r="J58" s="12" t="n">
        <f aca="false">((1-C$2)*C$3*EXP(-$E$2*(I58^$G$2)))+(C$2*C$3*EXP(-$E$3*I58))</f>
        <v>32.9745013687871</v>
      </c>
    </row>
    <row r="59" customFormat="false" ht="15" hidden="false" customHeight="false" outlineLevel="0" collapsed="false">
      <c r="B59" s="19"/>
      <c r="C59" s="19"/>
      <c r="D59" s="19"/>
      <c r="E59" s="19"/>
      <c r="F59" s="19"/>
      <c r="G59" s="19"/>
      <c r="H59" s="19"/>
      <c r="I59" s="6" t="n">
        <v>56</v>
      </c>
      <c r="J59" s="12" t="n">
        <f aca="false">((1-C$2)*C$3*EXP(-$E$2*(I59^$G$2)))+(C$2*C$3*EXP(-$E$3*I59))</f>
        <v>31.8086024737352</v>
      </c>
    </row>
    <row r="60" customFormat="false" ht="15" hidden="false" customHeight="false" outlineLevel="0" collapsed="false">
      <c r="B60" s="19"/>
      <c r="C60" s="19"/>
      <c r="D60" s="19"/>
      <c r="G60" s="19"/>
      <c r="H60" s="19"/>
      <c r="I60" s="6" t="n">
        <v>57</v>
      </c>
      <c r="J60" s="12" t="n">
        <f aca="false">((1-C$2)*C$3*EXP(-$E$2*(I60^$G$2)))+(C$2*C$3*EXP(-$E$3*I60))</f>
        <v>30.6839269536263</v>
      </c>
    </row>
    <row r="61" customFormat="false" ht="15" hidden="false" customHeight="false" outlineLevel="0" collapsed="false">
      <c r="B61" s="19"/>
      <c r="C61" s="19"/>
      <c r="D61" s="19"/>
      <c r="G61" s="19"/>
      <c r="H61" s="19"/>
      <c r="I61" s="6" t="n">
        <v>58</v>
      </c>
      <c r="J61" s="12" t="n">
        <f aca="false">((1-C$2)*C$3*EXP(-$E$2*(I61^$G$2)))+(C$2*C$3*EXP(-$E$3*I61))</f>
        <v>29.5990172492768</v>
      </c>
    </row>
    <row r="62" customFormat="false" ht="15" hidden="false" customHeight="false" outlineLevel="0" collapsed="false">
      <c r="G62" s="19"/>
      <c r="H62" s="19"/>
      <c r="I62" s="6" t="n">
        <v>59</v>
      </c>
      <c r="J62" s="12" t="n">
        <f aca="false">((1-C$2)*C$3*EXP(-$E$2*(I62^$G$2)))+(C$2*C$3*EXP(-$E$3*I62))</f>
        <v>28.5524673372827</v>
      </c>
    </row>
    <row r="63" customFormat="false" ht="15" hidden="false" customHeight="false" outlineLevel="0" collapsed="false">
      <c r="G63" s="19"/>
      <c r="H63" s="19"/>
      <c r="I63" s="6" t="n">
        <v>60</v>
      </c>
      <c r="J63" s="12" t="n">
        <f aca="false">((1-C$2)*C$3*EXP(-$E$2*(I63^$G$2)))+(C$2*C$3*EXP(-$E$3*I63))</f>
        <v>27.5429209078391</v>
      </c>
    </row>
    <row r="64" customFormat="false" ht="15" hidden="false" customHeight="false" outlineLevel="0" collapsed="false">
      <c r="G64" s="19"/>
      <c r="H64" s="19"/>
      <c r="I64" s="6" t="n">
        <v>61</v>
      </c>
      <c r="J64" s="12" t="n">
        <f aca="false">((1-C$2)*C$3*EXP(-$E$2*(I64^$G$2)))+(C$2*C$3*EXP(-$E$3*I64))</f>
        <v>26.5690696069867</v>
      </c>
    </row>
    <row r="65" customFormat="false" ht="15" hidden="false" customHeight="false" outlineLevel="0" collapsed="false">
      <c r="G65" s="19"/>
      <c r="H65" s="19"/>
      <c r="I65" s="6" t="n">
        <v>62</v>
      </c>
      <c r="J65" s="12" t="n">
        <f aca="false">((1-C$2)*C$3*EXP(-$E$2*(I65^$G$2)))+(C$2*C$3*EXP(-$E$3*I65))</f>
        <v>25.6296513410092</v>
      </c>
    </row>
    <row r="66" customFormat="false" ht="15" hidden="false" customHeight="false" outlineLevel="0" collapsed="false">
      <c r="G66" s="19"/>
      <c r="H66" s="19"/>
      <c r="I66" s="6" t="n">
        <v>63</v>
      </c>
      <c r="J66" s="12" t="n">
        <f aca="false">((1-C$2)*C$3*EXP(-$E$2*(I66^$G$2)))+(C$2*C$3*EXP(-$E$3*I66))</f>
        <v>24.7234486407817</v>
      </c>
    </row>
    <row r="67" customFormat="false" ht="15" hidden="false" customHeight="false" outlineLevel="0" collapsed="false">
      <c r="G67" s="19"/>
      <c r="H67" s="19"/>
      <c r="I67" s="6" t="n">
        <v>64</v>
      </c>
      <c r="J67" s="12" t="n">
        <f aca="false">((1-C$2)*C$3*EXP(-$E$2*(I67^$G$2)))+(C$2*C$3*EXP(-$E$3*I67))</f>
        <v>23.849287083954</v>
      </c>
    </row>
    <row r="68" customFormat="false" ht="15" hidden="false" customHeight="false" outlineLevel="0" collapsed="false">
      <c r="G68" s="19"/>
      <c r="H68" s="19"/>
      <c r="I68" s="6" t="n">
        <v>65</v>
      </c>
      <c r="J68" s="12" t="n">
        <f aca="false">((1-C$2)*C$3*EXP(-$E$2*(I68^$G$2)))+(C$2*C$3*EXP(-$E$3*I68))</f>
        <v>23.006033772919</v>
      </c>
    </row>
    <row r="69" customFormat="false" ht="15" hidden="false" customHeight="false" outlineLevel="0" collapsed="false">
      <c r="G69" s="19"/>
      <c r="H69" s="19"/>
      <c r="I69" s="6" t="n">
        <v>66</v>
      </c>
      <c r="J69" s="12" t="n">
        <f aca="false">((1-C$2)*C$3*EXP(-$E$2*(I69^$G$2)))+(C$2*C$3*EXP(-$E$3*I69))</f>
        <v>22.192595866599</v>
      </c>
    </row>
    <row r="70" customFormat="false" ht="15" hidden="false" customHeight="false" outlineLevel="0" collapsed="false">
      <c r="G70" s="19"/>
      <c r="H70" s="19"/>
      <c r="I70" s="6" t="n">
        <v>67</v>
      </c>
      <c r="J70" s="12" t="n">
        <f aca="false">((1-C$2)*C$3*EXP(-$E$2*(I70^$G$2)))+(C$2*C$3*EXP(-$E$3*I70))</f>
        <v>21.4079191641427</v>
      </c>
    </row>
    <row r="71" customFormat="false" ht="15" hidden="false" customHeight="false" outlineLevel="0" collapsed="false">
      <c r="G71" s="19"/>
      <c r="H71" s="19"/>
      <c r="I71" s="6" t="n">
        <v>68</v>
      </c>
      <c r="J71" s="12" t="n">
        <f aca="false">((1-C$2)*C$3*EXP(-$E$2*(I71^$G$2)))+(C$2*C$3*EXP(-$E$3*I71))</f>
        <v>20.6509867387002</v>
      </c>
    </row>
    <row r="72" customFormat="false" ht="15" hidden="false" customHeight="false" outlineLevel="0" collapsed="false">
      <c r="G72" s="19"/>
      <c r="H72" s="19"/>
      <c r="I72" s="6" t="n">
        <v>69</v>
      </c>
      <c r="J72" s="12" t="n">
        <f aca="false">((1-C$2)*C$3*EXP(-$E$2*(I72^$G$2)))+(C$2*C$3*EXP(-$E$3*I72))</f>
        <v>19.920817619504</v>
      </c>
    </row>
    <row r="73" customFormat="false" ht="15" hidden="false" customHeight="false" outlineLevel="0" collapsed="false">
      <c r="G73" s="19"/>
      <c r="H73" s="19"/>
      <c r="I73" s="6" t="n">
        <v>70</v>
      </c>
      <c r="J73" s="12" t="n">
        <f aca="false">((1-C$2)*C$3*EXP(-$E$2*(I73^$G$2)))+(C$2*C$3*EXP(-$E$3*I73))</f>
        <v>19.2164655205487</v>
      </c>
    </row>
    <row r="74" customFormat="false" ht="15" hidden="false" customHeight="false" outlineLevel="0" collapsed="false">
      <c r="G74" s="19"/>
      <c r="H74" s="19"/>
      <c r="I74" s="19" t="n">
        <f aca="false">I73+1</f>
        <v>71</v>
      </c>
      <c r="J74" s="12" t="n">
        <f aca="false">((1-C$2)*C$3*EXP(-$E$2*(I74^$G$2)))+(C$2*C$3*EXP(-$E$3*I74))</f>
        <v>18.5370176142214</v>
      </c>
    </row>
    <row r="75" customFormat="false" ht="15" hidden="false" customHeight="false" outlineLevel="0" collapsed="false">
      <c r="G75" s="19"/>
      <c r="H75" s="19"/>
      <c r="I75" s="19" t="n">
        <f aca="false">I74+1</f>
        <v>72</v>
      </c>
      <c r="J75" s="12" t="n">
        <f aca="false">((1-C$2)*C$3*EXP(-$E$2*(I75^$G$2)))+(C$2*C$3*EXP(-$E$3*I75))</f>
        <v>17.8815933482934</v>
      </c>
    </row>
    <row r="76" customFormat="false" ht="15" hidden="false" customHeight="false" outlineLevel="0" collapsed="false">
      <c r="I76" s="19" t="n">
        <f aca="false">I75+1</f>
        <v>73</v>
      </c>
      <c r="J76" s="12" t="n">
        <f aca="false">((1-C$2)*C$3*EXP(-$E$2*(I76^$G$2)))+(C$2*C$3*EXP(-$E$3*I76))</f>
        <v>17.2493433047408</v>
      </c>
    </row>
    <row r="77" customFormat="false" ht="15" hidden="false" customHeight="false" outlineLevel="0" collapsed="false">
      <c r="I77" s="19" t="n">
        <f aca="false">I76+1</f>
        <v>74</v>
      </c>
      <c r="J77" s="12" t="n">
        <f aca="false">((1-C$2)*C$3*EXP(-$E$2*(I77^$G$2)))+(C$2*C$3*EXP(-$E$3*I77))</f>
        <v>16.6394480989135</v>
      </c>
    </row>
    <row r="78" customFormat="false" ht="15" hidden="false" customHeight="false" outlineLevel="0" collapsed="false">
      <c r="I78" s="19" t="n">
        <f aca="false">I77+1</f>
        <v>75</v>
      </c>
      <c r="J78" s="12" t="n">
        <f aca="false">((1-C$2)*C$3*EXP(-$E$2*(I78^$G$2)))+(C$2*C$3*EXP(-$E$3*I78))</f>
        <v>16.0511173176281</v>
      </c>
    </row>
    <row r="79" customFormat="false" ht="15" hidden="false" customHeight="false" outlineLevel="0" collapsed="false">
      <c r="I79" s="19" t="n">
        <f aca="false">I78+1</f>
        <v>76</v>
      </c>
      <c r="J79" s="12" t="n">
        <f aca="false">((1-C$2)*C$3*EXP(-$E$2*(I79^$G$2)))+(C$2*C$3*EXP(-$E$3*I79))</f>
        <v>15.4835884948061</v>
      </c>
    </row>
    <row r="80" customFormat="false" ht="15" hidden="false" customHeight="false" outlineLevel="0" collapsed="false">
      <c r="I80" s="19" t="n">
        <f aca="false">I79+1</f>
        <v>77</v>
      </c>
      <c r="J80" s="12" t="n">
        <f aca="false">((1-C$2)*C$3*EXP(-$E$2*(I80^$G$2)))+(C$2*C$3*EXP(-$E$3*I80))</f>
        <v>14.936126123332</v>
      </c>
    </row>
    <row r="81" customFormat="false" ht="15" hidden="false" customHeight="false" outlineLevel="0" collapsed="false">
      <c r="I81" s="19" t="n">
        <f aca="false">I80+1</f>
        <v>78</v>
      </c>
      <c r="J81" s="12" t="n">
        <f aca="false">((1-C$2)*C$3*EXP(-$E$2*(I81^$G$2)))+(C$2*C$3*EXP(-$E$3*I81))</f>
        <v>14.4080207018492</v>
      </c>
    </row>
    <row r="82" customFormat="false" ht="15" hidden="false" customHeight="false" outlineLevel="0" collapsed="false">
      <c r="I82" s="19" t="n">
        <f aca="false">I81+1</f>
        <v>79</v>
      </c>
      <c r="J82" s="12" t="n">
        <f aca="false">((1-C$2)*C$3*EXP(-$E$2*(I82^$G$2)))+(C$2*C$3*EXP(-$E$3*I82))</f>
        <v>13.8985878152591</v>
      </c>
    </row>
    <row r="83" customFormat="false" ht="15" hidden="false" customHeight="false" outlineLevel="0" collapsed="false">
      <c r="I83" s="19" t="n">
        <f aca="false">I82+1</f>
        <v>80</v>
      </c>
      <c r="J83" s="12" t="n">
        <f aca="false">((1-C$2)*C$3*EXP(-$E$2*(I83^$G$2)))+(C$2*C$3*EXP(-$E$3*I83))</f>
        <v>13.4071672477314</v>
      </c>
    </row>
    <row r="84" customFormat="false" ht="15" hidden="false" customHeight="false" outlineLevel="0" collapsed="false">
      <c r="I84" s="19" t="n">
        <f aca="false">I83+1</f>
        <v>81</v>
      </c>
      <c r="J84" s="12" t="n">
        <f aca="false">((1-C$2)*C$3*EXP(-$E$2*(I84^$G$2)))+(C$2*C$3*EXP(-$E$3*I84))</f>
        <v>12.9331221270764</v>
      </c>
    </row>
    <row r="85" customFormat="false" ht="15" hidden="false" customHeight="false" outlineLevel="0" collapsed="false">
      <c r="I85" s="19" t="n">
        <f aca="false">I84+1</f>
        <v>82</v>
      </c>
      <c r="J85" s="12" t="n">
        <f aca="false">((1-C$2)*C$3*EXP(-$E$2*(I85^$G$2)))+(C$2*C$3*EXP(-$E$3*I85))</f>
        <v>12.47583809937</v>
      </c>
    </row>
    <row r="86" customFormat="false" ht="15" hidden="false" customHeight="false" outlineLevel="0" collapsed="false">
      <c r="I86" s="19" t="n">
        <f aca="false">I85+1</f>
        <v>83</v>
      </c>
      <c r="J86" s="12" t="n">
        <f aca="false">((1-C$2)*C$3*EXP(-$E$2*(I86^$G$2)))+(C$2*C$3*EXP(-$E$3*I86))</f>
        <v>12.0347225327622</v>
      </c>
    </row>
    <row r="87" customFormat="false" ht="15" hidden="false" customHeight="false" outlineLevel="0" collapsed="false">
      <c r="I87" s="19" t="n">
        <f aca="false">I86+1</f>
        <v>84</v>
      </c>
      <c r="J87" s="12" t="n">
        <f aca="false">((1-C$2)*C$3*EXP(-$E$2*(I87^$G$2)))+(C$2*C$3*EXP(-$E$3*I87))</f>
        <v>11.6092037494369</v>
      </c>
    </row>
    <row r="88" customFormat="false" ht="15" hidden="false" customHeight="false" outlineLevel="0" collapsed="false">
      <c r="I88" s="19" t="n">
        <f aca="false">I87+1</f>
        <v>85</v>
      </c>
      <c r="J88" s="12" t="n">
        <f aca="false">((1-C$2)*C$3*EXP(-$E$2*(I88^$G$2)))+(C$2*C$3*EXP(-$E$3*I88))</f>
        <v>11.1987302847279</v>
      </c>
    </row>
    <row r="89" customFormat="false" ht="15" hidden="false" customHeight="false" outlineLevel="0" collapsed="false">
      <c r="I89" s="19" t="n">
        <f aca="false">I88+1</f>
        <v>86</v>
      </c>
      <c r="J89" s="12" t="n">
        <f aca="false">((1-C$2)*C$3*EXP(-$E$2*(I89^$G$2)))+(C$2*C$3*EXP(-$E$3*I89))</f>
        <v>10.8027701724301</v>
      </c>
    </row>
    <row r="90" customFormat="false" ht="15" hidden="false" customHeight="false" outlineLevel="0" collapsed="false">
      <c r="I90" s="19" t="n">
        <f aca="false">I89+1</f>
        <v>87</v>
      </c>
      <c r="J90" s="12" t="n">
        <f aca="false">((1-C$2)*C$3*EXP(-$E$2*(I90^$G$2)))+(C$2*C$3*EXP(-$E$3*I90))</f>
        <v>10.4208102553816</v>
      </c>
    </row>
    <row r="91" customFormat="false" ht="15" hidden="false" customHeight="false" outlineLevel="0" collapsed="false">
      <c r="I91" s="19" t="n">
        <f aca="false">I90+1</f>
        <v>88</v>
      </c>
      <c r="J91" s="12" t="n">
        <f aca="false">((1-C$2)*C$3*EXP(-$E$2*(I91^$G$2)))+(C$2*C$3*EXP(-$E$3*I91))</f>
        <v>10.052355520421</v>
      </c>
    </row>
    <row r="92" customFormat="false" ht="15" hidden="false" customHeight="false" outlineLevel="0" collapsed="false">
      <c r="I92" s="19" t="n">
        <f aca="false">I91+1</f>
        <v>89</v>
      </c>
      <c r="J92" s="12" t="n">
        <f aca="false">((1-C$2)*C$3*EXP(-$E$2*(I92^$G$2)))+(C$2*C$3*EXP(-$E$3*I92))</f>
        <v>9.69692845685909</v>
      </c>
    </row>
    <row r="93" customFormat="false" ht="15" hidden="false" customHeight="false" outlineLevel="0" collapsed="false">
      <c r="I93" s="19" t="n">
        <f aca="false">I92+1</f>
        <v>90</v>
      </c>
      <c r="J93" s="12" t="n">
        <f aca="false">((1-C$2)*C$3*EXP(-$E$2*(I93^$G$2)))+(C$2*C$3*EXP(-$E$3*I93))</f>
        <v>9.35406843763373</v>
      </c>
    </row>
    <row r="94" customFormat="false" ht="15" hidden="false" customHeight="false" outlineLevel="0" collapsed="false">
      <c r="I94" s="19" t="n">
        <f aca="false">I93+1</f>
        <v>91</v>
      </c>
      <c r="J94" s="20" t="n">
        <f aca="false">((1-C$2)*C$3*EXP(-$E$2*(I94^$G$2)))+(C$2*C$3*EXP(-$E$3*I94))</f>
        <v>9.02333112234562</v>
      </c>
    </row>
    <row r="95" customFormat="false" ht="15" hidden="false" customHeight="false" outlineLevel="0" collapsed="false">
      <c r="I95" s="19" t="n">
        <f aca="false">I94+1</f>
        <v>92</v>
      </c>
      <c r="J95" s="20" t="n">
        <f aca="false">((1-C$2)*C$3*EXP(-$E$2*(I95^$G$2)))+(C$2*C$3*EXP(-$E$3*I95))</f>
        <v>8.70428788140102</v>
      </c>
    </row>
    <row r="96" customFormat="false" ht="15" hidden="false" customHeight="false" outlineLevel="0" collapsed="false">
      <c r="I96" s="19" t="n">
        <f aca="false">I95+1</f>
        <v>93</v>
      </c>
      <c r="J96" s="20" t="n">
        <f aca="false">((1-C$2)*C$3*EXP(-$E$2*(I96^$G$2)))+(C$2*C$3*EXP(-$E$3*I96))</f>
        <v>8.39652524051557</v>
      </c>
    </row>
    <row r="97" customFormat="false" ht="15" hidden="false" customHeight="false" outlineLevel="0" collapsed="false">
      <c r="I97" s="19" t="n">
        <f aca="false">I96+1</f>
        <v>94</v>
      </c>
      <c r="J97" s="20" t="n">
        <f aca="false">((1-C$2)*C$3*EXP(-$E$2*(I97^$G$2)))+(C$2*C$3*EXP(-$E$3*I97))</f>
        <v>8.09964434485907</v>
      </c>
    </row>
    <row r="98" customFormat="false" ht="15" hidden="false" customHeight="false" outlineLevel="0" collapsed="false">
      <c r="I98" s="19" t="n">
        <f aca="false">I97+1</f>
        <v>95</v>
      </c>
      <c r="J98" s="20" t="n">
        <f aca="false">((1-C$2)*C$3*EXP(-$E$2*(I98^$G$2)))+(C$2*C$3*EXP(-$E$3*I98))</f>
        <v>7.8132604421468</v>
      </c>
    </row>
    <row r="99" customFormat="false" ht="15" hidden="false" customHeight="false" outlineLevel="0" collapsed="false">
      <c r="I99" s="19" t="n">
        <f aca="false">I98+1</f>
        <v>96</v>
      </c>
      <c r="J99" s="20" t="n">
        <f aca="false">((1-C$2)*C$3*EXP(-$E$2*(I99^$G$2)))+(C$2*C$3*EXP(-$E$3*I99))</f>
        <v>7.53700238400754</v>
      </c>
    </row>
    <row r="100" customFormat="false" ht="15" hidden="false" customHeight="false" outlineLevel="0" collapsed="false">
      <c r="I100" s="19" t="n">
        <f aca="false">I99+1</f>
        <v>97</v>
      </c>
      <c r="J100" s="20" t="n">
        <f aca="false">((1-C$2)*C$3*EXP(-$E$2*(I100^$G$2)))+(C$2*C$3*EXP(-$E$3*I100))</f>
        <v>7.27051214498195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&amp;C_x005F_x000D_&amp;1#&amp;"Default,Regular"&amp;10&amp;Kd89b2b Confidential - Company Proprietary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23.57"/>
    <col collapsed="false" customWidth="true" hidden="false" outlineLevel="0" max="4" min="4" style="0" width="24.42"/>
  </cols>
  <sheetData>
    <row r="2" customFormat="false" ht="15" hidden="false" customHeight="false" outlineLevel="0" collapsed="false">
      <c r="B2" s="1" t="s">
        <v>0</v>
      </c>
      <c r="C2" s="2" t="n">
        <v>0.0548128958352532</v>
      </c>
      <c r="D2" s="3" t="s">
        <v>1</v>
      </c>
      <c r="E2" s="4" t="n">
        <v>0.0181612921560478</v>
      </c>
      <c r="F2" s="3" t="s">
        <v>2</v>
      </c>
      <c r="G2" s="5" t="n">
        <v>1.60139875530601</v>
      </c>
      <c r="I2" s="6" t="s">
        <v>3</v>
      </c>
      <c r="J2" s="6" t="s">
        <v>4</v>
      </c>
    </row>
    <row r="3" customFormat="false" ht="15" hidden="false" customHeight="false" outlineLevel="0" collapsed="false">
      <c r="B3" s="7" t="s">
        <v>5</v>
      </c>
      <c r="C3" s="8" t="n">
        <f aca="false">(B6+B12)/2</f>
        <v>110000</v>
      </c>
      <c r="D3" s="9" t="s">
        <v>6</v>
      </c>
      <c r="E3" s="10" t="n">
        <v>0.0311031166357668</v>
      </c>
      <c r="F3" s="9"/>
      <c r="G3" s="11"/>
      <c r="I3" s="6" t="n">
        <v>0</v>
      </c>
      <c r="J3" s="12" t="n">
        <f aca="false">((1-C$2)*C$3*EXP(-$E$2*(I3^$G$2)))+(C$2*C$3*EXP(-$E$3*I3))</f>
        <v>110000</v>
      </c>
    </row>
    <row r="4" customFormat="false" ht="15" hidden="false" customHeight="false" outlineLevel="0" collapsed="false">
      <c r="I4" s="6" t="n">
        <v>1</v>
      </c>
      <c r="J4" s="12" t="n">
        <f aca="false">((1-C$2)*C$3*EXP(-$E$2*(I4^$G$2)))+(C$2*C$3*EXP(-$E$3*I4))</f>
        <v>107944.155733791</v>
      </c>
    </row>
    <row r="5" customFormat="false" ht="15" hidden="false" customHeight="false" outlineLevel="0" collapsed="false">
      <c r="B5" s="13" t="s">
        <v>7</v>
      </c>
      <c r="C5" s="14" t="s">
        <v>8</v>
      </c>
      <c r="D5" s="14" t="s">
        <v>9</v>
      </c>
      <c r="E5" s="15"/>
      <c r="I5" s="6" t="n">
        <v>2</v>
      </c>
      <c r="J5" s="12" t="n">
        <f aca="false">((1-C$2)*C$3*EXP(-$E$2*(I5^$G$2)))+(C$2*C$3*EXP(-$E$3*I5))</f>
        <v>104061.748119339</v>
      </c>
    </row>
    <row r="6" customFormat="false" ht="15" hidden="false" customHeight="false" outlineLevel="0" collapsed="false">
      <c r="B6" s="16" t="n">
        <v>124000</v>
      </c>
      <c r="C6" s="17" t="n">
        <v>0</v>
      </c>
      <c r="D6" s="16" t="n">
        <v>110000</v>
      </c>
      <c r="E6" s="15"/>
      <c r="I6" s="6" t="n">
        <v>3</v>
      </c>
      <c r="J6" s="12" t="n">
        <f aca="false">((1-C$2)*C$3*EXP(-$E$2*(I6^$G$2)))+(C$2*C$3*EXP(-$E$3*I6))</f>
        <v>99053.7473868232</v>
      </c>
    </row>
    <row r="7" customFormat="false" ht="15" hidden="false" customHeight="false" outlineLevel="0" collapsed="false">
      <c r="B7" s="16" t="n">
        <v>96000</v>
      </c>
      <c r="C7" s="17" t="n">
        <v>1.60039589057475</v>
      </c>
      <c r="D7" s="16" t="n">
        <v>105773.898668946</v>
      </c>
      <c r="E7" s="15"/>
      <c r="I7" s="6" t="n">
        <v>4</v>
      </c>
      <c r="J7" s="12" t="n">
        <f aca="false">((1-C$2)*C$3*EXP(-$E$2*(I7^$G$2)))+(C$2*C$3*EXP(-$E$3*I7))</f>
        <v>93284.696093834</v>
      </c>
    </row>
    <row r="8" customFormat="false" ht="15" hidden="false" customHeight="false" outlineLevel="0" collapsed="false">
      <c r="B8" s="16" t="n">
        <v>82000</v>
      </c>
      <c r="C8" s="17" t="n">
        <v>4.75741633861786</v>
      </c>
      <c r="D8" s="16" t="n">
        <v>88576.4379133053</v>
      </c>
      <c r="E8" s="15"/>
      <c r="I8" s="6" t="n">
        <v>5</v>
      </c>
      <c r="J8" s="12" t="n">
        <f aca="false">((1-C$2)*C$3*EXP(-$E$2*(I8^$G$2)))+(C$2*C$3*EXP(-$E$3*I8))</f>
        <v>87025.4684097815</v>
      </c>
    </row>
    <row r="9" customFormat="false" ht="15" hidden="false" customHeight="false" outlineLevel="0" collapsed="false">
      <c r="B9" s="16" t="n">
        <v>58000</v>
      </c>
      <c r="C9" s="17" t="n">
        <v>7.85696111719723</v>
      </c>
      <c r="D9" s="16" t="n">
        <v>68229.4467626885</v>
      </c>
      <c r="E9" s="15"/>
      <c r="I9" s="6" t="n">
        <v>6</v>
      </c>
      <c r="J9" s="12" t="n">
        <f aca="false">((1-C$2)*C$3*EXP(-$E$2*(I9^$G$2)))+(C$2*C$3*EXP(-$E$3*I9))</f>
        <v>80494.0310237178</v>
      </c>
    </row>
    <row r="10" customFormat="false" ht="15" hidden="false" customHeight="false" outlineLevel="0" collapsed="false">
      <c r="B10" s="16" t="n">
        <v>47000</v>
      </c>
      <c r="C10" s="17" t="n">
        <v>15.3611871026567</v>
      </c>
      <c r="D10" s="16" t="n">
        <v>28313.6442200667</v>
      </c>
      <c r="E10" s="15"/>
      <c r="I10" s="6" t="n">
        <v>7</v>
      </c>
      <c r="J10" s="12" t="n">
        <f aca="false">((1-C$2)*C$3*EXP(-$E$2*(I10^$G$2)))+(C$2*C$3*EXP(-$E$3*I10))</f>
        <v>73869.2786124059</v>
      </c>
    </row>
    <row r="11" customFormat="false" ht="15" hidden="false" customHeight="false" outlineLevel="0" collapsed="false">
      <c r="B11" s="16" t="n">
        <v>1760</v>
      </c>
      <c r="C11" s="17" t="n">
        <v>42.1569836596603</v>
      </c>
      <c r="D11" s="16" t="n">
        <v>1697.65309743168</v>
      </c>
      <c r="E11" s="15"/>
      <c r="I11" s="6" t="n">
        <v>8</v>
      </c>
      <c r="J11" s="12" t="n">
        <f aca="false">((1-C$2)*C$3*EXP(-$E$2*(I11^$G$2)))+(C$2*C$3*EXP(-$E$3*I11))</f>
        <v>67297.3974139736</v>
      </c>
    </row>
    <row r="12" customFormat="false" ht="15" hidden="false" customHeight="false" outlineLevel="0" collapsed="false">
      <c r="B12" s="16" t="n">
        <v>96000</v>
      </c>
      <c r="C12" s="17" t="n">
        <v>0</v>
      </c>
      <c r="D12" s="16" t="n">
        <v>110000</v>
      </c>
      <c r="E12" s="15"/>
      <c r="I12" s="6" t="n">
        <v>9</v>
      </c>
      <c r="J12" s="12" t="n">
        <f aca="false">((1-C$2)*C$3*EXP(-$E$2*(I12^$G$2)))+(C$2*C$3*EXP(-$E$3*I12))</f>
        <v>60895.7267713058</v>
      </c>
    </row>
    <row r="13" customFormat="false" ht="15" hidden="false" customHeight="false" outlineLevel="0" collapsed="false">
      <c r="B13" s="16" t="n">
        <v>92000</v>
      </c>
      <c r="C13" s="17" t="n">
        <v>3.44475137706018</v>
      </c>
      <c r="D13" s="16" t="n">
        <v>96564.331752846</v>
      </c>
      <c r="E13" s="15"/>
      <c r="I13" s="6" t="n">
        <v>10</v>
      </c>
      <c r="J13" s="12" t="n">
        <f aca="false">((1-C$2)*C$3*EXP(-$E$2*(I13^$G$2)))+(C$2*C$3*EXP(-$E$3*I13))</f>
        <v>54755.7644817471</v>
      </c>
    </row>
    <row r="14" customFormat="false" ht="15" hidden="false" customHeight="false" outlineLevel="0" collapsed="false">
      <c r="B14" s="16" t="n">
        <v>54000</v>
      </c>
      <c r="C14" s="17" t="n">
        <v>10.2839595674637</v>
      </c>
      <c r="D14" s="16" t="n">
        <v>53069.9950687657</v>
      </c>
      <c r="E14" s="15"/>
      <c r="I14" s="6" t="n">
        <v>11</v>
      </c>
      <c r="J14" s="12" t="n">
        <f aca="false">((1-C$2)*C$3*EXP(-$E$2*(I14^$G$2)))+(C$2*C$3*EXP(-$E$3*I14))</f>
        <v>48945.9134992174</v>
      </c>
    </row>
    <row r="15" customFormat="false" ht="15" hidden="false" customHeight="false" outlineLevel="0" collapsed="false">
      <c r="B15" s="16" t="n">
        <v>15750</v>
      </c>
      <c r="C15" s="17" t="n">
        <v>17.0566520577023</v>
      </c>
      <c r="D15" s="16" t="n">
        <v>22433.0762870079</v>
      </c>
      <c r="I15" s="6" t="n">
        <v>12</v>
      </c>
      <c r="J15" s="12" t="n">
        <f aca="false">((1-C$2)*C$3*EXP(-$E$2*(I15^$G$2)))+(C$2*C$3*EXP(-$E$3*I15))</f>
        <v>43514.1734866282</v>
      </c>
    </row>
    <row r="16" customFormat="false" ht="15" hidden="false" customHeight="false" outlineLevel="0" collapsed="false">
      <c r="B16" s="16" t="n">
        <v>2650</v>
      </c>
      <c r="C16" s="17" t="n">
        <v>33.7016069605542</v>
      </c>
      <c r="D16" s="16" t="n">
        <v>2762.92692335128</v>
      </c>
      <c r="I16" s="6" t="n">
        <v>13</v>
      </c>
      <c r="J16" s="12" t="n">
        <f aca="false">((1-C$2)*C$3*EXP(-$E$2*(I16^$G$2)))+(C$2*C$3*EXP(-$E$3*I16))</f>
        <v>38490.8187541068</v>
      </c>
    </row>
    <row r="17" customFormat="false" ht="15" hidden="false" customHeight="false" outlineLevel="0" collapsed="false">
      <c r="B17" s="16" t="n">
        <v>300</v>
      </c>
      <c r="C17" s="17" t="n">
        <v>96.3596348614606</v>
      </c>
      <c r="D17" s="16" t="n">
        <v>301.06340666231</v>
      </c>
      <c r="I17" s="6" t="n">
        <v>14</v>
      </c>
      <c r="J17" s="12" t="n">
        <f aca="false">((1-C$2)*C$3*EXP(-$E$2*(I17^$G$2)))+(C$2*C$3*EXP(-$E$3*I17))</f>
        <v>33891.0373596217</v>
      </c>
    </row>
    <row r="18" customFormat="false" ht="15" hidden="false" customHeight="false" outlineLevel="0" collapsed="false">
      <c r="B18" s="15"/>
      <c r="C18" s="18"/>
      <c r="D18" s="15"/>
      <c r="I18" s="6" t="n">
        <v>15</v>
      </c>
      <c r="J18" s="12" t="n">
        <f aca="false">((1-C$2)*C$3*EXP(-$E$2*(I18^$G$2)))+(C$2*C$3*EXP(-$E$3*I18))</f>
        <v>29717.4825437928</v>
      </c>
    </row>
    <row r="19" customFormat="false" ht="15" hidden="false" customHeight="false" outlineLevel="0" collapsed="false">
      <c r="B19" s="15"/>
      <c r="C19" s="18"/>
      <c r="D19" s="15"/>
      <c r="I19" s="6" t="n">
        <v>16</v>
      </c>
      <c r="J19" s="12" t="n">
        <f aca="false">((1-C$2)*C$3*EXP(-$E$2*(I19^$G$2)))+(C$2*C$3*EXP(-$E$3*I19))</f>
        <v>25962.6847492574</v>
      </c>
    </row>
    <row r="20" customFormat="false" ht="15" hidden="false" customHeight="false" outlineLevel="0" collapsed="false">
      <c r="C20" s="18"/>
      <c r="D20" s="15"/>
      <c r="I20" s="6" t="n">
        <v>17</v>
      </c>
      <c r="J20" s="12" t="n">
        <f aca="false">((1-C$2)*C$3*EXP(-$E$2*(I20^$G$2)))+(C$2*C$3*EXP(-$E$3*I20))</f>
        <v>22611.2794640365</v>
      </c>
    </row>
    <row r="21" customFormat="false" ht="15" hidden="false" customHeight="false" outlineLevel="0" collapsed="false">
      <c r="I21" s="6" t="n">
        <v>18</v>
      </c>
      <c r="J21" s="12" t="n">
        <f aca="false">((1-C$2)*C$3*EXP(-$E$2*(I21^$G$2)))+(C$2*C$3*EXP(-$E$3*I21))</f>
        <v>19642.0174164213</v>
      </c>
    </row>
    <row r="22" customFormat="false" ht="15" hidden="false" customHeight="false" outlineLevel="0" collapsed="false">
      <c r="I22" s="6" t="n">
        <v>19</v>
      </c>
      <c r="J22" s="12" t="n">
        <f aca="false">((1-C$2)*C$3*EXP(-$E$2*(I22^$G$2)))+(C$2*C$3*EXP(-$E$3*I22))</f>
        <v>17029.5361454174</v>
      </c>
    </row>
    <row r="23" customFormat="false" ht="15" hidden="false" customHeight="false" outlineLevel="0" collapsed="false">
      <c r="I23" s="6" t="n">
        <v>20</v>
      </c>
      <c r="J23" s="12" t="n">
        <f aca="false">((1-C$2)*C$3*EXP(-$E$2*(I23^$G$2)))+(C$2*C$3*EXP(-$E$3*I23))</f>
        <v>14745.8839392611</v>
      </c>
    </row>
    <row r="24" customFormat="false" ht="15" hidden="false" customHeight="false" outlineLevel="0" collapsed="false">
      <c r="I24" s="6" t="n">
        <v>21</v>
      </c>
      <c r="J24" s="12" t="n">
        <f aca="false">((1-C$2)*C$3*EXP(-$E$2*(I24^$G$2)))+(C$2*C$3*EXP(-$E$3*I24))</f>
        <v>12761.7976286847</v>
      </c>
    </row>
    <row r="25" customFormat="false" ht="15" hidden="false" customHeight="false" outlineLevel="0" collapsed="false">
      <c r="I25" s="6" t="n">
        <v>22</v>
      </c>
      <c r="J25" s="12" t="n">
        <f aca="false">((1-C$2)*C$3*EXP(-$E$2*(I25^$G$2)))+(C$2*C$3*EXP(-$E$3*I25))</f>
        <v>11047.7442859346</v>
      </c>
    </row>
    <row r="26" customFormat="false" ht="15" hidden="false" customHeight="false" outlineLevel="0" collapsed="false">
      <c r="I26" s="6" t="n">
        <v>23</v>
      </c>
      <c r="J26" s="12" t="n">
        <f aca="false">((1-C$2)*C$3*EXP(-$E$2*(I26^$G$2)))+(C$2*C$3*EXP(-$E$3*I26))</f>
        <v>9574.74337501715</v>
      </c>
    </row>
    <row r="27" customFormat="false" ht="15" hidden="false" customHeight="false" outlineLevel="0" collapsed="false">
      <c r="I27" s="6" t="n">
        <v>24</v>
      </c>
      <c r="J27" s="12" t="n">
        <f aca="false">((1-C$2)*C$3*EXP(-$E$2*(I27^$G$2)))+(C$2*C$3*EXP(-$E$3*I27))</f>
        <v>8314.99038648421</v>
      </c>
    </row>
    <row r="28" customFormat="false" ht="15" hidden="false" customHeight="false" outlineLevel="0" collapsed="false">
      <c r="I28" s="6" t="n">
        <v>25</v>
      </c>
      <c r="J28" s="12" t="n">
        <f aca="false">((1-C$2)*C$3*EXP(-$E$2*(I28^$G$2)))+(C$2*C$3*EXP(-$E$3*I28))</f>
        <v>7242.30566066869</v>
      </c>
    </row>
    <row r="29" customFormat="false" ht="15" hidden="false" customHeight="false" outlineLevel="0" collapsed="false">
      <c r="I29" s="6" t="n">
        <v>26</v>
      </c>
      <c r="J29" s="12" t="n">
        <f aca="false">((1-C$2)*C$3*EXP(-$E$2*(I29^$G$2)))+(C$2*C$3*EXP(-$E$3*I29))</f>
        <v>6332.43321707495</v>
      </c>
    </row>
    <row r="30" customFormat="false" ht="15" hidden="false" customHeight="false" outlineLevel="0" collapsed="false">
      <c r="I30" s="6" t="n">
        <v>27</v>
      </c>
      <c r="J30" s="12" t="n">
        <f aca="false">((1-C$2)*C$3*EXP(-$E$2*(I30^$G$2)))+(C$2*C$3*EXP(-$E$3*I30))</f>
        <v>5563.21425606281</v>
      </c>
    </row>
    <row r="31" customFormat="false" ht="15" hidden="false" customHeight="false" outlineLevel="0" collapsed="false">
      <c r="I31" s="6" t="n">
        <v>28</v>
      </c>
      <c r="J31" s="12" t="n">
        <f aca="false">((1-C$2)*C$3*EXP(-$E$2*(I31^$G$2)))+(C$2*C$3*EXP(-$E$3*I31))</f>
        <v>4914.65887586725</v>
      </c>
    </row>
    <row r="32" customFormat="false" ht="15" hidden="false" customHeight="false" outlineLevel="0" collapsed="false">
      <c r="E32" s="19"/>
      <c r="F32" s="19"/>
      <c r="I32" s="6" t="n">
        <v>29</v>
      </c>
      <c r="J32" s="12" t="n">
        <f aca="false">((1-C$2)*C$3*EXP(-$E$2*(I32^$G$2)))+(C$2*C$3*EXP(-$E$3*I32))</f>
        <v>4368.93772984748</v>
      </c>
    </row>
    <row r="33" customFormat="false" ht="15" hidden="false" customHeight="false" outlineLevel="0" collapsed="false">
      <c r="E33" s="19"/>
      <c r="F33" s="19"/>
      <c r="I33" s="6" t="n">
        <v>30</v>
      </c>
      <c r="J33" s="12" t="n">
        <f aca="false">((1-C$2)*C$3*EXP(-$E$2*(I33^$G$2)))+(C$2*C$3*EXP(-$E$3*I33))</f>
        <v>3910.31308219369</v>
      </c>
    </row>
    <row r="34" customFormat="false" ht="15" hidden="false" customHeight="false" outlineLevel="0" collapsed="false">
      <c r="E34" s="19"/>
      <c r="F34" s="19"/>
      <c r="I34" s="6" t="n">
        <v>31</v>
      </c>
      <c r="J34" s="12" t="n">
        <f aca="false">((1-C$2)*C$3*EXP(-$E$2*(I34^$G$2)))+(C$2*C$3*EXP(-$E$3*I34))</f>
        <v>3525.02621475924</v>
      </c>
    </row>
    <row r="35" customFormat="false" ht="15" hidden="false" customHeight="false" outlineLevel="0" collapsed="false">
      <c r="B35" s="19"/>
      <c r="C35" s="19"/>
      <c r="D35" s="19"/>
      <c r="E35" s="19"/>
      <c r="F35" s="19"/>
      <c r="I35" s="6" t="n">
        <v>32</v>
      </c>
      <c r="J35" s="12" t="n">
        <f aca="false">((1-C$2)*C$3*EXP(-$E$2*(I35^$G$2)))+(C$2*C$3*EXP(-$E$3*I35))</f>
        <v>3201.15556331492</v>
      </c>
    </row>
    <row r="36" customFormat="false" ht="15" hidden="false" customHeight="false" outlineLevel="0" collapsed="false">
      <c r="B36" s="19"/>
      <c r="C36" s="19"/>
      <c r="D36" s="19"/>
      <c r="E36" s="19"/>
      <c r="F36" s="19"/>
      <c r="I36" s="6" t="n">
        <v>33</v>
      </c>
      <c r="J36" s="12" t="n">
        <f aca="false">((1-C$2)*C$3*EXP(-$E$2*(I36^$G$2)))+(C$2*C$3*EXP(-$E$3*I36))</f>
        <v>2928.45744948827</v>
      </c>
    </row>
    <row r="37" customFormat="false" ht="15" hidden="false" customHeight="false" outlineLevel="0" collapsed="false">
      <c r="B37" s="19"/>
      <c r="C37" s="19"/>
      <c r="D37" s="19"/>
      <c r="E37" s="19"/>
      <c r="F37" s="19"/>
      <c r="I37" s="6" t="n">
        <v>34</v>
      </c>
      <c r="J37" s="12" t="n">
        <f aca="false">((1-C$2)*C$3*EXP(-$E$2*(I37^$G$2)))+(C$2*C$3*EXP(-$E$3*I37))</f>
        <v>2698.19891998702</v>
      </c>
    </row>
    <row r="38" customFormat="false" ht="15" hidden="false" customHeight="false" outlineLevel="0" collapsed="false">
      <c r="B38" s="19"/>
      <c r="C38" s="19"/>
      <c r="D38" s="19"/>
      <c r="E38" s="19"/>
      <c r="F38" s="19"/>
      <c r="I38" s="6" t="n">
        <v>35</v>
      </c>
      <c r="J38" s="12" t="n">
        <f aca="false">((1-C$2)*C$3*EXP(-$E$2*(I38^$G$2)))+(C$2*C$3*EXP(-$E$3*I38))</f>
        <v>2502.9900705736</v>
      </c>
    </row>
    <row r="39" customFormat="false" ht="15" hidden="false" customHeight="false" outlineLevel="0" collapsed="false">
      <c r="B39" s="19"/>
      <c r="C39" s="19"/>
      <c r="D39" s="19"/>
      <c r="E39" s="19"/>
      <c r="F39" s="19"/>
      <c r="I39" s="6" t="n">
        <v>36</v>
      </c>
      <c r="J39" s="12" t="n">
        <f aca="false">((1-C$2)*C$3*EXP(-$E$2*(I39^$G$2)))+(C$2*C$3*EXP(-$E$3*I39))</f>
        <v>2336.62135491911</v>
      </c>
    </row>
    <row r="40" customFormat="false" ht="15" hidden="false" customHeight="false" outlineLevel="0" collapsed="false">
      <c r="B40" s="19"/>
      <c r="C40" s="19"/>
      <c r="D40" s="19"/>
      <c r="E40" s="19"/>
      <c r="F40" s="19"/>
      <c r="I40" s="6" t="n">
        <v>37</v>
      </c>
      <c r="J40" s="12" t="n">
        <f aca="false">((1-C$2)*C$3*EXP(-$E$2*(I40^$G$2)))+(C$2*C$3*EXP(-$E$3*I40))</f>
        <v>2193.90977247615</v>
      </c>
    </row>
    <row r="41" customFormat="false" ht="15" hidden="false" customHeight="false" outlineLevel="0" collapsed="false">
      <c r="B41" s="19"/>
      <c r="C41" s="19"/>
      <c r="D41" s="19"/>
      <c r="E41" s="19"/>
      <c r="F41" s="19"/>
      <c r="I41" s="6" t="n">
        <v>38</v>
      </c>
      <c r="J41" s="12" t="n">
        <f aca="false">((1-C$2)*C$3*EXP(-$E$2*(I41^$G$2)))+(C$2*C$3*EXP(-$E$3*I41))</f>
        <v>2070.55649274151</v>
      </c>
    </row>
    <row r="42" customFormat="false" ht="15" hidden="false" customHeight="false" outlineLevel="0" collapsed="false">
      <c r="B42" s="19"/>
      <c r="C42" s="19"/>
      <c r="D42" s="19"/>
      <c r="E42" s="19"/>
      <c r="F42" s="19"/>
      <c r="I42" s="6" t="n">
        <v>39</v>
      </c>
      <c r="J42" s="12" t="n">
        <f aca="false">((1-C$2)*C$3*EXP(-$E$2*(I42^$G$2)))+(C$2*C$3*EXP(-$E$3*I42))</f>
        <v>1963.01739151186</v>
      </c>
    </row>
    <row r="43" customFormat="false" ht="15" hidden="false" customHeight="false" outlineLevel="0" collapsed="false">
      <c r="B43" s="19"/>
      <c r="C43" s="19"/>
      <c r="D43" s="19"/>
      <c r="E43" s="19"/>
      <c r="F43" s="19"/>
      <c r="I43" s="6" t="n">
        <v>40</v>
      </c>
      <c r="J43" s="12" t="n">
        <f aca="false">((1-C$2)*C$3*EXP(-$E$2*(I43^$G$2)))+(C$2*C$3*EXP(-$E$3*I43))</f>
        <v>1868.38712566356</v>
      </c>
    </row>
    <row r="44" customFormat="false" ht="15" hidden="false" customHeight="false" outlineLevel="0" collapsed="false">
      <c r="B44" s="19"/>
      <c r="C44" s="19"/>
      <c r="D44" s="19"/>
      <c r="E44" s="19"/>
      <c r="F44" s="19"/>
      <c r="I44" s="6" t="n">
        <v>41</v>
      </c>
      <c r="J44" s="12" t="n">
        <f aca="false">((1-C$2)*C$3*EXP(-$E$2*(I44^$G$2)))+(C$2*C$3*EXP(-$E$3*I44))</f>
        <v>1784.29672956469</v>
      </c>
    </row>
    <row r="45" customFormat="false" ht="15" hidden="false" customHeight="false" outlineLevel="0" collapsed="false">
      <c r="B45" s="19"/>
      <c r="C45" s="19"/>
      <c r="D45" s="19"/>
      <c r="E45" s="19"/>
      <c r="F45" s="19"/>
      <c r="I45" s="6" t="n">
        <v>42</v>
      </c>
      <c r="J45" s="12" t="n">
        <f aca="false">((1-C$2)*C$3*EXP(-$E$2*(I45^$G$2)))+(C$2*C$3*EXP(-$E$3*I45))</f>
        <v>1708.82424933652</v>
      </c>
    </row>
    <row r="46" customFormat="false" ht="15" hidden="false" customHeight="false" outlineLevel="0" collapsed="false">
      <c r="B46" s="19"/>
      <c r="C46" s="19"/>
      <c r="D46" s="19"/>
      <c r="E46" s="19"/>
      <c r="F46" s="19"/>
      <c r="I46" s="6" t="n">
        <v>43</v>
      </c>
      <c r="J46" s="12" t="n">
        <f aca="false">((1-C$2)*C$3*EXP(-$E$2*(I46^$G$2)))+(C$2*C$3*EXP(-$E$3*I46))</f>
        <v>1640.41761166867</v>
      </c>
    </row>
    <row r="47" customFormat="false" ht="15" hidden="false" customHeight="false" outlineLevel="0" collapsed="false">
      <c r="B47" s="19"/>
      <c r="C47" s="19"/>
      <c r="D47" s="19"/>
      <c r="E47" s="19"/>
      <c r="F47" s="19"/>
      <c r="I47" s="6" t="n">
        <v>44</v>
      </c>
      <c r="J47" s="12" t="n">
        <f aca="false">((1-C$2)*C$3*EXP(-$E$2*(I47^$G$2)))+(C$2*C$3*EXP(-$E$3*I47))</f>
        <v>1577.82872402393</v>
      </c>
    </row>
    <row r="48" customFormat="false" ht="15" hidden="false" customHeight="false" outlineLevel="0" collapsed="false">
      <c r="B48" s="19"/>
      <c r="C48" s="19"/>
      <c r="D48" s="19"/>
      <c r="E48" s="19"/>
      <c r="F48" s="19"/>
      <c r="I48" s="6" t="n">
        <v>45</v>
      </c>
      <c r="J48" s="12" t="n">
        <f aca="false">((1-C$2)*C$3*EXP(-$E$2*(I48^$G$2)))+(C$2*C$3*EXP(-$E$3*I48))</f>
        <v>1520.05769750114</v>
      </c>
    </row>
    <row r="49" customFormat="false" ht="15" hidden="false" customHeight="false" outlineLevel="0" collapsed="false">
      <c r="B49" s="19"/>
      <c r="C49" s="19"/>
      <c r="D49" s="19"/>
      <c r="E49" s="19"/>
      <c r="F49" s="19"/>
      <c r="G49" s="19"/>
      <c r="H49" s="19"/>
      <c r="I49" s="6" t="n">
        <v>46</v>
      </c>
      <c r="J49" s="12" t="n">
        <f aca="false">((1-C$2)*C$3*EXP(-$E$2*(I49^$G$2)))+(C$2*C$3*EXP(-$E$3*I49))</f>
        <v>1466.30604996366</v>
      </c>
    </row>
    <row r="50" customFormat="false" ht="15" hidden="false" customHeight="false" outlineLevel="0" collapsed="false">
      <c r="B50" s="19"/>
      <c r="C50" s="19"/>
      <c r="D50" s="19"/>
      <c r="E50" s="19"/>
      <c r="F50" s="19"/>
      <c r="G50" s="19"/>
      <c r="H50" s="19"/>
      <c r="I50" s="6" t="n">
        <v>47</v>
      </c>
      <c r="J50" s="12" t="n">
        <f aca="false">((1-C$2)*C$3*EXP(-$E$2*(I50^$G$2)))+(C$2*C$3*EXP(-$E$3*I50))</f>
        <v>1415.93776608487</v>
      </c>
    </row>
    <row r="51" customFormat="false" ht="15" hidden="false" customHeight="false" outlineLevel="0" collapsed="false">
      <c r="B51" s="19"/>
      <c r="C51" s="19"/>
      <c r="D51" s="19"/>
      <c r="E51" s="19"/>
      <c r="F51" s="19"/>
      <c r="G51" s="19"/>
      <c r="H51" s="19"/>
      <c r="I51" s="6" t="n">
        <v>48</v>
      </c>
      <c r="J51" s="12" t="n">
        <f aca="false">((1-C$2)*C$3*EXP(-$E$2*(I51^$G$2)))+(C$2*C$3*EXP(-$E$3*I51))</f>
        <v>1368.44714670962</v>
      </c>
    </row>
    <row r="52" customFormat="false" ht="15" hidden="false" customHeight="false" outlineLevel="0" collapsed="false">
      <c r="B52" s="19"/>
      <c r="C52" s="19"/>
      <c r="D52" s="19"/>
      <c r="E52" s="19"/>
      <c r="F52" s="19"/>
      <c r="G52" s="19"/>
      <c r="H52" s="19"/>
      <c r="I52" s="6" t="n">
        <v>49</v>
      </c>
      <c r="J52" s="12" t="n">
        <f aca="false">((1-C$2)*C$3*EXP(-$E$2*(I52^$G$2)))+(C$2*C$3*EXP(-$E$3*I52))</f>
        <v>1323.4324594114</v>
      </c>
    </row>
    <row r="53" customFormat="false" ht="15" hidden="false" customHeight="false" outlineLevel="0" collapsed="false">
      <c r="B53" s="19"/>
      <c r="C53" s="19"/>
      <c r="D53" s="19"/>
      <c r="E53" s="19"/>
      <c r="F53" s="19"/>
      <c r="G53" s="19"/>
      <c r="H53" s="19"/>
      <c r="I53" s="6" t="n">
        <v>50</v>
      </c>
      <c r="J53" s="12" t="n">
        <f aca="false">((1-C$2)*C$3*EXP(-$E$2*(I53^$G$2)))+(C$2*C$3*EXP(-$E$3*I53))</f>
        <v>1280.57449513476</v>
      </c>
    </row>
    <row r="54" customFormat="false" ht="15" hidden="false" customHeight="false" outlineLevel="0" collapsed="false">
      <c r="B54" s="19"/>
      <c r="C54" s="19"/>
      <c r="D54" s="19"/>
      <c r="E54" s="19"/>
      <c r="F54" s="19"/>
      <c r="G54" s="19"/>
      <c r="H54" s="19"/>
      <c r="I54" s="6" t="n">
        <v>51</v>
      </c>
      <c r="J54" s="12" t="n">
        <f aca="false">((1-C$2)*C$3*EXP(-$E$2*(I54^$G$2)))+(C$2*C$3*EXP(-$E$3*I54))</f>
        <v>1239.61923457134</v>
      </c>
    </row>
    <row r="55" customFormat="false" ht="15" hidden="false" customHeight="false" outlineLevel="0" collapsed="false">
      <c r="B55" s="19"/>
      <c r="C55" s="19"/>
      <c r="D55" s="19"/>
      <c r="E55" s="19"/>
      <c r="F55" s="19"/>
      <c r="G55" s="19"/>
      <c r="H55" s="19"/>
      <c r="I55" s="6" t="n">
        <v>52</v>
      </c>
      <c r="J55" s="12" t="n">
        <f aca="false">((1-C$2)*C$3*EXP(-$E$2*(I55^$G$2)))+(C$2*C$3*EXP(-$E$3*I55))</f>
        <v>1200.36392672169</v>
      </c>
    </row>
    <row r="56" customFormat="false" ht="15" hidden="false" customHeight="false" outlineLevel="0" collapsed="false">
      <c r="B56" s="19"/>
      <c r="C56" s="19"/>
      <c r="D56" s="19"/>
      <c r="E56" s="19"/>
      <c r="F56" s="19"/>
      <c r="G56" s="19"/>
      <c r="H56" s="19"/>
      <c r="I56" s="6" t="n">
        <v>53</v>
      </c>
      <c r="J56" s="12" t="n">
        <f aca="false">((1-C$2)*C$3*EXP(-$E$2*(I56^$G$2)))+(C$2*C$3*EXP(-$E$3*I56))</f>
        <v>1162.64597695001</v>
      </c>
    </row>
    <row r="57" customFormat="false" ht="15" hidden="false" customHeight="false" outlineLevel="0" collapsed="false">
      <c r="B57" s="19"/>
      <c r="C57" s="19"/>
      <c r="D57" s="19"/>
      <c r="E57" s="19"/>
      <c r="F57" s="19"/>
      <c r="G57" s="19"/>
      <c r="H57" s="19"/>
      <c r="I57" s="6" t="n">
        <v>54</v>
      </c>
      <c r="J57" s="12" t="n">
        <f aca="false">((1-C$2)*C$3*EXP(-$E$2*(I57^$G$2)))+(C$2*C$3*EXP(-$E$3*I57))</f>
        <v>1126.3341301397</v>
      </c>
    </row>
    <row r="58" customFormat="false" ht="15" hidden="false" customHeight="false" outlineLevel="0" collapsed="false">
      <c r="B58" s="19"/>
      <c r="C58" s="19"/>
      <c r="D58" s="19"/>
      <c r="E58" s="19"/>
      <c r="F58" s="19"/>
      <c r="G58" s="19"/>
      <c r="H58" s="19"/>
      <c r="I58" s="6" t="n">
        <v>55</v>
      </c>
      <c r="J58" s="12" t="n">
        <f aca="false">((1-C$2)*C$3*EXP(-$E$2*(I58^$G$2)))+(C$2*C$3*EXP(-$E$3*I58))</f>
        <v>1091.32151477376</v>
      </c>
    </row>
    <row r="59" customFormat="false" ht="15" hidden="false" customHeight="false" outlineLevel="0" collapsed="false">
      <c r="B59" s="19"/>
      <c r="C59" s="19"/>
      <c r="D59" s="19"/>
      <c r="G59" s="19"/>
      <c r="H59" s="19"/>
      <c r="I59" s="6" t="n">
        <v>56</v>
      </c>
      <c r="J59" s="12" t="n">
        <f aca="false">((1-C$2)*C$3*EXP(-$E$2*(I59^$G$2)))+(C$2*C$3*EXP(-$E$3*I59))</f>
        <v>1057.52018519033</v>
      </c>
    </row>
    <row r="60" customFormat="false" ht="15" hidden="false" customHeight="false" outlineLevel="0" collapsed="false">
      <c r="B60" s="19"/>
      <c r="C60" s="19"/>
      <c r="D60" s="19"/>
      <c r="G60" s="19"/>
      <c r="H60" s="19"/>
      <c r="I60" s="6" t="n">
        <v>57</v>
      </c>
      <c r="J60" s="12" t="n">
        <f aca="false">((1-C$2)*C$3*EXP(-$E$2*(I60^$G$2)))+(C$2*C$3*EXP(-$E$3*I60))</f>
        <v>1024.85686178694</v>
      </c>
    </row>
    <row r="61" customFormat="false" ht="15" hidden="false" customHeight="false" outlineLevel="0" collapsed="false">
      <c r="B61" s="19"/>
      <c r="C61" s="19"/>
      <c r="D61" s="19"/>
      <c r="G61" s="19"/>
      <c r="H61" s="19"/>
      <c r="I61" s="6" t="n">
        <v>58</v>
      </c>
      <c r="J61" s="12" t="n">
        <f aca="false">((1-C$2)*C$3*EXP(-$E$2*(I61^$G$2)))+(C$2*C$3*EXP(-$E$3*I61))</f>
        <v>993.269622874187</v>
      </c>
    </row>
    <row r="62" customFormat="false" ht="15" hidden="false" customHeight="false" outlineLevel="0" collapsed="false">
      <c r="G62" s="19"/>
      <c r="H62" s="19"/>
      <c r="I62" s="6" t="n">
        <v>59</v>
      </c>
      <c r="J62" s="12" t="n">
        <f aca="false">((1-C$2)*C$3*EXP(-$E$2*(I62^$G$2)))+(C$2*C$3*EXP(-$E$3*I62))</f>
        <v>962.705347786111</v>
      </c>
    </row>
    <row r="63" customFormat="false" ht="15" hidden="false" customHeight="false" outlineLevel="0" collapsed="false">
      <c r="G63" s="19"/>
      <c r="H63" s="19"/>
      <c r="I63" s="6" t="n">
        <v>60</v>
      </c>
      <c r="J63" s="12" t="n">
        <f aca="false">((1-C$2)*C$3*EXP(-$E$2*(I63^$G$2)))+(C$2*C$3*EXP(-$E$3*I63))</f>
        <v>933.117749474997</v>
      </c>
    </row>
    <row r="64" customFormat="false" ht="15" hidden="false" customHeight="false" outlineLevel="0" collapsed="false">
      <c r="G64" s="19"/>
      <c r="H64" s="19"/>
      <c r="I64" s="6" t="n">
        <v>61</v>
      </c>
      <c r="J64" s="12" t="n">
        <f aca="false">((1-C$2)*C$3*EXP(-$E$2*(I64^$G$2)))+(C$2*C$3*EXP(-$E$3*I64))</f>
        <v>904.465866962196</v>
      </c>
    </row>
    <row r="65" customFormat="false" ht="15" hidden="false" customHeight="false" outlineLevel="0" collapsed="false">
      <c r="G65" s="19"/>
      <c r="H65" s="19"/>
      <c r="I65" s="6" t="n">
        <v>62</v>
      </c>
      <c r="J65" s="12" t="n">
        <f aca="false">((1-C$2)*C$3*EXP(-$E$2*(I65^$G$2)))+(C$2*C$3*EXP(-$E$3*I65))</f>
        <v>876.712914506519</v>
      </c>
    </row>
    <row r="66" customFormat="false" ht="15" hidden="false" customHeight="false" outlineLevel="0" collapsed="false">
      <c r="G66" s="19"/>
      <c r="H66" s="19"/>
      <c r="I66" s="6" t="n">
        <v>63</v>
      </c>
      <c r="J66" s="12" t="n">
        <f aca="false">((1-C$2)*C$3*EXP(-$E$2*(I66^$G$2)))+(C$2*C$3*EXP(-$E$3*I66))</f>
        <v>849.825405982686</v>
      </c>
    </row>
    <row r="67" customFormat="false" ht="15" hidden="false" customHeight="false" outlineLevel="0" collapsed="false">
      <c r="G67" s="19"/>
      <c r="H67" s="19"/>
      <c r="I67" s="6" t="n">
        <v>64</v>
      </c>
      <c r="J67" s="12" t="n">
        <f aca="false">((1-C$2)*C$3*EXP(-$E$2*(I67^$G$2)))+(C$2*C$3*EXP(-$E$3*I67))</f>
        <v>823.772490474439</v>
      </c>
    </row>
    <row r="68" customFormat="false" ht="15" hidden="false" customHeight="false" outlineLevel="0" collapsed="false">
      <c r="G68" s="19"/>
      <c r="H68" s="19"/>
      <c r="I68" s="6" t="n">
        <v>65</v>
      </c>
      <c r="J68" s="12" t="n">
        <f aca="false">((1-C$2)*C$3*EXP(-$E$2*(I68^$G$2)))+(C$2*C$3*EXP(-$E$3*I68))</f>
        <v>798.525449150224</v>
      </c>
    </row>
    <row r="69" customFormat="false" ht="15" hidden="false" customHeight="false" outlineLevel="0" collapsed="false">
      <c r="G69" s="19"/>
      <c r="H69" s="19"/>
      <c r="I69" s="6" t="n">
        <v>66</v>
      </c>
      <c r="J69" s="12" t="n">
        <f aca="false">((1-C$2)*C$3*EXP(-$E$2*(I69^$G$2)))+(C$2*C$3*EXP(-$E$3*I69))</f>
        <v>774.057314696897</v>
      </c>
    </row>
    <row r="70" customFormat="false" ht="15" hidden="false" customHeight="false" outlineLevel="0" collapsed="false">
      <c r="G70" s="19"/>
      <c r="H70" s="19"/>
      <c r="I70" s="6" t="n">
        <v>67</v>
      </c>
      <c r="J70" s="12" t="n">
        <f aca="false">((1-C$2)*C$3*EXP(-$E$2*(I70^$G$2)))+(C$2*C$3*EXP(-$E$3*I70))</f>
        <v>750.342583453774</v>
      </c>
    </row>
    <row r="71" customFormat="false" ht="15" hidden="false" customHeight="false" outlineLevel="0" collapsed="false">
      <c r="G71" s="19"/>
      <c r="H71" s="19"/>
      <c r="I71" s="6" t="n">
        <v>68</v>
      </c>
      <c r="J71" s="12" t="n">
        <f aca="false">((1-C$2)*C$3*EXP(-$E$2*(I71^$G$2)))+(C$2*C$3*EXP(-$E$3*I71))</f>
        <v>727.356997355759</v>
      </c>
    </row>
    <row r="72" customFormat="false" ht="15" hidden="false" customHeight="false" outlineLevel="0" collapsed="false">
      <c r="G72" s="19"/>
      <c r="H72" s="19"/>
      <c r="I72" s="6" t="n">
        <v>69</v>
      </c>
      <c r="J72" s="12" t="n">
        <f aca="false">((1-C$2)*C$3*EXP(-$E$2*(I72^$G$2)))+(C$2*C$3*EXP(-$E$3*I72))</f>
        <v>705.077378231162</v>
      </c>
    </row>
    <row r="73" customFormat="false" ht="15" hidden="false" customHeight="false" outlineLevel="0" collapsed="false">
      <c r="G73" s="19"/>
      <c r="H73" s="19"/>
      <c r="I73" s="6" t="n">
        <v>70</v>
      </c>
      <c r="J73" s="12" t="n">
        <f aca="false">((1-C$2)*C$3*EXP(-$E$2*(I73^$G$2)))+(C$2*C$3*EXP(-$E$3*I73))</f>
        <v>683.481501215996</v>
      </c>
    </row>
    <row r="74" customFormat="false" ht="15" hidden="false" customHeight="false" outlineLevel="0" collapsed="false">
      <c r="G74" s="19"/>
      <c r="H74" s="19"/>
      <c r="I74" s="19" t="n">
        <f aca="false">I73+1</f>
        <v>71</v>
      </c>
      <c r="J74" s="12" t="n">
        <f aca="false">((1-C$2)*C$3*EXP(-$E$2*(I74^$G$2)))+(C$2*C$3*EXP(-$E$3*I74))</f>
        <v>662.547997295785</v>
      </c>
    </row>
    <row r="75" customFormat="false" ht="15" hidden="false" customHeight="false" outlineLevel="0" collapsed="false">
      <c r="G75" s="19"/>
      <c r="H75" s="19"/>
      <c r="I75" s="19" t="n">
        <f aca="false">I74+1</f>
        <v>72</v>
      </c>
      <c r="J75" s="12" t="n">
        <f aca="false">((1-C$2)*C$3*EXP(-$E$2*(I75^$G$2)))+(C$2*C$3*EXP(-$E$3*I75))</f>
        <v>642.25627747527</v>
      </c>
    </row>
    <row r="76" customFormat="false" ht="15" hidden="false" customHeight="false" outlineLevel="0" collapsed="false">
      <c r="I76" s="19" t="n">
        <f aca="false">I75+1</f>
        <v>73</v>
      </c>
      <c r="J76" s="12" t="n">
        <f aca="false">((1-C$2)*C$3*EXP(-$E$2*(I76^$G$2)))+(C$2*C$3*EXP(-$E$3*I76))</f>
        <v>622.586472972433</v>
      </c>
    </row>
    <row r="77" customFormat="false" ht="15" hidden="false" customHeight="false" outlineLevel="0" collapsed="false">
      <c r="I77" s="19" t="n">
        <f aca="false">I76+1</f>
        <v>74</v>
      </c>
      <c r="J77" s="12" t="n">
        <f aca="false">((1-C$2)*C$3*EXP(-$E$2*(I77^$G$2)))+(C$2*C$3*EXP(-$E$3*I77))</f>
        <v>603.519387269424</v>
      </c>
    </row>
    <row r="78" customFormat="false" ht="15" hidden="false" customHeight="false" outlineLevel="0" collapsed="false">
      <c r="I78" s="19" t="n">
        <f aca="false">I77+1</f>
        <v>75</v>
      </c>
      <c r="J78" s="12" t="n">
        <f aca="false">((1-C$2)*C$3*EXP(-$E$2*(I78^$G$2)))+(C$2*C$3*EXP(-$E$3*I78))</f>
        <v>585.036456934861</v>
      </c>
    </row>
    <row r="79" customFormat="false" ht="15" hidden="false" customHeight="false" outlineLevel="0" collapsed="false">
      <c r="I79" s="19" t="n">
        <f aca="false">I78+1</f>
        <v>76</v>
      </c>
      <c r="J79" s="12" t="n">
        <f aca="false">((1-C$2)*C$3*EXP(-$E$2*(I79^$G$2)))+(C$2*C$3*EXP(-$E$3*I79))</f>
        <v>567.119718942658</v>
      </c>
    </row>
    <row r="80" customFormat="false" ht="15" hidden="false" customHeight="false" outlineLevel="0" collapsed="false">
      <c r="I80" s="19" t="n">
        <f aca="false">I79+1</f>
        <v>77</v>
      </c>
      <c r="J80" s="12" t="n">
        <f aca="false">((1-C$2)*C$3*EXP(-$E$2*(I80^$G$2)))+(C$2*C$3*EXP(-$E$3*I80))</f>
        <v>549.751782816952</v>
      </c>
    </row>
    <row r="81" customFormat="false" ht="15" hidden="false" customHeight="false" outlineLevel="0" collapsed="false">
      <c r="I81" s="19" t="n">
        <f aca="false">I80+1</f>
        <v>78</v>
      </c>
      <c r="J81" s="12" t="n">
        <f aca="false">((1-C$2)*C$3*EXP(-$E$2*(I81^$G$2)))+(C$2*C$3*EXP(-$E$3*I81))</f>
        <v>532.915806380991</v>
      </c>
    </row>
    <row r="82" customFormat="false" ht="15" hidden="false" customHeight="false" outlineLevel="0" collapsed="false">
      <c r="I82" s="19" t="n">
        <f aca="false">I81+1</f>
        <v>79</v>
      </c>
      <c r="J82" s="12" t="n">
        <f aca="false">((1-C$2)*C$3*EXP(-$E$2*(I82^$G$2)))+(C$2*C$3*EXP(-$E$3*I82))</f>
        <v>516.595474218812</v>
      </c>
    </row>
    <row r="83" customFormat="false" ht="15" hidden="false" customHeight="false" outlineLevel="0" collapsed="false">
      <c r="I83" s="19" t="n">
        <f aca="false">I82+1</f>
        <v>80</v>
      </c>
      <c r="J83" s="12" t="n">
        <f aca="false">((1-C$2)*C$3*EXP(-$E$2*(I83^$G$2)))+(C$2*C$3*EXP(-$E$3*I83))</f>
        <v>500.774978201637</v>
      </c>
    </row>
    <row r="84" customFormat="false" ht="15" hidden="false" customHeight="false" outlineLevel="0" collapsed="false">
      <c r="I84" s="19" t="n">
        <f aca="false">I83+1</f>
        <v>81</v>
      </c>
      <c r="J84" s="12" t="n">
        <f aca="false">((1-C$2)*C$3*EXP(-$E$2*(I84^$G$2)))+(C$2*C$3*EXP(-$E$3*I84))</f>
        <v>485.438999608776</v>
      </c>
    </row>
    <row r="85" customFormat="false" ht="15" hidden="false" customHeight="false" outlineLevel="0" collapsed="false">
      <c r="I85" s="19" t="n">
        <f aca="false">I84+1</f>
        <v>82</v>
      </c>
      <c r="J85" s="12" t="n">
        <f aca="false">((1-C$2)*C$3*EXP(-$E$2*(I85^$G$2)))+(C$2*C$3*EXP(-$E$3*I85))</f>
        <v>470.572692502238</v>
      </c>
    </row>
    <row r="86" customFormat="false" ht="15" hidden="false" customHeight="false" outlineLevel="0" collapsed="false">
      <c r="I86" s="19" t="n">
        <f aca="false">I85+1</f>
        <v>83</v>
      </c>
      <c r="J86" s="12" t="n">
        <f aca="false">((1-C$2)*C$3*EXP(-$E$2*(I86^$G$2)))+(C$2*C$3*EXP(-$E$3*I86))</f>
        <v>456.161668108142</v>
      </c>
    </row>
    <row r="87" customFormat="false" ht="15" hidden="false" customHeight="false" outlineLevel="0" collapsed="false">
      <c r="I87" s="19" t="n">
        <f aca="false">I86+1</f>
        <v>84</v>
      </c>
      <c r="J87" s="12" t="n">
        <f aca="false">((1-C$2)*C$3*EXP(-$E$2*(I87^$G$2)))+(C$2*C$3*EXP(-$E$3*I87))</f>
        <v>442.191980025773</v>
      </c>
    </row>
    <row r="88" customFormat="false" ht="15" hidden="false" customHeight="false" outlineLevel="0" collapsed="false">
      <c r="I88" s="19" t="n">
        <f aca="false">I87+1</f>
        <v>85</v>
      </c>
      <c r="J88" s="12" t="n">
        <f aca="false">((1-C$2)*C$3*EXP(-$E$2*(I88^$G$2)))+(C$2*C$3*EXP(-$E$3*I88))</f>
        <v>428.650110133878</v>
      </c>
    </row>
    <row r="89" customFormat="false" ht="15" hidden="false" customHeight="false" outlineLevel="0" collapsed="false">
      <c r="I89" s="19" t="n">
        <f aca="false">I88+1</f>
        <v>86</v>
      </c>
      <c r="J89" s="12" t="n">
        <f aca="false">((1-C$2)*C$3*EXP(-$E$2*(I89^$G$2)))+(C$2*C$3*EXP(-$E$3*I89))</f>
        <v>415.522955098734</v>
      </c>
    </row>
    <row r="90" customFormat="false" ht="15" hidden="false" customHeight="false" outlineLevel="0" collapsed="false">
      <c r="I90" s="19" t="n">
        <f aca="false">I89+1</f>
        <v>87</v>
      </c>
      <c r="J90" s="12" t="n">
        <f aca="false">((1-C$2)*C$3*EXP(-$E$2*(I90^$G$2)))+(C$2*C$3*EXP(-$E$3*I90))</f>
        <v>402.79781341348</v>
      </c>
    </row>
    <row r="91" customFormat="false" ht="15" hidden="false" customHeight="false" outlineLevel="0" collapsed="false">
      <c r="I91" s="19" t="n">
        <f aca="false">I90+1</f>
        <v>88</v>
      </c>
      <c r="J91" s="12" t="n">
        <f aca="false">((1-C$2)*C$3*EXP(-$E$2*(I91^$G$2)))+(C$2*C$3*EXP(-$E$3*I91))</f>
        <v>390.462372916011</v>
      </c>
    </row>
    <row r="92" customFormat="false" ht="15" hidden="false" customHeight="false" outlineLevel="0" collapsed="false">
      <c r="I92" s="19" t="n">
        <f aca="false">I91+1</f>
        <v>89</v>
      </c>
      <c r="J92" s="12" t="n">
        <f aca="false">((1-C$2)*C$3*EXP(-$E$2*(I92^$G$2)))+(C$2*C$3*EXP(-$E$3*I92))</f>
        <v>378.504698745354</v>
      </c>
    </row>
    <row r="93" customFormat="false" ht="15" hidden="false" customHeight="false" outlineLevel="0" collapsed="false">
      <c r="I93" s="19" t="n">
        <f aca="false">I92+1</f>
        <v>90</v>
      </c>
      <c r="J93" s="12" t="n">
        <f aca="false">((1-C$2)*C$3*EXP(-$E$2*(I93^$G$2)))+(C$2*C$3*EXP(-$E$3*I93))</f>
        <v>366.913221705472</v>
      </c>
    </row>
    <row r="94" customFormat="false" ht="15" hidden="false" customHeight="false" outlineLevel="0" collapsed="false">
      <c r="I94" s="19" t="n">
        <f aca="false">I93+1</f>
        <v>91</v>
      </c>
      <c r="J94" s="20" t="n">
        <f aca="false">((1-C$2)*C$3*EXP(-$E$2*(I94^$G$2)))+(C$2*C$3*EXP(-$E$3*I94))</f>
        <v>355.676727011811</v>
      </c>
    </row>
    <row r="95" customFormat="false" ht="15" hidden="false" customHeight="false" outlineLevel="0" collapsed="false">
      <c r="I95" s="19" t="n">
        <f aca="false">I94+1</f>
        <v>92</v>
      </c>
      <c r="J95" s="20" t="n">
        <f aca="false">((1-C$2)*C$3*EXP(-$E$2*(I95^$G$2)))+(C$2*C$3*EXP(-$E$3*I95))</f>
        <v>344.784343400457</v>
      </c>
    </row>
    <row r="96" customFormat="false" ht="15" hidden="false" customHeight="false" outlineLevel="0" collapsed="false">
      <c r="I96" s="19" t="n">
        <f aca="false">I95+1</f>
        <v>93</v>
      </c>
      <c r="J96" s="20" t="n">
        <f aca="false">((1-C$2)*C$3*EXP(-$E$2*(I96^$G$2)))+(C$2*C$3*EXP(-$E$3*I96))</f>
        <v>334.225532583027</v>
      </c>
    </row>
    <row r="97" customFormat="false" ht="15" hidden="false" customHeight="false" outlineLevel="0" collapsed="false">
      <c r="I97" s="19" t="n">
        <f aca="false">I96+1</f>
        <v>94</v>
      </c>
      <c r="J97" s="20" t="n">
        <f aca="false">((1-C$2)*C$3*EXP(-$E$2*(I97^$G$2)))+(C$2*C$3*EXP(-$E$3*I97))</f>
        <v>323.990079032758</v>
      </c>
    </row>
    <row r="98" customFormat="false" ht="15" hidden="false" customHeight="false" outlineLevel="0" collapsed="false">
      <c r="I98" s="19" t="n">
        <f aca="false">I97+1</f>
        <v>95</v>
      </c>
      <c r="J98" s="20" t="n">
        <f aca="false">((1-C$2)*C$3*EXP(-$E$2*(I98^$G$2)))+(C$2*C$3*EXP(-$E$3*I98))</f>
        <v>314.068080088953</v>
      </c>
    </row>
    <row r="99" customFormat="false" ht="15" hidden="false" customHeight="false" outlineLevel="0" collapsed="false">
      <c r="I99" s="19" t="n">
        <f aca="false">I98+1</f>
        <v>96</v>
      </c>
      <c r="J99" s="20" t="n">
        <f aca="false">((1-C$2)*C$3*EXP(-$E$2*(I99^$G$2)))+(C$2*C$3*EXP(-$E$3*I99))</f>
        <v>304.449936368223</v>
      </c>
    </row>
    <row r="100" customFormat="false" ht="15" hidden="false" customHeight="false" outlineLevel="0" collapsed="false">
      <c r="I100" s="19" t="n">
        <f aca="false">I99+1</f>
        <v>97</v>
      </c>
      <c r="J100" s="20" t="n">
        <f aca="false">((1-C$2)*C$3*EXP(-$E$2*(I100^$G$2)))+(C$2*C$3*EXP(-$E$3*I100))</f>
        <v>295.126342471874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&amp;C_x005F_x000D_&amp;1#&amp;"Default,Regular"&amp;10&amp;Kd89b2b Confidential - Company Proprietary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23.57"/>
    <col collapsed="false" customWidth="true" hidden="false" outlineLevel="0" max="4" min="4" style="0" width="24.42"/>
  </cols>
  <sheetData>
    <row r="2" customFormat="false" ht="15" hidden="false" customHeight="false" outlineLevel="0" collapsed="false">
      <c r="B2" s="1" t="s">
        <v>0</v>
      </c>
      <c r="C2" s="2" t="n">
        <v>0.755860750422689</v>
      </c>
      <c r="D2" s="3" t="s">
        <v>1</v>
      </c>
      <c r="E2" s="4" t="n">
        <v>0.0104602591951929</v>
      </c>
      <c r="F2" s="3" t="s">
        <v>2</v>
      </c>
      <c r="G2" s="5" t="n">
        <v>1.38120544378528</v>
      </c>
      <c r="I2" s="6" t="s">
        <v>3</v>
      </c>
      <c r="J2" s="6" t="s">
        <v>4</v>
      </c>
    </row>
    <row r="3" customFormat="false" ht="15" hidden="false" customHeight="false" outlineLevel="0" collapsed="false">
      <c r="B3" s="7" t="s">
        <v>5</v>
      </c>
      <c r="C3" s="8" t="n">
        <f aca="false">(B6+B12)/2</f>
        <v>820</v>
      </c>
      <c r="D3" s="9" t="s">
        <v>6</v>
      </c>
      <c r="E3" s="10" t="n">
        <v>0.0766728115487184</v>
      </c>
      <c r="F3" s="9"/>
      <c r="G3" s="11"/>
      <c r="I3" s="6" t="n">
        <v>0</v>
      </c>
      <c r="J3" s="12" t="n">
        <f aca="false">((1-C$2)*C$3*EXP(-$E$2*(I3^$G$2)))+(C$2*C$3*EXP(-$E$3*I3))</f>
        <v>820</v>
      </c>
    </row>
    <row r="4" customFormat="false" ht="15" hidden="false" customHeight="false" outlineLevel="0" collapsed="false">
      <c r="I4" s="6" t="n">
        <v>1</v>
      </c>
      <c r="J4" s="12" t="n">
        <f aca="false">((1-C$2)*C$3*EXP(-$E$2*(I4^$G$2)))+(C$2*C$3*EXP(-$E$3*I4))</f>
        <v>772.17072644948</v>
      </c>
    </row>
    <row r="5" customFormat="false" ht="15" hidden="false" customHeight="false" outlineLevel="0" collapsed="false">
      <c r="B5" s="13" t="s">
        <v>7</v>
      </c>
      <c r="C5" s="14" t="s">
        <v>8</v>
      </c>
      <c r="D5" s="14" t="s">
        <v>9</v>
      </c>
      <c r="I5" s="6" t="n">
        <v>2</v>
      </c>
      <c r="J5" s="12" t="n">
        <f aca="false">((1-C$2)*C$3*EXP(-$E$2*(I5^$G$2)))+(C$2*C$3*EXP(-$E$3*I5))</f>
        <v>726.503033068331</v>
      </c>
    </row>
    <row r="6" customFormat="false" ht="15" hidden="false" customHeight="false" outlineLevel="0" collapsed="false">
      <c r="B6" s="16" t="n">
        <v>740</v>
      </c>
      <c r="C6" s="17" t="n">
        <v>0</v>
      </c>
      <c r="D6" s="16" t="n">
        <v>820</v>
      </c>
      <c r="I6" s="6" t="n">
        <v>3</v>
      </c>
      <c r="J6" s="12" t="n">
        <f aca="false">((1-C$2)*C$3*EXP(-$E$2*(I6^$G$2)))+(C$2*C$3*EXP(-$E$3*I6))</f>
        <v>683.316006226564</v>
      </c>
    </row>
    <row r="7" customFormat="false" ht="15" hidden="false" customHeight="false" outlineLevel="0" collapsed="false">
      <c r="B7" s="16" t="n">
        <v>740</v>
      </c>
      <c r="C7" s="17" t="n">
        <v>1.60039589057475</v>
      </c>
      <c r="D7" s="16" t="n">
        <v>744.457166254322</v>
      </c>
      <c r="I7" s="6" t="n">
        <v>4</v>
      </c>
      <c r="J7" s="12" t="n">
        <f aca="false">((1-C$2)*C$3*EXP(-$E$2*(I7^$G$2)))+(C$2*C$3*EXP(-$E$3*I7))</f>
        <v>642.579067580629</v>
      </c>
    </row>
    <row r="8" customFormat="false" ht="15" hidden="false" customHeight="false" outlineLevel="0" collapsed="false">
      <c r="B8" s="16" t="n">
        <v>770</v>
      </c>
      <c r="C8" s="17" t="n">
        <v>4.75741633861786</v>
      </c>
      <c r="D8" s="16" t="n">
        <v>613.298449122169</v>
      </c>
      <c r="I8" s="6" t="n">
        <v>5</v>
      </c>
      <c r="J8" s="12" t="n">
        <f aca="false">((1-C$2)*C$3*EXP(-$E$2*(I8^$G$2)))+(C$2*C$3*EXP(-$E$3*I8))</f>
        <v>604.198450395599</v>
      </c>
    </row>
    <row r="9" customFormat="false" ht="15" hidden="false" customHeight="false" outlineLevel="0" collapsed="false">
      <c r="B9" s="16" t="n">
        <v>584</v>
      </c>
      <c r="C9" s="17" t="n">
        <v>7.85696111719723</v>
      </c>
      <c r="D9" s="16" t="n">
        <v>506.496774856001</v>
      </c>
      <c r="I9" s="6" t="n">
        <v>6</v>
      </c>
      <c r="J9" s="12" t="n">
        <f aca="false">((1-C$2)*C$3*EXP(-$E$2*(I9^$G$2)))+(C$2*C$3*EXP(-$E$3*I9))</f>
        <v>568.060490796412</v>
      </c>
    </row>
    <row r="10" customFormat="false" ht="15" hidden="false" customHeight="false" outlineLevel="0" collapsed="false">
      <c r="B10" s="16" t="n">
        <v>260</v>
      </c>
      <c r="C10" s="17" t="n">
        <v>15.3611871026567</v>
      </c>
      <c r="D10" s="16" t="n">
        <v>317.857921199556</v>
      </c>
      <c r="I10" s="6" t="n">
        <v>7</v>
      </c>
      <c r="J10" s="12" t="n">
        <f aca="false">((1-C$2)*C$3*EXP(-$E$2*(I10^$G$2)))+(C$2*C$3*EXP(-$E$3*I10))</f>
        <v>534.046064033569</v>
      </c>
    </row>
    <row r="11" customFormat="false" ht="15" hidden="false" customHeight="false" outlineLevel="0" collapsed="false">
      <c r="B11" s="16" t="n">
        <v>72</v>
      </c>
      <c r="C11" s="17" t="n">
        <v>42.1569836596603</v>
      </c>
      <c r="D11" s="16" t="n">
        <v>56.3904964400666</v>
      </c>
      <c r="I11" s="6" t="n">
        <v>8</v>
      </c>
      <c r="J11" s="12" t="n">
        <f aca="false">((1-C$2)*C$3*EXP(-$E$2*(I11^$G$2)))+(C$2*C$3*EXP(-$E$3*I11))</f>
        <v>502.036658666333</v>
      </c>
    </row>
    <row r="12" customFormat="false" ht="15" hidden="false" customHeight="false" outlineLevel="0" collapsed="false">
      <c r="B12" s="16" t="n">
        <v>900</v>
      </c>
      <c r="C12" s="17" t="n">
        <v>0</v>
      </c>
      <c r="D12" s="16" t="n">
        <v>820</v>
      </c>
      <c r="I12" s="6" t="n">
        <v>9</v>
      </c>
      <c r="J12" s="12" t="n">
        <f aca="false">((1-C$2)*C$3*EXP(-$E$2*(I12^$G$2)))+(C$2*C$3*EXP(-$E$3*I12))</f>
        <v>471.917210381466</v>
      </c>
    </row>
    <row r="13" customFormat="false" ht="15" hidden="false" customHeight="false" outlineLevel="0" collapsed="false">
      <c r="B13" s="16" t="n">
        <v>730</v>
      </c>
      <c r="C13" s="17" t="n">
        <v>3.44475137706018</v>
      </c>
      <c r="D13" s="16" t="n">
        <v>664.90051419922</v>
      </c>
      <c r="I13" s="6" t="n">
        <v>10</v>
      </c>
      <c r="J13" s="12" t="n">
        <f aca="false">((1-C$2)*C$3*EXP(-$E$2*(I13^$G$2)))+(C$2*C$3*EXP(-$E$3*I13))</f>
        <v>443.577459014996</v>
      </c>
    </row>
    <row r="14" customFormat="false" ht="15" hidden="false" customHeight="false" outlineLevel="0" collapsed="false">
      <c r="B14" s="16" t="n">
        <v>430</v>
      </c>
      <c r="C14" s="17" t="n">
        <v>10.2839595674637</v>
      </c>
      <c r="D14" s="16" t="n">
        <v>435.839857519927</v>
      </c>
      <c r="I14" s="6" t="n">
        <v>11</v>
      </c>
      <c r="J14" s="12" t="n">
        <f aca="false">((1-C$2)*C$3*EXP(-$E$2*(I14^$G$2)))+(C$2*C$3*EXP(-$E$3*I14))</f>
        <v>416.912560660121</v>
      </c>
    </row>
    <row r="15" customFormat="false" ht="15" hidden="false" customHeight="false" outlineLevel="0" collapsed="false">
      <c r="B15" s="16" t="n">
        <v>294</v>
      </c>
      <c r="C15" s="17" t="n">
        <v>17.0566520577023</v>
      </c>
      <c r="D15" s="16" t="n">
        <v>285.907150274627</v>
      </c>
      <c r="I15" s="6" t="n">
        <v>12</v>
      </c>
      <c r="J15" s="12" t="n">
        <f aca="false">((1-C$2)*C$3*EXP(-$E$2*(I15^$G$2)))+(C$2*C$3*EXP(-$E$3*I15))</f>
        <v>391.823298931834</v>
      </c>
    </row>
    <row r="16" customFormat="false" ht="15" hidden="false" customHeight="false" outlineLevel="0" collapsed="false">
      <c r="B16" s="16" t="n">
        <v>75</v>
      </c>
      <c r="C16" s="17" t="n">
        <v>33.7016069605542</v>
      </c>
      <c r="D16" s="16" t="n">
        <v>98.804025824071</v>
      </c>
      <c r="I16" s="6" t="n">
        <v>13</v>
      </c>
      <c r="J16" s="12" t="n">
        <f aca="false">((1-C$2)*C$3*EXP(-$E$2*(I16^$G$2)))+(C$2*C$3*EXP(-$E$3*I16))</f>
        <v>368.21607218554</v>
      </c>
    </row>
    <row r="17" customFormat="false" ht="15" hidden="false" customHeight="false" outlineLevel="0" collapsed="false">
      <c r="B17" s="16" t="n">
        <v>1</v>
      </c>
      <c r="C17" s="17" t="n">
        <v>96.3596348614606</v>
      </c>
      <c r="D17" s="16" t="n">
        <v>1.02019400366698</v>
      </c>
      <c r="I17" s="6" t="n">
        <v>14</v>
      </c>
      <c r="J17" s="12" t="n">
        <f aca="false">((1-C$2)*C$3*EXP(-$E$2*(I17^$G$2)))+(C$2*C$3*EXP(-$E$3*I17))</f>
        <v>346.002753685303</v>
      </c>
    </row>
    <row r="18" customFormat="false" ht="15" hidden="false" customHeight="false" outlineLevel="0" collapsed="false">
      <c r="B18" s="15"/>
      <c r="C18" s="18"/>
      <c r="D18" s="15"/>
      <c r="E18" s="19"/>
      <c r="I18" s="6" t="n">
        <v>15</v>
      </c>
      <c r="J18" s="12" t="n">
        <f aca="false">((1-C$2)*C$3*EXP(-$E$2*(I18^$G$2)))+(C$2*C$3*EXP(-$E$3*I18))</f>
        <v>325.100480590481</v>
      </c>
    </row>
    <row r="19" customFormat="false" ht="15" hidden="false" customHeight="false" outlineLevel="0" collapsed="false">
      <c r="B19" s="15"/>
      <c r="C19" s="18"/>
      <c r="D19" s="15"/>
      <c r="E19" s="19"/>
      <c r="I19" s="6" t="n">
        <v>16</v>
      </c>
      <c r="J19" s="12" t="n">
        <f aca="false">((1-C$2)*C$3*EXP(-$E$2*(I19^$G$2)))+(C$2*C$3*EXP(-$E$3*I19))</f>
        <v>305.431405105817</v>
      </c>
    </row>
    <row r="20" customFormat="false" ht="15" hidden="false" customHeight="false" outlineLevel="0" collapsed="false">
      <c r="C20" s="18"/>
      <c r="D20" s="15"/>
      <c r="E20" s="19"/>
      <c r="I20" s="6" t="n">
        <v>17</v>
      </c>
      <c r="J20" s="12" t="n">
        <f aca="false">((1-C$2)*C$3*EXP(-$E$2*(I20^$G$2)))+(C$2*C$3*EXP(-$E$3*I20))</f>
        <v>286.922428189514</v>
      </c>
    </row>
    <row r="21" customFormat="false" ht="15" hidden="false" customHeight="false" outlineLevel="0" collapsed="false">
      <c r="E21" s="19"/>
      <c r="I21" s="6" t="n">
        <v>18</v>
      </c>
      <c r="J21" s="12" t="n">
        <f aca="false">((1-C$2)*C$3*EXP(-$E$2*(I21^$G$2)))+(C$2*C$3*EXP(-$E$3*I21))</f>
        <v>269.504928469549</v>
      </c>
    </row>
    <row r="22" customFormat="false" ht="15" hidden="false" customHeight="false" outlineLevel="0" collapsed="false">
      <c r="E22" s="19"/>
      <c r="I22" s="6" t="n">
        <v>19</v>
      </c>
      <c r="J22" s="12" t="n">
        <f aca="false">((1-C$2)*C$3*EXP(-$E$2*(I22^$G$2)))+(C$2*C$3*EXP(-$E$3*I22))</f>
        <v>253.114494238699</v>
      </c>
    </row>
    <row r="23" customFormat="false" ht="15" hidden="false" customHeight="false" outlineLevel="0" collapsed="false">
      <c r="E23" s="19"/>
      <c r="I23" s="6" t="n">
        <v>20</v>
      </c>
      <c r="J23" s="12" t="n">
        <f aca="false">((1-C$2)*C$3*EXP(-$E$2*(I23^$G$2)))+(C$2*C$3*EXP(-$E$3*I23))</f>
        <v>237.690663373811</v>
      </c>
    </row>
    <row r="24" customFormat="false" ht="15" hidden="false" customHeight="false" outlineLevel="0" collapsed="false">
      <c r="E24" s="19"/>
      <c r="I24" s="6" t="n">
        <v>21</v>
      </c>
      <c r="J24" s="12" t="n">
        <f aca="false">((1-C$2)*C$3*EXP(-$E$2*(I24^$G$2)))+(C$2*C$3*EXP(-$E$3*I24))</f>
        <v>223.176674073154</v>
      </c>
    </row>
    <row r="25" customFormat="false" ht="15" hidden="false" customHeight="false" outlineLevel="0" collapsed="false">
      <c r="E25" s="19"/>
      <c r="I25" s="6" t="n">
        <v>22</v>
      </c>
      <c r="J25" s="12" t="n">
        <f aca="false">((1-C$2)*C$3*EXP(-$E$2*(I25^$G$2)))+(C$2*C$3*EXP(-$E$3*I25))</f>
        <v>209.519228029058</v>
      </c>
    </row>
    <row r="26" customFormat="false" ht="15" hidden="false" customHeight="false" outlineLevel="0" collapsed="false">
      <c r="E26" s="19"/>
      <c r="I26" s="6" t="n">
        <v>23</v>
      </c>
      <c r="J26" s="12" t="n">
        <f aca="false">((1-C$2)*C$3*EXP(-$E$2*(I26^$G$2)))+(C$2*C$3*EXP(-$E$3*I26))</f>
        <v>196.668266811079</v>
      </c>
    </row>
    <row r="27" customFormat="false" ht="15" hidden="false" customHeight="false" outlineLevel="0" collapsed="false">
      <c r="E27" s="19"/>
      <c r="I27" s="6" t="n">
        <v>24</v>
      </c>
      <c r="J27" s="12" t="n">
        <f aca="false">((1-C$2)*C$3*EXP(-$E$2*(I27^$G$2)))+(C$2*C$3*EXP(-$E$3*I27))</f>
        <v>184.57676167853</v>
      </c>
    </row>
    <row r="28" customFormat="false" ht="15" hidden="false" customHeight="false" outlineLevel="0" collapsed="false">
      <c r="E28" s="19"/>
      <c r="I28" s="6" t="n">
        <v>25</v>
      </c>
      <c r="J28" s="12" t="n">
        <f aca="false">((1-C$2)*C$3*EXP(-$E$2*(I28^$G$2)))+(C$2*C$3*EXP(-$E$3*I28))</f>
        <v>173.200516675494</v>
      </c>
    </row>
    <row r="29" customFormat="false" ht="15" hidden="false" customHeight="false" outlineLevel="0" collapsed="false">
      <c r="E29" s="19"/>
      <c r="I29" s="6" t="n">
        <v>26</v>
      </c>
      <c r="J29" s="12" t="n">
        <f aca="false">((1-C$2)*C$3*EXP(-$E$2*(I29^$G$2)))+(C$2*C$3*EXP(-$E$3*I29))</f>
        <v>162.49798462473</v>
      </c>
    </row>
    <row r="30" customFormat="false" ht="15" hidden="false" customHeight="false" outlineLevel="0" collapsed="false">
      <c r="E30" s="19"/>
      <c r="I30" s="6" t="n">
        <v>27</v>
      </c>
      <c r="J30" s="12" t="n">
        <f aca="false">((1-C$2)*C$3*EXP(-$E$2*(I30^$G$2)))+(C$2*C$3*EXP(-$E$3*I30))</f>
        <v>152.430095488329</v>
      </c>
    </row>
    <row r="31" customFormat="false" ht="15" hidden="false" customHeight="false" outlineLevel="0" collapsed="false">
      <c r="E31" s="19"/>
      <c r="I31" s="6" t="n">
        <v>28</v>
      </c>
      <c r="J31" s="12" t="n">
        <f aca="false">((1-C$2)*C$3*EXP(-$E$2*(I31^$G$2)))+(C$2*C$3*EXP(-$E$3*I31))</f>
        <v>142.960096475078</v>
      </c>
    </row>
    <row r="32" customFormat="false" ht="15" hidden="false" customHeight="false" outlineLevel="0" collapsed="false">
      <c r="E32" s="19"/>
      <c r="I32" s="6" t="n">
        <v>29</v>
      </c>
      <c r="J32" s="12" t="n">
        <f aca="false">((1-C$2)*C$3*EXP(-$E$2*(I32^$G$2)))+(C$2*C$3*EXP(-$E$3*I32))</f>
        <v>134.053403228454</v>
      </c>
    </row>
    <row r="33" customFormat="false" ht="15" hidden="false" customHeight="false" outlineLevel="0" collapsed="false">
      <c r="E33" s="19"/>
      <c r="F33" s="19"/>
      <c r="I33" s="6" t="n">
        <v>30</v>
      </c>
      <c r="J33" s="12" t="n">
        <f aca="false">((1-C$2)*C$3*EXP(-$E$2*(I33^$G$2)))+(C$2*C$3*EXP(-$E$3*I33))</f>
        <v>125.677461411934</v>
      </c>
    </row>
    <row r="34" customFormat="false" ht="15" hidden="false" customHeight="false" outlineLevel="0" collapsed="false">
      <c r="B34" s="19"/>
      <c r="C34" s="19"/>
      <c r="D34" s="19"/>
      <c r="E34" s="19"/>
      <c r="F34" s="19"/>
      <c r="I34" s="6" t="n">
        <v>31</v>
      </c>
      <c r="J34" s="12" t="n">
        <f aca="false">((1-C$2)*C$3*EXP(-$E$2*(I34^$G$2)))+(C$2*C$3*EXP(-$E$3*I34))</f>
        <v>117.801618010828</v>
      </c>
    </row>
    <row r="35" customFormat="false" ht="15" hidden="false" customHeight="false" outlineLevel="0" collapsed="false">
      <c r="B35" s="19"/>
      <c r="C35" s="19"/>
      <c r="D35" s="19"/>
      <c r="E35" s="19"/>
      <c r="F35" s="19"/>
      <c r="I35" s="6" t="n">
        <v>32</v>
      </c>
      <c r="J35" s="12" t="n">
        <f aca="false">((1-C$2)*C$3*EXP(-$E$2*(I35^$G$2)))+(C$2*C$3*EXP(-$E$3*I35))</f>
        <v>110.397001685691</v>
      </c>
    </row>
    <row r="36" customFormat="false" ht="15" hidden="false" customHeight="false" outlineLevel="0" collapsed="false">
      <c r="B36" s="19"/>
      <c r="C36" s="19"/>
      <c r="D36" s="19"/>
      <c r="E36" s="19"/>
      <c r="F36" s="19"/>
      <c r="I36" s="6" t="n">
        <v>33</v>
      </c>
      <c r="J36" s="12" t="n">
        <f aca="false">((1-C$2)*C$3*EXP(-$E$2*(I36^$G$2)))+(C$2*C$3*EXP(-$E$3*I36))</f>
        <v>103.43641153697</v>
      </c>
    </row>
    <row r="37" customFormat="false" ht="15" hidden="false" customHeight="false" outlineLevel="0" collapsed="false">
      <c r="B37" s="19"/>
      <c r="C37" s="19"/>
      <c r="D37" s="19"/>
      <c r="E37" s="19"/>
      <c r="F37" s="19"/>
      <c r="I37" s="6" t="n">
        <v>34</v>
      </c>
      <c r="J37" s="12" t="n">
        <f aca="false">((1-C$2)*C$3*EXP(-$E$2*(I37^$G$2)))+(C$2*C$3*EXP(-$E$3*I37))</f>
        <v>96.8942136706875</v>
      </c>
    </row>
    <row r="38" customFormat="false" ht="15" hidden="false" customHeight="false" outlineLevel="0" collapsed="false">
      <c r="B38" s="19"/>
      <c r="C38" s="19"/>
      <c r="D38" s="19"/>
      <c r="E38" s="19"/>
      <c r="F38" s="19"/>
      <c r="I38" s="6" t="n">
        <v>35</v>
      </c>
      <c r="J38" s="12" t="n">
        <f aca="false">((1-C$2)*C$3*EXP(-$E$2*(I38^$G$2)))+(C$2*C$3*EXP(-$E$3*I38))</f>
        <v>90.7462449883578</v>
      </c>
    </row>
    <row r="39" customFormat="false" ht="15" hidden="false" customHeight="false" outlineLevel="0" collapsed="false">
      <c r="B39" s="19"/>
      <c r="C39" s="19"/>
      <c r="D39" s="19"/>
      <c r="E39" s="19"/>
      <c r="F39" s="19"/>
      <c r="I39" s="6" t="n">
        <v>36</v>
      </c>
      <c r="J39" s="12" t="n">
        <f aca="false">((1-C$2)*C$3*EXP(-$E$2*(I39^$G$2)))+(C$2*C$3*EXP(-$E$3*I39))</f>
        <v>84.9697236592346</v>
      </c>
    </row>
    <row r="40" customFormat="false" ht="15" hidden="false" customHeight="false" outlineLevel="0" collapsed="false">
      <c r="B40" s="19"/>
      <c r="C40" s="19"/>
      <c r="D40" s="19"/>
      <c r="E40" s="19"/>
      <c r="F40" s="19"/>
      <c r="I40" s="6" t="n">
        <v>37</v>
      </c>
      <c r="J40" s="12" t="n">
        <f aca="false">((1-C$2)*C$3*EXP(-$E$2*(I40^$G$2)))+(C$2*C$3*EXP(-$E$3*I40))</f>
        <v>79.5431657683814</v>
      </c>
    </row>
    <row r="41" customFormat="false" ht="15" hidden="false" customHeight="false" outlineLevel="0" collapsed="false">
      <c r="B41" s="19"/>
      <c r="C41" s="19"/>
      <c r="D41" s="19"/>
      <c r="E41" s="19"/>
      <c r="F41" s="19"/>
      <c r="I41" s="6" t="n">
        <v>38</v>
      </c>
      <c r="J41" s="12" t="n">
        <f aca="false">((1-C$2)*C$3*EXP(-$E$2*(I41^$G$2)))+(C$2*C$3*EXP(-$E$3*I41))</f>
        <v>74.4463076689812</v>
      </c>
    </row>
    <row r="42" customFormat="false" ht="15" hidden="false" customHeight="false" outlineLevel="0" collapsed="false">
      <c r="B42" s="19"/>
      <c r="C42" s="19"/>
      <c r="D42" s="19"/>
      <c r="E42" s="19"/>
      <c r="F42" s="19"/>
      <c r="I42" s="6" t="n">
        <v>39</v>
      </c>
      <c r="J42" s="12" t="n">
        <f aca="false">((1-C$2)*C$3*EXP(-$E$2*(I42^$G$2)))+(C$2*C$3*EXP(-$E$3*I42))</f>
        <v>69.6600336012848</v>
      </c>
    </row>
    <row r="43" customFormat="false" ht="15" hidden="false" customHeight="false" outlineLevel="0" collapsed="false">
      <c r="B43" s="19"/>
      <c r="C43" s="19"/>
      <c r="D43" s="19"/>
      <c r="E43" s="19"/>
      <c r="F43" s="19"/>
      <c r="I43" s="6" t="n">
        <v>40</v>
      </c>
      <c r="J43" s="12" t="n">
        <f aca="false">((1-C$2)*C$3*EXP(-$E$2*(I43^$G$2)))+(C$2*C$3*EXP(-$E$3*I43))</f>
        <v>65.1663081732205</v>
      </c>
    </row>
    <row r="44" customFormat="false" ht="15" hidden="false" customHeight="false" outlineLevel="0" collapsed="false">
      <c r="B44" s="19"/>
      <c r="C44" s="19"/>
      <c r="D44" s="19"/>
      <c r="E44" s="19"/>
      <c r="F44" s="19"/>
      <c r="I44" s="6" t="n">
        <v>41</v>
      </c>
      <c r="J44" s="12" t="n">
        <f aca="false">((1-C$2)*C$3*EXP(-$E$2*(I44^$G$2)))+(C$2*C$3*EXP(-$E$3*I44))</f>
        <v>60.9481133287241</v>
      </c>
    </row>
    <row r="45" customFormat="false" ht="15" hidden="false" customHeight="false" outlineLevel="0" collapsed="false">
      <c r="B45" s="19"/>
      <c r="C45" s="19"/>
      <c r="D45" s="19"/>
      <c r="F45" s="19"/>
      <c r="I45" s="6" t="n">
        <v>42</v>
      </c>
      <c r="J45" s="12" t="n">
        <f aca="false">((1-C$2)*C$3*EXP(-$E$2*(I45^$G$2)))+(C$2*C$3*EXP(-$E$3*I45))</f>
        <v>56.9893894591476</v>
      </c>
    </row>
    <row r="46" customFormat="false" ht="15" hidden="false" customHeight="false" outlineLevel="0" collapsed="false">
      <c r="B46" s="19"/>
      <c r="C46" s="19"/>
      <c r="D46" s="19"/>
      <c r="F46" s="19"/>
      <c r="I46" s="6" t="n">
        <v>43</v>
      </c>
      <c r="J46" s="12" t="n">
        <f aca="false">((1-C$2)*C$3*EXP(-$E$2*(I46^$G$2)))+(C$2*C$3*EXP(-$E$3*I46))</f>
        <v>53.2749803406055</v>
      </c>
    </row>
    <row r="47" customFormat="false" ht="15" hidden="false" customHeight="false" outlineLevel="0" collapsed="false">
      <c r="B47" s="19"/>
      <c r="C47" s="19"/>
      <c r="D47" s="19"/>
      <c r="F47" s="19"/>
      <c r="I47" s="6" t="n">
        <v>44</v>
      </c>
      <c r="J47" s="12" t="n">
        <f aca="false">((1-C$2)*C$3*EXP(-$E$2*(I47^$G$2)))+(C$2*C$3*EXP(-$E$3*I47))</f>
        <v>49.7905816057945</v>
      </c>
    </row>
    <row r="48" customFormat="false" ht="15" hidden="false" customHeight="false" outlineLevel="0" collapsed="false">
      <c r="B48" s="19"/>
      <c r="C48" s="19"/>
      <c r="D48" s="19"/>
      <c r="F48" s="19"/>
      <c r="I48" s="6" t="n">
        <v>45</v>
      </c>
      <c r="J48" s="12" t="n">
        <f aca="false">((1-C$2)*C$3*EXP(-$E$2*(I48^$G$2)))+(C$2*C$3*EXP(-$E$3*I48))</f>
        <v>46.5226924827108</v>
      </c>
    </row>
    <row r="49" customFormat="false" ht="15" hidden="false" customHeight="false" outlineLevel="0" collapsed="false">
      <c r="B49" s="19"/>
      <c r="C49" s="19"/>
      <c r="D49" s="19"/>
      <c r="F49" s="19"/>
      <c r="G49" s="19"/>
      <c r="H49" s="19"/>
      <c r="I49" s="6" t="n">
        <v>46</v>
      </c>
      <c r="J49" s="12" t="n">
        <f aca="false">((1-C$2)*C$3*EXP(-$E$2*(I49^$G$2)))+(C$2*C$3*EXP(-$E$3*I49))</f>
        <v>43.4585705548168</v>
      </c>
    </row>
    <row r="50" customFormat="false" ht="15" hidden="false" customHeight="false" outlineLevel="0" collapsed="false">
      <c r="B50" s="19"/>
      <c r="C50" s="19"/>
      <c r="D50" s="19"/>
      <c r="F50" s="19"/>
      <c r="G50" s="19"/>
      <c r="H50" s="19"/>
      <c r="I50" s="6" t="n">
        <v>47</v>
      </c>
      <c r="J50" s="12" t="n">
        <f aca="false">((1-C$2)*C$3*EXP(-$E$2*(I50^$G$2)))+(C$2*C$3*EXP(-$E$3*I50))</f>
        <v>40.5861893176659</v>
      </c>
    </row>
    <row r="51" customFormat="false" ht="15" hidden="false" customHeight="false" outlineLevel="0" collapsed="false">
      <c r="B51" s="19"/>
      <c r="C51" s="19"/>
      <c r="D51" s="19"/>
      <c r="F51" s="19"/>
      <c r="G51" s="19"/>
      <c r="H51" s="19"/>
      <c r="I51" s="6" t="n">
        <v>48</v>
      </c>
      <c r="J51" s="12" t="n">
        <f aca="false">((1-C$2)*C$3*EXP(-$E$2*(I51^$G$2)))+(C$2*C$3*EXP(-$E$3*I51))</f>
        <v>37.8941983258391</v>
      </c>
    </row>
    <row r="52" customFormat="false" ht="15" hidden="false" customHeight="false" outlineLevel="0" collapsed="false">
      <c r="B52" s="19"/>
      <c r="C52" s="19"/>
      <c r="D52" s="19"/>
      <c r="F52" s="19"/>
      <c r="G52" s="19"/>
      <c r="H52" s="19"/>
      <c r="I52" s="6" t="n">
        <v>49</v>
      </c>
      <c r="J52" s="12" t="n">
        <f aca="false">((1-C$2)*C$3*EXP(-$E$2*(I52^$G$2)))+(C$2*C$3*EXP(-$E$3*I52))</f>
        <v>35.3718857413819</v>
      </c>
    </row>
    <row r="53" customFormat="false" ht="15" hidden="false" customHeight="false" outlineLevel="0" collapsed="false">
      <c r="B53" s="19"/>
      <c r="C53" s="19"/>
      <c r="D53" s="19"/>
      <c r="F53" s="19"/>
      <c r="G53" s="19"/>
      <c r="H53" s="19"/>
      <c r="I53" s="6" t="n">
        <v>50</v>
      </c>
      <c r="J53" s="12" t="n">
        <f aca="false">((1-C$2)*C$3*EXP(-$E$2*(I53^$G$2)))+(C$2*C$3*EXP(-$E$3*I53))</f>
        <v>33.0091431108297</v>
      </c>
    </row>
    <row r="54" customFormat="false" ht="15" hidden="false" customHeight="false" outlineLevel="0" collapsed="false">
      <c r="B54" s="19"/>
      <c r="C54" s="19"/>
      <c r="D54" s="19"/>
      <c r="F54" s="19"/>
      <c r="G54" s="19"/>
      <c r="H54" s="19"/>
      <c r="I54" s="6" t="n">
        <v>51</v>
      </c>
      <c r="J54" s="12" t="n">
        <f aca="false">((1-C$2)*C$3*EXP(-$E$2*(I54^$G$2)))+(C$2*C$3*EXP(-$E$3*I54))</f>
        <v>30.7964322124867</v>
      </c>
    </row>
    <row r="55" customFormat="false" ht="15" hidden="false" customHeight="false" outlineLevel="0" collapsed="false">
      <c r="B55" s="19"/>
      <c r="C55" s="19"/>
      <c r="D55" s="19"/>
      <c r="F55" s="19"/>
      <c r="G55" s="19"/>
      <c r="H55" s="19"/>
      <c r="I55" s="6" t="n">
        <v>52</v>
      </c>
      <c r="J55" s="12" t="n">
        <f aca="false">((1-C$2)*C$3*EXP(-$E$2*(I55^$G$2)))+(C$2*C$3*EXP(-$E$3*I55))</f>
        <v>28.7247538289424</v>
      </c>
    </row>
    <row r="56" customFormat="false" ht="15" hidden="false" customHeight="false" outlineLevel="0" collapsed="false">
      <c r="B56" s="19"/>
      <c r="C56" s="19"/>
      <c r="D56" s="19"/>
      <c r="F56" s="19"/>
      <c r="G56" s="19"/>
      <c r="H56" s="19"/>
      <c r="I56" s="6" t="n">
        <v>53</v>
      </c>
      <c r="J56" s="12" t="n">
        <f aca="false">((1-C$2)*C$3*EXP(-$E$2*(I56^$G$2)))+(C$2*C$3*EXP(-$E$3*I56))</f>
        <v>26.7856183119856</v>
      </c>
    </row>
    <row r="57" customFormat="false" ht="15" hidden="false" customHeight="false" outlineLevel="0" collapsed="false">
      <c r="B57" s="19"/>
      <c r="C57" s="19"/>
      <c r="D57" s="19"/>
      <c r="F57" s="19"/>
      <c r="G57" s="19"/>
      <c r="H57" s="19"/>
      <c r="I57" s="6" t="n">
        <v>54</v>
      </c>
      <c r="J57" s="12" t="n">
        <f aca="false">((1-C$2)*C$3*EXP(-$E$2*(I57^$G$2)))+(C$2*C$3*EXP(-$E$3*I57))</f>
        <v>24.9710178181776</v>
      </c>
    </row>
    <row r="58" customFormat="false" ht="15" hidden="false" customHeight="false" outlineLevel="0" collapsed="false">
      <c r="B58" s="19"/>
      <c r="C58" s="19"/>
      <c r="D58" s="19"/>
      <c r="F58" s="19"/>
      <c r="G58" s="19"/>
      <c r="H58" s="19"/>
      <c r="I58" s="6" t="n">
        <v>55</v>
      </c>
      <c r="J58" s="12" t="n">
        <f aca="false">((1-C$2)*C$3*EXP(-$E$2*(I58^$G$2)))+(C$2*C$3*EXP(-$E$3*I58))</f>
        <v>23.2734001034622</v>
      </c>
    </row>
    <row r="59" customFormat="false" ht="15" hidden="false" customHeight="false" outlineLevel="0" collapsed="false">
      <c r="B59" s="19"/>
      <c r="C59" s="19"/>
      <c r="D59" s="19"/>
      <c r="F59" s="19"/>
      <c r="G59" s="19"/>
      <c r="H59" s="19"/>
      <c r="I59" s="6" t="n">
        <v>56</v>
      </c>
      <c r="J59" s="12" t="n">
        <f aca="false">((1-C$2)*C$3*EXP(-$E$2*(I59^$G$2)))+(C$2*C$3*EXP(-$E$3*I59))</f>
        <v>21.6856437744034</v>
      </c>
    </row>
    <row r="60" customFormat="false" ht="15" hidden="false" customHeight="false" outlineLevel="0" collapsed="false">
      <c r="B60" s="19"/>
      <c r="C60" s="19"/>
      <c r="D60" s="19"/>
      <c r="G60" s="19"/>
      <c r="H60" s="19"/>
      <c r="I60" s="6" t="n">
        <v>57</v>
      </c>
      <c r="J60" s="12" t="n">
        <f aca="false">((1-C$2)*C$3*EXP(-$E$2*(I60^$G$2)))+(C$2*C$3*EXP(-$E$3*I60))</f>
        <v>20.2010349020174</v>
      </c>
    </row>
    <row r="61" customFormat="false" ht="15" hidden="false" customHeight="false" outlineLevel="0" collapsed="false">
      <c r="G61" s="19"/>
      <c r="H61" s="19"/>
      <c r="I61" s="6" t="n">
        <v>58</v>
      </c>
      <c r="J61" s="12" t="n">
        <f aca="false">((1-C$2)*C$3*EXP(-$E$2*(I61^$G$2)))+(C$2*C$3*EXP(-$E$3*I61))</f>
        <v>18.8132449117817</v>
      </c>
    </row>
    <row r="62" customFormat="false" ht="15" hidden="false" customHeight="false" outlineLevel="0" collapsed="false">
      <c r="G62" s="19"/>
      <c r="H62" s="19"/>
      <c r="I62" s="6" t="n">
        <v>59</v>
      </c>
      <c r="J62" s="12" t="n">
        <f aca="false">((1-C$2)*C$3*EXP(-$E$2*(I62^$G$2)))+(C$2*C$3*EXP(-$E$3*I62))</f>
        <v>17.5163096703215</v>
      </c>
    </row>
    <row r="63" customFormat="false" ht="15" hidden="false" customHeight="false" outlineLevel="0" collapsed="false">
      <c r="G63" s="19"/>
      <c r="H63" s="19"/>
      <c r="I63" s="6" t="n">
        <v>60</v>
      </c>
      <c r="J63" s="12" t="n">
        <f aca="false">((1-C$2)*C$3*EXP(-$E$2*(I63^$G$2)))+(C$2*C$3*EXP(-$E$3*I63))</f>
        <v>16.3046096955572</v>
      </c>
    </row>
    <row r="64" customFormat="false" ht="15" hidden="false" customHeight="false" outlineLevel="0" collapsed="false">
      <c r="G64" s="19"/>
      <c r="H64" s="19"/>
      <c r="I64" s="6" t="n">
        <v>61</v>
      </c>
      <c r="J64" s="12" t="n">
        <f aca="false">((1-C$2)*C$3*EXP(-$E$2*(I64^$G$2)))+(C$2*C$3*EXP(-$E$3*I64))</f>
        <v>15.1728514227955</v>
      </c>
    </row>
    <row r="65" customFormat="false" ht="15" hidden="false" customHeight="false" outlineLevel="0" collapsed="false">
      <c r="G65" s="19"/>
      <c r="H65" s="19"/>
      <c r="I65" s="6" t="n">
        <v>62</v>
      </c>
      <c r="J65" s="12" t="n">
        <f aca="false">((1-C$2)*C$3*EXP(-$E$2*(I65^$G$2)))+(C$2*C$3*EXP(-$E$3*I65))</f>
        <v>14.1160494644269</v>
      </c>
    </row>
    <row r="66" customFormat="false" ht="15" hidden="false" customHeight="false" outlineLevel="0" collapsed="false">
      <c r="G66" s="19"/>
      <c r="H66" s="19"/>
      <c r="I66" s="6" t="n">
        <v>63</v>
      </c>
      <c r="J66" s="12" t="n">
        <f aca="false">((1-C$2)*C$3*EXP(-$E$2*(I66^$G$2)))+(C$2*C$3*EXP(-$E$3*I66))</f>
        <v>13.1295098055837</v>
      </c>
    </row>
    <row r="67" customFormat="false" ht="15" hidden="false" customHeight="false" outlineLevel="0" collapsed="false">
      <c r="G67" s="19"/>
      <c r="H67" s="19"/>
      <c r="I67" s="6" t="n">
        <v>64</v>
      </c>
      <c r="J67" s="12" t="n">
        <f aca="false">((1-C$2)*C$3*EXP(-$E$2*(I67^$G$2)))+(C$2*C$3*EXP(-$E$3*I67))</f>
        <v>12.2088138823791</v>
      </c>
    </row>
    <row r="68" customFormat="false" ht="15" hidden="false" customHeight="false" outlineLevel="0" collapsed="false">
      <c r="G68" s="19"/>
      <c r="H68" s="19"/>
      <c r="I68" s="6" t="n">
        <v>65</v>
      </c>
      <c r="J68" s="12" t="n">
        <f aca="false">((1-C$2)*C$3*EXP(-$E$2*(I68^$G$2)))+(C$2*C$3*EXP(-$E$3*I68))</f>
        <v>11.3498034932156</v>
      </c>
    </row>
    <row r="69" customFormat="false" ht="15" hidden="false" customHeight="false" outlineLevel="0" collapsed="false">
      <c r="G69" s="19"/>
      <c r="H69" s="19"/>
      <c r="I69" s="6" t="n">
        <v>66</v>
      </c>
      <c r="J69" s="12" t="n">
        <f aca="false">((1-C$2)*C$3*EXP(-$E$2*(I69^$G$2)))+(C$2*C$3*EXP(-$E$3*I69))</f>
        <v>10.5485664971665</v>
      </c>
    </row>
    <row r="70" customFormat="false" ht="15" hidden="false" customHeight="false" outlineLevel="0" collapsed="false">
      <c r="G70" s="19"/>
      <c r="H70" s="19"/>
      <c r="I70" s="6" t="n">
        <v>67</v>
      </c>
      <c r="J70" s="12" t="n">
        <f aca="false">((1-C$2)*C$3*EXP(-$E$2*(I70^$G$2)))+(C$2*C$3*EXP(-$E$3*I70))</f>
        <v>9.80142325662601</v>
      </c>
    </row>
    <row r="71" customFormat="false" ht="15" hidden="false" customHeight="false" outlineLevel="0" collapsed="false">
      <c r="G71" s="19"/>
      <c r="H71" s="19"/>
      <c r="I71" s="6" t="n">
        <v>68</v>
      </c>
      <c r="J71" s="12" t="n">
        <f aca="false">((1-C$2)*C$3*EXP(-$E$2*(I71^$G$2)))+(C$2*C$3*EXP(-$E$3*I71))</f>
        <v>9.10491378432941</v>
      </c>
    </row>
    <row r="72" customFormat="false" ht="15" hidden="false" customHeight="false" outlineLevel="0" collapsed="false">
      <c r="G72" s="19"/>
      <c r="H72" s="19"/>
      <c r="I72" s="6" t="n">
        <v>69</v>
      </c>
      <c r="J72" s="12" t="n">
        <f aca="false">((1-C$2)*C$3*EXP(-$E$2*(I72^$G$2)))+(C$2*C$3*EXP(-$E$3*I72))</f>
        <v>8.45578555748459</v>
      </c>
    </row>
    <row r="73" customFormat="false" ht="15" hidden="false" customHeight="false" outlineLevel="0" collapsed="false">
      <c r="G73" s="19"/>
      <c r="H73" s="19"/>
      <c r="I73" s="6" t="n">
        <v>70</v>
      </c>
      <c r="J73" s="12" t="n">
        <f aca="false">((1-C$2)*C$3*EXP(-$E$2*(I73^$G$2)))+(C$2*C$3*EXP(-$E$3*I73))</f>
        <v>7.85098196416684</v>
      </c>
    </row>
    <row r="74" customFormat="false" ht="15" hidden="false" customHeight="false" outlineLevel="0" collapsed="false">
      <c r="G74" s="19"/>
      <c r="H74" s="19"/>
      <c r="I74" s="19" t="n">
        <f aca="false">I73+1</f>
        <v>71</v>
      </c>
      <c r="J74" s="12" t="n">
        <f aca="false">((1-C$2)*C$3*EXP(-$E$2*(I74^$G$2)))+(C$2*C$3*EXP(-$E$3*I74))</f>
        <v>7.28763134932298</v>
      </c>
    </row>
    <row r="75" customFormat="false" ht="15" hidden="false" customHeight="false" outlineLevel="0" collapsed="false">
      <c r="G75" s="19"/>
      <c r="H75" s="19"/>
      <c r="I75" s="19" t="n">
        <f aca="false">I74+1</f>
        <v>72</v>
      </c>
      <c r="J75" s="12" t="n">
        <f aca="false">((1-C$2)*C$3*EXP(-$E$2*(I75^$G$2)))+(C$2*C$3*EXP(-$E$3*I75))</f>
        <v>6.76303662973803</v>
      </c>
    </row>
    <row r="76" customFormat="false" ht="15" hidden="false" customHeight="false" outlineLevel="0" collapsed="false">
      <c r="I76" s="19" t="n">
        <f aca="false">I75+1</f>
        <v>73</v>
      </c>
      <c r="J76" s="12" t="n">
        <f aca="false">((1-C$2)*C$3*EXP(-$E$2*(I76^$G$2)))+(C$2*C$3*EXP(-$E$3*I76))</f>
        <v>6.27466544915304</v>
      </c>
    </row>
    <row r="77" customFormat="false" ht="15" hidden="false" customHeight="false" outlineLevel="0" collapsed="false">
      <c r="I77" s="19" t="n">
        <f aca="false">I76+1</f>
        <v>74</v>
      </c>
      <c r="J77" s="12" t="n">
        <f aca="false">((1-C$2)*C$3*EXP(-$E$2*(I77^$G$2)))+(C$2*C$3*EXP(-$E$3*I77))</f>
        <v>5.82014084640468</v>
      </c>
    </row>
    <row r="78" customFormat="false" ht="15" hidden="false" customHeight="false" outlineLevel="0" collapsed="false">
      <c r="I78" s="19" t="n">
        <f aca="false">I77+1</f>
        <v>75</v>
      </c>
      <c r="J78" s="12" t="n">
        <f aca="false">((1-C$2)*C$3*EXP(-$E$2*(I78^$G$2)))+(C$2*C$3*EXP(-$E$3*I78))</f>
        <v>5.39723241100228</v>
      </c>
    </row>
    <row r="79" customFormat="false" ht="15" hidden="false" customHeight="false" outlineLevel="0" collapsed="false">
      <c r="I79" s="19" t="n">
        <f aca="false">I78+1</f>
        <v>76</v>
      </c>
      <c r="J79" s="12" t="n">
        <f aca="false">((1-C$2)*C$3*EXP(-$E$2*(I79^$G$2)))+(C$2*C$3*EXP(-$E$3*I79))</f>
        <v>5.0038479019789</v>
      </c>
    </row>
    <row r="80" customFormat="false" ht="15" hidden="false" customHeight="false" outlineLevel="0" collapsed="false">
      <c r="I80" s="19" t="n">
        <f aca="false">I79+1</f>
        <v>77</v>
      </c>
      <c r="J80" s="12" t="n">
        <f aca="false">((1-C$2)*C$3*EXP(-$E$2*(I80^$G$2)))+(C$2*C$3*EXP(-$E$3*I80))</f>
        <v>4.63802530716388</v>
      </c>
    </row>
    <row r="81" customFormat="false" ht="15" hidden="false" customHeight="false" outlineLevel="0" collapsed="false">
      <c r="I81" s="19" t="n">
        <f aca="false">I80+1</f>
        <v>78</v>
      </c>
      <c r="J81" s="12" t="n">
        <f aca="false">((1-C$2)*C$3*EXP(-$E$2*(I81^$G$2)))+(C$2*C$3*EXP(-$E$3*I81))</f>
        <v>4.29792532123549</v>
      </c>
    </row>
    <row r="82" customFormat="false" ht="15" hidden="false" customHeight="false" outlineLevel="0" collapsed="false">
      <c r="I82" s="19" t="n">
        <f aca="false">I81+1</f>
        <v>79</v>
      </c>
      <c r="J82" s="12" t="n">
        <f aca="false">((1-C$2)*C$3*EXP(-$E$2*(I82^$G$2)))+(C$2*C$3*EXP(-$E$3*I82))</f>
        <v>3.98182422203445</v>
      </c>
    </row>
    <row r="83" customFormat="false" ht="15" hidden="false" customHeight="false" outlineLevel="0" collapsed="false">
      <c r="I83" s="19" t="n">
        <f aca="false">I82+1</f>
        <v>80</v>
      </c>
      <c r="J83" s="12" t="n">
        <f aca="false">((1-C$2)*C$3*EXP(-$E$2*(I83^$G$2)))+(C$2*C$3*EXP(-$E$3*I83))</f>
        <v>3.68810712566142</v>
      </c>
    </row>
    <row r="84" customFormat="false" ht="15" hidden="false" customHeight="false" outlineLevel="0" collapsed="false">
      <c r="I84" s="19" t="n">
        <f aca="false">I83+1</f>
        <v>81</v>
      </c>
      <c r="J84" s="12" t="n">
        <f aca="false">((1-C$2)*C$3*EXP(-$E$2*(I84^$G$2)))+(C$2*C$3*EXP(-$E$3*I84))</f>
        <v>3.41526160185151</v>
      </c>
    </row>
    <row r="85" customFormat="false" ht="15" hidden="false" customHeight="false" outlineLevel="0" collapsed="false">
      <c r="I85" s="19" t="n">
        <f aca="false">I84+1</f>
        <v>82</v>
      </c>
      <c r="J85" s="12" t="n">
        <f aca="false">((1-C$2)*C$3*EXP(-$E$2*(I85^$G$2)))+(C$2*C$3*EXP(-$E$3*I85))</f>
        <v>3.16187163202484</v>
      </c>
    </row>
    <row r="86" customFormat="false" ht="15" hidden="false" customHeight="false" outlineLevel="0" collapsed="false">
      <c r="I86" s="19" t="n">
        <f aca="false">I85+1</f>
        <v>83</v>
      </c>
      <c r="J86" s="12" t="n">
        <f aca="false">((1-C$2)*C$3*EXP(-$E$2*(I86^$G$2)))+(C$2*C$3*EXP(-$E$3*I86))</f>
        <v>2.92661189325943</v>
      </c>
    </row>
    <row r="87" customFormat="false" ht="15" hidden="false" customHeight="false" outlineLevel="0" collapsed="false">
      <c r="I87" s="19" t="n">
        <f aca="false">I86+1</f>
        <v>84</v>
      </c>
      <c r="J87" s="12" t="n">
        <f aca="false">((1-C$2)*C$3*EXP(-$E$2*(I87^$G$2)))+(C$2*C$3*EXP(-$E$3*I87))</f>
        <v>2.70824235222764</v>
      </c>
    </row>
    <row r="88" customFormat="false" ht="15" hidden="false" customHeight="false" outlineLevel="0" collapsed="false">
      <c r="I88" s="19" t="n">
        <f aca="false">I87+1</f>
        <v>85</v>
      </c>
      <c r="J88" s="12" t="n">
        <f aca="false">((1-C$2)*C$3*EXP(-$E$2*(I88^$G$2)))+(C$2*C$3*EXP(-$E$3*I88))</f>
        <v>2.50560315388512</v>
      </c>
    </row>
    <row r="89" customFormat="false" ht="15" hidden="false" customHeight="false" outlineLevel="0" collapsed="false">
      <c r="I89" s="19" t="n">
        <f aca="false">I88+1</f>
        <v>86</v>
      </c>
      <c r="J89" s="12" t="n">
        <f aca="false">((1-C$2)*C$3*EXP(-$E$2*(I89^$G$2)))+(C$2*C$3*EXP(-$E$3*I89))</f>
        <v>2.31760979040551</v>
      </c>
    </row>
    <row r="90" customFormat="false" ht="15" hidden="false" customHeight="false" outlineLevel="0" collapsed="false">
      <c r="I90" s="19" t="n">
        <f aca="false">I89+1</f>
        <v>87</v>
      </c>
      <c r="J90" s="12" t="n">
        <f aca="false">((1-C$2)*C$3*EXP(-$E$2*(I90^$G$2)))+(C$2*C$3*EXP(-$E$3*I90))</f>
        <v>2.14324853652008</v>
      </c>
    </row>
    <row r="91" customFormat="false" ht="15" hidden="false" customHeight="false" outlineLevel="0" collapsed="false">
      <c r="I91" s="19" t="n">
        <f aca="false">I90+1</f>
        <v>88</v>
      </c>
      <c r="J91" s="12" t="n">
        <f aca="false">((1-C$2)*C$3*EXP(-$E$2*(I91^$G$2)))+(C$2*C$3*EXP(-$E$3*I91))</f>
        <v>1.98157213805155</v>
      </c>
    </row>
    <row r="92" customFormat="false" ht="15" hidden="false" customHeight="false" outlineLevel="0" collapsed="false">
      <c r="I92" s="19" t="n">
        <f aca="false">I91+1</f>
        <v>89</v>
      </c>
      <c r="J92" s="12" t="n">
        <f aca="false">((1-C$2)*C$3*EXP(-$E$2*(I92^$G$2)))+(C$2*C$3*EXP(-$E$3*I92))</f>
        <v>1.83169574102924</v>
      </c>
    </row>
    <row r="93" customFormat="false" ht="15" hidden="false" customHeight="false" outlineLevel="0" collapsed="false">
      <c r="I93" s="19" t="n">
        <f aca="false">I92+1</f>
        <v>90</v>
      </c>
      <c r="J93" s="12" t="n">
        <f aca="false">((1-C$2)*C$3*EXP(-$E$2*(I93^$G$2)))+(C$2*C$3*EXP(-$E$3*I93))</f>
        <v>1.69279304934087</v>
      </c>
    </row>
    <row r="94" customFormat="false" ht="15" hidden="false" customHeight="false" outlineLevel="0" collapsed="false">
      <c r="I94" s="19" t="n">
        <f aca="false">I93+1</f>
        <v>91</v>
      </c>
      <c r="J94" s="20" t="n">
        <f aca="false">((1-C$2)*C$3*EXP(-$E$2*(I94^$G$2)))+(C$2*C$3*EXP(-$E$3*I94))</f>
        <v>1.5640926994173</v>
      </c>
    </row>
    <row r="95" customFormat="false" ht="15" hidden="false" customHeight="false" outlineLevel="0" collapsed="false">
      <c r="I95" s="19" t="n">
        <f aca="false">I94+1</f>
        <v>92</v>
      </c>
      <c r="J95" s="20" t="n">
        <f aca="false">((1-C$2)*C$3*EXP(-$E$2*(I95^$G$2)))+(C$2*C$3*EXP(-$E$3*I95))</f>
        <v>1.4448748409625</v>
      </c>
    </row>
    <row r="96" customFormat="false" ht="15" hidden="false" customHeight="false" outlineLevel="0" collapsed="false">
      <c r="I96" s="19" t="n">
        <f aca="false">I95+1</f>
        <v>93</v>
      </c>
      <c r="J96" s="20" t="n">
        <f aca="false">((1-C$2)*C$3*EXP(-$E$2*(I96^$G$2)))+(C$2*C$3*EXP(-$E$3*I96))</f>
        <v>1.33446791323336</v>
      </c>
    </row>
    <row r="97" customFormat="false" ht="15" hidden="false" customHeight="false" outlineLevel="0" collapsed="false">
      <c r="I97" s="19" t="n">
        <f aca="false">I96+1</f>
        <v>94</v>
      </c>
      <c r="J97" s="20" t="n">
        <f aca="false">((1-C$2)*C$3*EXP(-$E$2*(I97^$G$2)))+(C$2*C$3*EXP(-$E$3*I97))</f>
        <v>1.23224560684534</v>
      </c>
    </row>
    <row r="98" customFormat="false" ht="15" hidden="false" customHeight="false" outlineLevel="0" collapsed="false">
      <c r="I98" s="19" t="n">
        <f aca="false">I97+1</f>
        <v>95</v>
      </c>
      <c r="J98" s="20" t="n">
        <f aca="false">((1-C$2)*C$3*EXP(-$E$2*(I98^$G$2)))+(C$2*C$3*EXP(-$E$3*I98))</f>
        <v>1.1376240015304</v>
      </c>
    </row>
    <row r="99" customFormat="false" ht="15" hidden="false" customHeight="false" outlineLevel="0" collapsed="false">
      <c r="I99" s="19" t="n">
        <f aca="false">I98+1</f>
        <v>96</v>
      </c>
      <c r="J99" s="20" t="n">
        <f aca="false">((1-C$2)*C$3*EXP(-$E$2*(I99^$G$2)))+(C$2*C$3*EXP(-$E$3*I99))</f>
        <v>1.0500588707057</v>
      </c>
    </row>
    <row r="100" customFormat="false" ht="15" hidden="false" customHeight="false" outlineLevel="0" collapsed="false">
      <c r="I100" s="19" t="n">
        <f aca="false">I99+1</f>
        <v>97</v>
      </c>
      <c r="J100" s="20" t="n">
        <f aca="false">((1-C$2)*C$3*EXP(-$E$2*(I100^$G$2)))+(C$2*C$3*EXP(-$E$3*I100))</f>
        <v>0.969043144125805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&amp;C_x005F_x000D_&amp;1#&amp;"Default,Regular"&amp;10&amp;Kd89b2b Confidential - Company Proprietary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23.57"/>
    <col collapsed="false" customWidth="true" hidden="false" outlineLevel="0" max="4" min="4" style="0" width="24.42"/>
  </cols>
  <sheetData>
    <row r="2" customFormat="false" ht="15" hidden="false" customHeight="false" outlineLevel="0" collapsed="false">
      <c r="B2" s="1" t="s">
        <v>0</v>
      </c>
      <c r="C2" s="2" t="n">
        <v>0</v>
      </c>
      <c r="D2" s="3" t="s">
        <v>1</v>
      </c>
      <c r="E2" s="4" t="n">
        <v>3.43008195132138</v>
      </c>
      <c r="F2" s="3" t="s">
        <v>2</v>
      </c>
      <c r="G2" s="5" t="n">
        <v>0.201404931303274</v>
      </c>
      <c r="I2" s="6" t="s">
        <v>3</v>
      </c>
      <c r="J2" s="6" t="s">
        <v>4</v>
      </c>
    </row>
    <row r="3" customFormat="false" ht="15" hidden="false" customHeight="false" outlineLevel="0" collapsed="false">
      <c r="B3" s="7" t="s">
        <v>5</v>
      </c>
      <c r="C3" s="8" t="n">
        <f aca="false">(B6+B12)/2</f>
        <v>2112.5</v>
      </c>
      <c r="D3" s="9" t="s">
        <v>6</v>
      </c>
      <c r="E3" s="10" t="n">
        <v>0.0620646164063783</v>
      </c>
      <c r="F3" s="9"/>
      <c r="G3" s="11"/>
      <c r="I3" s="6" t="n">
        <v>0</v>
      </c>
      <c r="J3" s="12" t="n">
        <f aca="false">((1-C$2)*C$3*EXP(-$E$2*(I3^$G$2)))+(C$2*C$3*EXP(-$E$3*I3))</f>
        <v>2112.5</v>
      </c>
    </row>
    <row r="4" customFormat="false" ht="15" hidden="false" customHeight="false" outlineLevel="0" collapsed="false">
      <c r="I4" s="6" t="n">
        <v>1</v>
      </c>
      <c r="J4" s="12" t="n">
        <f aca="false">((1-C$2)*C$3*EXP(-$E$2*(I4^$G$2)))+(C$2*C$3*EXP(-$E$3*I4))</f>
        <v>68.4118057151563</v>
      </c>
    </row>
    <row r="5" customFormat="false" ht="15" hidden="false" customHeight="false" outlineLevel="0" collapsed="false">
      <c r="B5" s="13" t="s">
        <v>7</v>
      </c>
      <c r="C5" s="14" t="s">
        <v>8</v>
      </c>
      <c r="D5" s="14" t="s">
        <v>9</v>
      </c>
      <c r="E5" s="15"/>
      <c r="I5" s="6" t="n">
        <v>2</v>
      </c>
      <c r="J5" s="12" t="n">
        <f aca="false">((1-C$2)*C$3*EXP(-$E$2*(I5^$G$2)))+(C$2*C$3*EXP(-$E$3*I5))</f>
        <v>40.9216393262129</v>
      </c>
    </row>
    <row r="6" customFormat="false" ht="15" hidden="false" customHeight="false" outlineLevel="0" collapsed="false">
      <c r="B6" s="16" t="n">
        <v>1975</v>
      </c>
      <c r="C6" s="17" t="n">
        <v>0</v>
      </c>
      <c r="D6" s="16" t="n">
        <v>2112.5</v>
      </c>
      <c r="E6" s="15"/>
      <c r="I6" s="6" t="n">
        <v>3</v>
      </c>
      <c r="J6" s="12" t="n">
        <f aca="false">((1-C$2)*C$3*EXP(-$E$2*(I6^$G$2)))+(C$2*C$3*EXP(-$E$3*I6))</f>
        <v>29.2555075957818</v>
      </c>
    </row>
    <row r="7" customFormat="false" ht="15" hidden="false" customHeight="false" outlineLevel="0" collapsed="false">
      <c r="B7" s="16" t="n">
        <v>68</v>
      </c>
      <c r="C7" s="17" t="n">
        <v>0.684776206089502</v>
      </c>
      <c r="D7" s="16" t="n">
        <v>88.0067043885286</v>
      </c>
      <c r="E7" s="15"/>
      <c r="I7" s="6" t="n">
        <v>4</v>
      </c>
      <c r="J7" s="12" t="n">
        <f aca="false">((1-C$2)*C$3*EXP(-$E$2*(I7^$G$2)))+(C$2*C$3*EXP(-$E$3*I7))</f>
        <v>22.6641278599</v>
      </c>
    </row>
    <row r="8" customFormat="false" ht="15" hidden="false" customHeight="false" outlineLevel="0" collapsed="false">
      <c r="B8" s="16" t="n">
        <v>64</v>
      </c>
      <c r="C8" s="17" t="n">
        <v>2.02778230502292</v>
      </c>
      <c r="D8" s="16" t="n">
        <v>40.4750395470724</v>
      </c>
      <c r="E8" s="15"/>
      <c r="I8" s="6" t="n">
        <v>5</v>
      </c>
      <c r="J8" s="12" t="n">
        <f aca="false">((1-C$2)*C$3*EXP(-$E$2*(I8^$G$2)))+(C$2*C$3*EXP(-$E$3*I8))</f>
        <v>18.3995895490152</v>
      </c>
    </row>
    <row r="9" customFormat="false" ht="15" hidden="false" customHeight="false" outlineLevel="0" collapsed="false">
      <c r="B9" s="16" t="n">
        <v>56</v>
      </c>
      <c r="C9" s="17" t="n">
        <v>3.33615479318031</v>
      </c>
      <c r="D9" s="16" t="n">
        <v>26.6700099100715</v>
      </c>
      <c r="E9" s="15"/>
      <c r="I9" s="6" t="n">
        <v>6</v>
      </c>
      <c r="J9" s="12" t="n">
        <f aca="false">((1-C$2)*C$3*EXP(-$E$2*(I9^$G$2)))+(C$2*C$3*EXP(-$E$3*I9))</f>
        <v>15.4084308024862</v>
      </c>
    </row>
    <row r="10" customFormat="false" ht="15" hidden="false" customHeight="false" outlineLevel="0" collapsed="false">
      <c r="B10" s="16" t="n">
        <v>25</v>
      </c>
      <c r="C10" s="17" t="n">
        <v>6.46136863637114</v>
      </c>
      <c r="D10" s="16" t="n">
        <v>14.3098093770965</v>
      </c>
      <c r="E10" s="15"/>
      <c r="I10" s="6" t="n">
        <v>7</v>
      </c>
      <c r="J10" s="12" t="n">
        <f aca="false">((1-C$2)*C$3*EXP(-$E$2*(I10^$G$2)))+(C$2*C$3*EXP(-$E$3*I10))</f>
        <v>13.1937947759762</v>
      </c>
    </row>
    <row r="11" customFormat="false" ht="15" hidden="false" customHeight="false" outlineLevel="0" collapsed="false">
      <c r="B11" s="16" t="n">
        <v>5</v>
      </c>
      <c r="C11" s="17" t="n">
        <v>17.1072320480654</v>
      </c>
      <c r="D11" s="16" t="n">
        <v>4.84939933744602</v>
      </c>
      <c r="E11" s="15"/>
      <c r="I11" s="6" t="n">
        <v>8</v>
      </c>
      <c r="J11" s="12" t="n">
        <f aca="false">((1-C$2)*C$3*EXP(-$E$2*(I11^$G$2)))+(C$2*C$3*EXP(-$E$3*I11))</f>
        <v>11.4889336805524</v>
      </c>
    </row>
    <row r="12" customFormat="false" ht="15" hidden="false" customHeight="false" outlineLevel="0" collapsed="false">
      <c r="B12" s="16" t="n">
        <v>2250</v>
      </c>
      <c r="C12" s="17" t="n">
        <v>0</v>
      </c>
      <c r="D12" s="16" t="n">
        <v>2112.5</v>
      </c>
      <c r="E12" s="15"/>
      <c r="I12" s="6" t="n">
        <v>9</v>
      </c>
      <c r="J12" s="12" t="n">
        <f aca="false">((1-C$2)*C$3*EXP(-$E$2*(I12^$G$2)))+(C$2*C$3*EXP(-$E$3*I12))</f>
        <v>10.1372096254173</v>
      </c>
    </row>
    <row r="13" customFormat="false" ht="15" hidden="false" customHeight="false" outlineLevel="0" collapsed="false">
      <c r="B13" s="16" t="n">
        <v>24</v>
      </c>
      <c r="C13" s="17" t="n">
        <v>2.08266397961124</v>
      </c>
      <c r="D13" s="16" t="n">
        <v>39.6208843228621</v>
      </c>
      <c r="E13" s="15"/>
      <c r="I13" s="6" t="n">
        <v>10</v>
      </c>
      <c r="J13" s="12" t="n">
        <f aca="false">((1-C$2)*C$3*EXP(-$E$2*(I13^$G$2)))+(C$2*C$3*EXP(-$E$3*I13))</f>
        <v>9.04036017858612</v>
      </c>
    </row>
    <row r="14" customFormat="false" ht="15" hidden="false" customHeight="false" outlineLevel="0" collapsed="false">
      <c r="B14" s="16" t="n">
        <v>12</v>
      </c>
      <c r="C14" s="17" t="n">
        <v>6.02902299114646</v>
      </c>
      <c r="D14" s="16" t="n">
        <v>15.3348826690349</v>
      </c>
      <c r="I14" s="6" t="n">
        <v>11</v>
      </c>
      <c r="J14" s="12" t="n">
        <f aca="false">((1-C$2)*C$3*EXP(-$E$2*(I14^$G$2)))+(C$2*C$3*EXP(-$E$3*I14))</f>
        <v>8.1335251743045</v>
      </c>
    </row>
    <row r="15" customFormat="false" ht="15" hidden="false" customHeight="false" outlineLevel="0" collapsed="false">
      <c r="B15" s="16" t="n">
        <v>4</v>
      </c>
      <c r="C15" s="17" t="n">
        <v>9.70042608960744</v>
      </c>
      <c r="D15" s="16" t="n">
        <v>9.34654262494689</v>
      </c>
      <c r="I15" s="6" t="n">
        <v>12</v>
      </c>
      <c r="J15" s="12" t="n">
        <f aca="false">((1-C$2)*C$3*EXP(-$E$2*(I15^$G$2)))+(C$2*C$3*EXP(-$E$3*I15))</f>
        <v>7.37212366519861</v>
      </c>
    </row>
    <row r="16" customFormat="false" ht="15" hidden="false" customHeight="false" outlineLevel="0" collapsed="false">
      <c r="B16" s="16" t="n">
        <v>4</v>
      </c>
      <c r="C16" s="17" t="n">
        <v>17.7984584320269</v>
      </c>
      <c r="D16" s="16" t="n">
        <v>4.6190170677305</v>
      </c>
      <c r="I16" s="6" t="n">
        <v>13</v>
      </c>
      <c r="J16" s="12" t="n">
        <f aca="false">((1-C$2)*C$3*EXP(-$E$2*(I16^$G$2)))+(C$2*C$3*EXP(-$E$3*I16))</f>
        <v>6.72448476945372</v>
      </c>
    </row>
    <row r="17" customFormat="false" ht="15" hidden="false" customHeight="false" outlineLevel="0" collapsed="false">
      <c r="B17" s="16" t="n">
        <v>2</v>
      </c>
      <c r="C17" s="17" t="n">
        <v>38.846848099475</v>
      </c>
      <c r="D17" s="16" t="n">
        <v>1.62816322434252</v>
      </c>
      <c r="I17" s="6" t="n">
        <v>14</v>
      </c>
      <c r="J17" s="12" t="n">
        <f aca="false">((1-C$2)*C$3*EXP(-$E$2*(I17^$G$2)))+(C$2*C$3*EXP(-$E$3*I17))</f>
        <v>6.16748237681346</v>
      </c>
    </row>
    <row r="18" customFormat="false" ht="15" hidden="false" customHeight="false" outlineLevel="0" collapsed="false">
      <c r="B18" s="15"/>
      <c r="C18" s="18"/>
      <c r="D18" s="15"/>
      <c r="I18" s="6" t="n">
        <v>15</v>
      </c>
      <c r="J18" s="12" t="n">
        <f aca="false">((1-C$2)*C$3*EXP(-$E$2*(I18^$G$2)))+(C$2*C$3*EXP(-$E$3*I18))</f>
        <v>5.68383281200893</v>
      </c>
    </row>
    <row r="19" customFormat="false" ht="15" hidden="false" customHeight="false" outlineLevel="0" collapsed="false">
      <c r="B19" s="15"/>
      <c r="C19" s="18"/>
      <c r="D19" s="15"/>
      <c r="I19" s="6" t="n">
        <v>16</v>
      </c>
      <c r="J19" s="12" t="n">
        <f aca="false">((1-C$2)*C$3*EXP(-$E$2*(I19^$G$2)))+(C$2*C$3*EXP(-$E$3*I19))</f>
        <v>5.26035894338754</v>
      </c>
    </row>
    <row r="20" customFormat="false" ht="15" hidden="false" customHeight="false" outlineLevel="0" collapsed="false">
      <c r="I20" s="6" t="n">
        <v>17</v>
      </c>
      <c r="J20" s="12" t="n">
        <f aca="false">((1-C$2)*C$3*EXP(-$E$2*(I20^$G$2)))+(C$2*C$3*EXP(-$E$3*I20))</f>
        <v>4.88683941474479</v>
      </c>
    </row>
    <row r="21" customFormat="false" ht="15" hidden="false" customHeight="false" outlineLevel="0" collapsed="false">
      <c r="I21" s="6" t="n">
        <v>18</v>
      </c>
      <c r="J21" s="12" t="n">
        <f aca="false">((1-C$2)*C$3*EXP(-$E$2*(I21^$G$2)))+(C$2*C$3*EXP(-$E$3*I21))</f>
        <v>4.55522474801865</v>
      </c>
    </row>
    <row r="22" customFormat="false" ht="15" hidden="false" customHeight="false" outlineLevel="0" collapsed="false">
      <c r="I22" s="6" t="n">
        <v>19</v>
      </c>
      <c r="J22" s="12" t="n">
        <f aca="false">((1-C$2)*C$3*EXP(-$E$2*(I22^$G$2)))+(C$2*C$3*EXP(-$E$3*I22))</f>
        <v>4.25909054508067</v>
      </c>
    </row>
    <row r="23" customFormat="false" ht="15" hidden="false" customHeight="false" outlineLevel="0" collapsed="false">
      <c r="I23" s="6" t="n">
        <v>20</v>
      </c>
      <c r="J23" s="12" t="n">
        <f aca="false">((1-C$2)*C$3*EXP(-$E$2*(I23^$G$2)))+(C$2*C$3*EXP(-$E$3*I23))</f>
        <v>3.99324803199362</v>
      </c>
    </row>
    <row r="24" customFormat="false" ht="15" hidden="false" customHeight="false" outlineLevel="0" collapsed="false">
      <c r="I24" s="6" t="n">
        <v>21</v>
      </c>
      <c r="J24" s="12" t="n">
        <f aca="false">((1-C$2)*C$3*EXP(-$E$2*(I24^$G$2)))+(C$2*C$3*EXP(-$E$3*I24))</f>
        <v>3.75346148597311</v>
      </c>
    </row>
    <row r="25" customFormat="false" ht="15" hidden="false" customHeight="false" outlineLevel="0" collapsed="false">
      <c r="I25" s="6" t="n">
        <v>22</v>
      </c>
      <c r="J25" s="12" t="n">
        <f aca="false">((1-C$2)*C$3*EXP(-$E$2*(I25^$G$2)))+(C$2*C$3*EXP(-$E$3*I25))</f>
        <v>3.53623979160263</v>
      </c>
    </row>
    <row r="26" customFormat="false" ht="15" hidden="false" customHeight="false" outlineLevel="0" collapsed="false">
      <c r="I26" s="6" t="n">
        <v>23</v>
      </c>
      <c r="J26" s="12" t="n">
        <f aca="false">((1-C$2)*C$3*EXP(-$E$2*(I26^$G$2)))+(C$2*C$3*EXP(-$E$3*I26))</f>
        <v>3.33868037488238</v>
      </c>
    </row>
    <row r="27" customFormat="false" ht="15" hidden="false" customHeight="false" outlineLevel="0" collapsed="false">
      <c r="I27" s="6" t="n">
        <v>24</v>
      </c>
      <c r="J27" s="12" t="n">
        <f aca="false">((1-C$2)*C$3*EXP(-$E$2*(I27^$G$2)))+(C$2*C$3*EXP(-$E$3*I27))</f>
        <v>3.15835077116987</v>
      </c>
    </row>
    <row r="28" customFormat="false" ht="15" hidden="false" customHeight="false" outlineLevel="0" collapsed="false">
      <c r="I28" s="6" t="n">
        <v>25</v>
      </c>
      <c r="J28" s="12" t="n">
        <f aca="false">((1-C$2)*C$3*EXP(-$E$2*(I28^$G$2)))+(C$2*C$3*EXP(-$E$3*I28))</f>
        <v>2.99319764661621</v>
      </c>
    </row>
    <row r="29" customFormat="false" ht="15" hidden="false" customHeight="false" outlineLevel="0" collapsed="false">
      <c r="I29" s="6" t="n">
        <v>26</v>
      </c>
      <c r="J29" s="12" t="n">
        <f aca="false">((1-C$2)*C$3*EXP(-$E$2*(I29^$G$2)))+(C$2*C$3*EXP(-$E$3*I29))</f>
        <v>2.84147612494496</v>
      </c>
    </row>
    <row r="30" customFormat="false" ht="15" hidden="false" customHeight="false" outlineLevel="0" collapsed="false">
      <c r="I30" s="6" t="n">
        <v>27</v>
      </c>
      <c r="J30" s="12" t="n">
        <f aca="false">((1-C$2)*C$3*EXP(-$E$2*(I30^$G$2)))+(C$2*C$3*EXP(-$E$3*I30))</f>
        <v>2.70169432327055</v>
      </c>
    </row>
    <row r="31" customFormat="false" ht="15" hidden="false" customHeight="false" outlineLevel="0" collapsed="false">
      <c r="I31" s="6" t="n">
        <v>28</v>
      </c>
      <c r="J31" s="12" t="n">
        <f aca="false">((1-C$2)*C$3*EXP(-$E$2*(I31^$G$2)))+(C$2*C$3*EXP(-$E$3*I31))</f>
        <v>2.57256941239216</v>
      </c>
    </row>
    <row r="32" customFormat="false" ht="15" hidden="false" customHeight="false" outlineLevel="0" collapsed="false">
      <c r="E32" s="19"/>
      <c r="F32" s="19"/>
      <c r="I32" s="6" t="n">
        <v>29</v>
      </c>
      <c r="J32" s="12" t="n">
        <f aca="false">((1-C$2)*C$3*EXP(-$E$2*(I32^$G$2)))+(C$2*C$3*EXP(-$E$3*I32))</f>
        <v>2.45299250324198</v>
      </c>
    </row>
    <row r="33" customFormat="false" ht="15" hidden="false" customHeight="false" outlineLevel="0" collapsed="false">
      <c r="E33" s="19"/>
      <c r="F33" s="19"/>
      <c r="I33" s="6" t="n">
        <v>30</v>
      </c>
      <c r="J33" s="12" t="n">
        <f aca="false">((1-C$2)*C$3*EXP(-$E$2*(I33^$G$2)))+(C$2*C$3*EXP(-$E$3*I33))</f>
        <v>2.3420003598898</v>
      </c>
    </row>
    <row r="34" customFormat="false" ht="15" hidden="false" customHeight="false" outlineLevel="0" collapsed="false">
      <c r="E34" s="19"/>
      <c r="F34" s="19"/>
      <c r="I34" s="6" t="n">
        <v>31</v>
      </c>
      <c r="J34" s="12" t="n">
        <f aca="false">((1-C$2)*C$3*EXP(-$E$2*(I34^$G$2)))+(C$2*C$3*EXP(-$E$3*I34))</f>
        <v>2.23875244097737</v>
      </c>
    </row>
    <row r="35" customFormat="false" ht="15" hidden="false" customHeight="false" outlineLevel="0" collapsed="false">
      <c r="B35" s="19"/>
      <c r="C35" s="19"/>
      <c r="D35" s="19"/>
      <c r="E35" s="19"/>
      <c r="F35" s="19"/>
      <c r="I35" s="6" t="n">
        <v>32</v>
      </c>
      <c r="J35" s="12" t="n">
        <f aca="false">((1-C$2)*C$3*EXP(-$E$2*(I35^$G$2)))+(C$2*C$3*EXP(-$E$3*I35))</f>
        <v>2.14251213570101</v>
      </c>
    </row>
    <row r="36" customFormat="false" ht="15" hidden="false" customHeight="false" outlineLevel="0" collapsed="false">
      <c r="B36" s="19"/>
      <c r="C36" s="19"/>
      <c r="D36" s="19"/>
      <c r="E36" s="19"/>
      <c r="F36" s="19"/>
      <c r="I36" s="6" t="n">
        <v>33</v>
      </c>
      <c r="J36" s="12" t="n">
        <f aca="false">((1-C$2)*C$3*EXP(-$E$2*(I36^$G$2)))+(C$2*C$3*EXP(-$E$3*I36))</f>
        <v>2.0526313279927</v>
      </c>
    </row>
    <row r="37" customFormat="false" ht="15" hidden="false" customHeight="false" outlineLevel="0" collapsed="false">
      <c r="B37" s="19"/>
      <c r="C37" s="19"/>
      <c r="D37" s="19"/>
      <c r="E37" s="19"/>
      <c r="F37" s="19"/>
      <c r="I37" s="6" t="n">
        <v>34</v>
      </c>
      <c r="J37" s="12" t="n">
        <f aca="false">((1-C$2)*C$3*EXP(-$E$2*(I37^$G$2)))+(C$2*C$3*EXP(-$E$3*I37))</f>
        <v>1.96853762109403</v>
      </c>
    </row>
    <row r="38" customFormat="false" ht="15" hidden="false" customHeight="false" outlineLevel="0" collapsed="false">
      <c r="B38" s="19"/>
      <c r="C38" s="19"/>
      <c r="D38" s="19"/>
      <c r="E38" s="19"/>
      <c r="F38" s="19"/>
      <c r="I38" s="6" t="n">
        <v>35</v>
      </c>
      <c r="J38" s="12" t="n">
        <f aca="false">((1-C$2)*C$3*EXP(-$E$2*(I38^$G$2)))+(C$2*C$3*EXP(-$E$3*I38))</f>
        <v>1.88972370349723</v>
      </c>
    </row>
    <row r="39" customFormat="false" ht="15" hidden="false" customHeight="false" outlineLevel="0" collapsed="false">
      <c r="B39" s="19"/>
      <c r="C39" s="19"/>
      <c r="D39" s="19"/>
      <c r="E39" s="19"/>
      <c r="F39" s="19"/>
      <c r="I39" s="6" t="n">
        <v>36</v>
      </c>
      <c r="J39" s="12" t="n">
        <f aca="false">((1-C$2)*C$3*EXP(-$E$2*(I39^$G$2)))+(C$2*C$3*EXP(-$E$3*I39))</f>
        <v>1.81573844973016</v>
      </c>
    </row>
    <row r="40" customFormat="false" ht="15" hidden="false" customHeight="false" outlineLevel="0" collapsed="false">
      <c r="B40" s="19"/>
      <c r="C40" s="19"/>
      <c r="D40" s="19"/>
      <c r="E40" s="19"/>
      <c r="F40" s="19"/>
      <c r="I40" s="6" t="n">
        <v>37</v>
      </c>
      <c r="J40" s="12" t="n">
        <f aca="false">((1-C$2)*C$3*EXP(-$E$2*(I40^$G$2)))+(C$2*C$3*EXP(-$E$3*I40))</f>
        <v>1.74617943525862</v>
      </c>
    </row>
    <row r="41" customFormat="false" ht="15" hidden="false" customHeight="false" outlineLevel="0" collapsed="false">
      <c r="B41" s="19"/>
      <c r="C41" s="19"/>
      <c r="D41" s="19"/>
      <c r="E41" s="19"/>
      <c r="F41" s="19"/>
      <c r="I41" s="6" t="n">
        <v>38</v>
      </c>
      <c r="J41" s="12" t="n">
        <f aca="false">((1-C$2)*C$3*EXP(-$E$2*(I41^$G$2)))+(C$2*C$3*EXP(-$E$3*I41))</f>
        <v>1.68068661073384</v>
      </c>
    </row>
    <row r="42" customFormat="false" ht="15" hidden="false" customHeight="false" outlineLevel="0" collapsed="false">
      <c r="B42" s="19"/>
      <c r="C42" s="19"/>
      <c r="D42" s="19"/>
      <c r="E42" s="19"/>
      <c r="F42" s="19"/>
      <c r="I42" s="6" t="n">
        <v>39</v>
      </c>
      <c r="J42" s="12" t="n">
        <f aca="false">((1-C$2)*C$3*EXP(-$E$2*(I42^$G$2)))+(C$2*C$3*EXP(-$E$3*I42))</f>
        <v>1.61893693189663</v>
      </c>
    </row>
    <row r="43" customFormat="false" ht="15" hidden="false" customHeight="false" outlineLevel="0" collapsed="false">
      <c r="B43" s="19"/>
      <c r="C43" s="19"/>
      <c r="D43" s="19"/>
      <c r="E43" s="19"/>
      <c r="F43" s="19"/>
      <c r="I43" s="6" t="n">
        <v>40</v>
      </c>
      <c r="J43" s="12" t="n">
        <f aca="false">((1-C$2)*C$3*EXP(-$E$2*(I43^$G$2)))+(C$2*C$3*EXP(-$E$3*I43))</f>
        <v>1.56063978129744</v>
      </c>
    </row>
    <row r="44" customFormat="false" ht="15" hidden="false" customHeight="false" outlineLevel="0" collapsed="false">
      <c r="B44" s="19"/>
      <c r="C44" s="19"/>
      <c r="D44" s="19"/>
      <c r="E44" s="19"/>
      <c r="F44" s="19"/>
      <c r="I44" s="6" t="n">
        <v>41</v>
      </c>
      <c r="J44" s="12" t="n">
        <f aca="false">((1-C$2)*C$3*EXP(-$E$2*(I44^$G$2)))+(C$2*C$3*EXP(-$E$3*I44))</f>
        <v>1.50553304928251</v>
      </c>
    </row>
    <row r="45" customFormat="false" ht="15" hidden="false" customHeight="false" outlineLevel="0" collapsed="false">
      <c r="B45" s="19"/>
      <c r="C45" s="19"/>
      <c r="D45" s="19"/>
      <c r="E45" s="19"/>
      <c r="F45" s="19"/>
      <c r="I45" s="6" t="n">
        <v>42</v>
      </c>
      <c r="J45" s="12" t="n">
        <f aca="false">((1-C$2)*C$3*EXP(-$E$2*(I45^$G$2)))+(C$2*C$3*EXP(-$E$3*I45))</f>
        <v>1.45337976642594</v>
      </c>
    </row>
    <row r="46" customFormat="false" ht="15" hidden="false" customHeight="false" outlineLevel="0" collapsed="false">
      <c r="B46" s="19"/>
      <c r="C46" s="19"/>
      <c r="D46" s="19"/>
      <c r="E46" s="19"/>
      <c r="F46" s="19"/>
      <c r="I46" s="6" t="n">
        <v>43</v>
      </c>
      <c r="J46" s="12" t="n">
        <f aca="false">((1-C$2)*C$3*EXP(-$E$2*(I46^$G$2)))+(C$2*C$3*EXP(-$E$3*I46))</f>
        <v>1.40396519924782</v>
      </c>
    </row>
    <row r="47" customFormat="false" ht="15" hidden="false" customHeight="false" outlineLevel="0" collapsed="false">
      <c r="B47" s="19"/>
      <c r="C47" s="19"/>
      <c r="D47" s="19"/>
      <c r="E47" s="19"/>
      <c r="F47" s="19"/>
      <c r="I47" s="6" t="n">
        <v>44</v>
      </c>
      <c r="J47" s="12" t="n">
        <f aca="false">((1-C$2)*C$3*EXP(-$E$2*(I47^$G$2)))+(C$2*C$3*EXP(-$E$3*I47))</f>
        <v>1.35709433677913</v>
      </c>
    </row>
    <row r="48" customFormat="false" ht="15" hidden="false" customHeight="false" outlineLevel="0" collapsed="false">
      <c r="B48" s="19"/>
      <c r="C48" s="19"/>
      <c r="D48" s="19"/>
      <c r="E48" s="19"/>
      <c r="F48" s="19"/>
      <c r="I48" s="6" t="n">
        <v>45</v>
      </c>
      <c r="J48" s="12" t="n">
        <f aca="false">((1-C$2)*C$3*EXP(-$E$2*(I48^$G$2)))+(C$2*C$3*EXP(-$E$3*I48))</f>
        <v>1.31258970817248</v>
      </c>
    </row>
    <row r="49" customFormat="false" ht="15" hidden="false" customHeight="false" outlineLevel="0" collapsed="false">
      <c r="B49" s="19"/>
      <c r="C49" s="19"/>
      <c r="D49" s="19"/>
      <c r="E49" s="19"/>
      <c r="F49" s="19"/>
      <c r="G49" s="19"/>
      <c r="H49" s="19"/>
      <c r="I49" s="6" t="n">
        <v>46</v>
      </c>
      <c r="J49" s="12" t="n">
        <f aca="false">((1-C$2)*C$3*EXP(-$E$2*(I49^$G$2)))+(C$2*C$3*EXP(-$E$3*I49))</f>
        <v>1.27028948177085</v>
      </c>
    </row>
    <row r="50" customFormat="false" ht="15" hidden="false" customHeight="false" outlineLevel="0" collapsed="false">
      <c r="B50" s="19"/>
      <c r="C50" s="19"/>
      <c r="D50" s="19"/>
      <c r="E50" s="19"/>
      <c r="F50" s="19"/>
      <c r="G50" s="19"/>
      <c r="H50" s="19"/>
      <c r="I50" s="6" t="n">
        <v>47</v>
      </c>
      <c r="J50" s="12" t="n">
        <f aca="false">((1-C$2)*C$3*EXP(-$E$2*(I50^$G$2)))+(C$2*C$3*EXP(-$E$3*I50))</f>
        <v>1.23004580434008</v>
      </c>
    </row>
    <row r="51" customFormat="false" ht="15" hidden="false" customHeight="false" outlineLevel="0" collapsed="false">
      <c r="B51" s="19"/>
      <c r="C51" s="19"/>
      <c r="D51" s="19"/>
      <c r="E51" s="19"/>
      <c r="F51" s="19"/>
      <c r="G51" s="19"/>
      <c r="H51" s="19"/>
      <c r="I51" s="6" t="n">
        <v>48</v>
      </c>
      <c r="J51" s="12" t="n">
        <f aca="false">((1-C$2)*C$3*EXP(-$E$2*(I51^$G$2)))+(C$2*C$3*EXP(-$E$3*I51))</f>
        <v>1.19172334593792</v>
      </c>
    </row>
    <row r="52" customFormat="false" ht="15" hidden="false" customHeight="false" outlineLevel="0" collapsed="false">
      <c r="B52" s="19"/>
      <c r="C52" s="19"/>
      <c r="D52" s="19"/>
      <c r="E52" s="19"/>
      <c r="F52" s="19"/>
      <c r="G52" s="19"/>
      <c r="H52" s="19"/>
      <c r="I52" s="6" t="n">
        <v>49</v>
      </c>
      <c r="J52" s="12" t="n">
        <f aca="false">((1-C$2)*C$3*EXP(-$E$2*(I52^$G$2)))+(C$2*C$3*EXP(-$E$3*I52))</f>
        <v>1.15519802143854</v>
      </c>
    </row>
    <row r="53" customFormat="false" ht="15" hidden="false" customHeight="false" outlineLevel="0" collapsed="false">
      <c r="B53" s="19"/>
      <c r="C53" s="19"/>
      <c r="D53" s="19"/>
      <c r="E53" s="19"/>
      <c r="F53" s="19"/>
      <c r="G53" s="19"/>
      <c r="H53" s="19"/>
      <c r="I53" s="6" t="n">
        <v>50</v>
      </c>
      <c r="J53" s="12" t="n">
        <f aca="false">((1-C$2)*C$3*EXP(-$E$2*(I53^$G$2)))+(C$2*C$3*EXP(-$E$3*I53))</f>
        <v>1.1203558642958</v>
      </c>
    </row>
    <row r="54" customFormat="false" ht="15" hidden="false" customHeight="false" outlineLevel="0" collapsed="false">
      <c r="B54" s="19"/>
      <c r="C54" s="19"/>
      <c r="D54" s="19"/>
      <c r="E54" s="19"/>
      <c r="F54" s="19"/>
      <c r="G54" s="19"/>
      <c r="H54" s="19"/>
      <c r="I54" s="6" t="n">
        <v>51</v>
      </c>
      <c r="J54" s="12" t="n">
        <f aca="false">((1-C$2)*C$3*EXP(-$E$2*(I54^$G$2)))+(C$2*C$3*EXP(-$E$3*I54))</f>
        <v>1.08709203190152</v>
      </c>
    </row>
    <row r="55" customFormat="false" ht="15" hidden="false" customHeight="false" outlineLevel="0" collapsed="false">
      <c r="B55" s="19"/>
      <c r="C55" s="19"/>
      <c r="D55" s="19"/>
      <c r="E55" s="19"/>
      <c r="F55" s="19"/>
      <c r="G55" s="19"/>
      <c r="H55" s="19"/>
      <c r="I55" s="6" t="n">
        <v>52</v>
      </c>
      <c r="J55" s="12" t="n">
        <f aca="false">((1-C$2)*C$3*EXP(-$E$2*(I55^$G$2)))+(C$2*C$3*EXP(-$E$3*I55))</f>
        <v>1.05530992502509</v>
      </c>
    </row>
    <row r="56" customFormat="false" ht="15" hidden="false" customHeight="false" outlineLevel="0" collapsed="false">
      <c r="B56" s="19"/>
      <c r="C56" s="19"/>
      <c r="D56" s="19"/>
      <c r="E56" s="19"/>
      <c r="F56" s="19"/>
      <c r="G56" s="19"/>
      <c r="H56" s="19"/>
      <c r="I56" s="6" t="n">
        <v>53</v>
      </c>
      <c r="J56" s="12" t="n">
        <f aca="false">((1-C$2)*C$3*EXP(-$E$2*(I56^$G$2)))+(C$2*C$3*EXP(-$E$3*I56))</f>
        <v>1.02492040642774</v>
      </c>
    </row>
    <row r="57" customFormat="false" ht="15" hidden="false" customHeight="false" outlineLevel="0" collapsed="false">
      <c r="B57" s="19"/>
      <c r="C57" s="19"/>
      <c r="D57" s="19"/>
      <c r="E57" s="19"/>
      <c r="F57" s="19"/>
      <c r="G57" s="19"/>
      <c r="H57" s="19"/>
      <c r="I57" s="6" t="n">
        <v>54</v>
      </c>
      <c r="J57" s="12" t="n">
        <f aca="false">((1-C$2)*C$3*EXP(-$E$2*(I57^$G$2)))+(C$2*C$3*EXP(-$E$3*I57))</f>
        <v>0.995841105923799</v>
      </c>
    </row>
    <row r="58" customFormat="false" ht="15" hidden="false" customHeight="false" outlineLevel="0" collapsed="false">
      <c r="B58" s="19"/>
      <c r="C58" s="19"/>
      <c r="D58" s="19"/>
      <c r="E58" s="19"/>
      <c r="F58" s="19"/>
      <c r="G58" s="19"/>
      <c r="H58" s="19"/>
      <c r="I58" s="6" t="n">
        <v>55</v>
      </c>
      <c r="J58" s="12" t="n">
        <f aca="false">((1-C$2)*C$3*EXP(-$E$2*(I58^$G$2)))+(C$2*C$3*EXP(-$E$3*I58))</f>
        <v>0.96799580098921</v>
      </c>
    </row>
    <row r="59" customFormat="false" ht="15" hidden="false" customHeight="false" outlineLevel="0" collapsed="false">
      <c r="B59" s="19"/>
      <c r="C59" s="19"/>
      <c r="D59" s="19"/>
      <c r="G59" s="19"/>
      <c r="H59" s="19"/>
      <c r="I59" s="6" t="n">
        <v>56</v>
      </c>
      <c r="J59" s="12" t="n">
        <f aca="false">((1-C$2)*C$3*EXP(-$E$2*(I59^$G$2)))+(C$2*C$3*EXP(-$E$3*I59))</f>
        <v>0.941313863555611</v>
      </c>
    </row>
    <row r="60" customFormat="false" ht="15" hidden="false" customHeight="false" outlineLevel="0" collapsed="false">
      <c r="B60" s="19"/>
      <c r="C60" s="19"/>
      <c r="D60" s="19"/>
      <c r="G60" s="19"/>
      <c r="H60" s="19"/>
      <c r="I60" s="6" t="n">
        <v>57</v>
      </c>
      <c r="J60" s="12" t="n">
        <f aca="false">((1-C$2)*C$3*EXP(-$E$2*(I60^$G$2)))+(C$2*C$3*EXP(-$E$3*I60))</f>
        <v>0.915729764926925</v>
      </c>
    </row>
    <row r="61" customFormat="false" ht="15" hidden="false" customHeight="false" outlineLevel="0" collapsed="false">
      <c r="B61" s="19"/>
      <c r="C61" s="19"/>
      <c r="D61" s="19"/>
      <c r="G61" s="19"/>
      <c r="H61" s="19"/>
      <c r="I61" s="6" t="n">
        <v>58</v>
      </c>
      <c r="J61" s="12" t="n">
        <f aca="false">((1-C$2)*C$3*EXP(-$E$2*(I61^$G$2)))+(C$2*C$3*EXP(-$E$3*I61))</f>
        <v>0.891182631855348</v>
      </c>
    </row>
    <row r="62" customFormat="false" ht="15" hidden="false" customHeight="false" outlineLevel="0" collapsed="false">
      <c r="G62" s="19"/>
      <c r="H62" s="19"/>
      <c r="I62" s="6" t="n">
        <v>59</v>
      </c>
      <c r="J62" s="12" t="n">
        <f aca="false">((1-C$2)*C$3*EXP(-$E$2*(I62^$G$2)))+(C$2*C$3*EXP(-$E$3*I62))</f>
        <v>0.867615847747734</v>
      </c>
    </row>
    <row r="63" customFormat="false" ht="15" hidden="false" customHeight="false" outlineLevel="0" collapsed="false">
      <c r="G63" s="19"/>
      <c r="H63" s="19"/>
      <c r="I63" s="6" t="n">
        <v>60</v>
      </c>
      <c r="J63" s="12" t="n">
        <f aca="false">((1-C$2)*C$3*EXP(-$E$2*(I63^$G$2)))+(C$2*C$3*EXP(-$E$3*I63))</f>
        <v>0.844976693769229</v>
      </c>
    </row>
    <row r="64" customFormat="false" ht="15" hidden="false" customHeight="false" outlineLevel="0" collapsed="false">
      <c r="G64" s="19"/>
      <c r="H64" s="19"/>
      <c r="I64" s="6" t="n">
        <v>61</v>
      </c>
      <c r="J64" s="12" t="n">
        <f aca="false">((1-C$2)*C$3*EXP(-$E$2*(I64^$G$2)))+(C$2*C$3*EXP(-$E$3*I64))</f>
        <v>0.823216025290803</v>
      </c>
    </row>
    <row r="65" customFormat="false" ht="15" hidden="false" customHeight="false" outlineLevel="0" collapsed="false">
      <c r="G65" s="19"/>
      <c r="H65" s="19"/>
      <c r="I65" s="6" t="n">
        <v>62</v>
      </c>
      <c r="J65" s="12" t="n">
        <f aca="false">((1-C$2)*C$3*EXP(-$E$2*(I65^$G$2)))+(C$2*C$3*EXP(-$E$3*I65))</f>
        <v>0.802287979709609</v>
      </c>
    </row>
    <row r="66" customFormat="false" ht="15" hidden="false" customHeight="false" outlineLevel="0" collapsed="false">
      <c r="G66" s="19"/>
      <c r="H66" s="19"/>
      <c r="I66" s="6" t="n">
        <v>63</v>
      </c>
      <c r="J66" s="12" t="n">
        <f aca="false">((1-C$2)*C$3*EXP(-$E$2*(I66^$G$2)))+(C$2*C$3*EXP(-$E$3*I66))</f>
        <v>0.782149712171046</v>
      </c>
    </row>
    <row r="67" customFormat="false" ht="15" hidden="false" customHeight="false" outlineLevel="0" collapsed="false">
      <c r="G67" s="19"/>
      <c r="H67" s="19"/>
      <c r="I67" s="6" t="n">
        <v>64</v>
      </c>
      <c r="J67" s="12" t="n">
        <f aca="false">((1-C$2)*C$3*EXP(-$E$2*(I67^$G$2)))+(C$2*C$3*EXP(-$E$3*I67))</f>
        <v>0.762761156151907</v>
      </c>
    </row>
    <row r="68" customFormat="false" ht="15" hidden="false" customHeight="false" outlineLevel="0" collapsed="false">
      <c r="G68" s="19"/>
      <c r="H68" s="19"/>
      <c r="I68" s="6" t="n">
        <v>65</v>
      </c>
      <c r="J68" s="12" t="n">
        <f aca="false">((1-C$2)*C$3*EXP(-$E$2*(I68^$G$2)))+(C$2*C$3*EXP(-$E$3*I68))</f>
        <v>0.744084806235387</v>
      </c>
    </row>
    <row r="69" customFormat="false" ht="15" hidden="false" customHeight="false" outlineLevel="0" collapsed="false">
      <c r="G69" s="19"/>
      <c r="H69" s="19"/>
      <c r="I69" s="6" t="n">
        <v>66</v>
      </c>
      <c r="J69" s="12" t="n">
        <f aca="false">((1-C$2)*C$3*EXP(-$E$2*(I69^$G$2)))+(C$2*C$3*EXP(-$E$3*I69))</f>
        <v>0.726085520730044</v>
      </c>
    </row>
    <row r="70" customFormat="false" ht="15" hidden="false" customHeight="false" outlineLevel="0" collapsed="false">
      <c r="G70" s="19"/>
      <c r="H70" s="19"/>
      <c r="I70" s="6" t="n">
        <v>67</v>
      </c>
      <c r="J70" s="12" t="n">
        <f aca="false">((1-C$2)*C$3*EXP(-$E$2*(I70^$G$2)))+(C$2*C$3*EXP(-$E$3*I70))</f>
        <v>0.708730342063329</v>
      </c>
    </row>
    <row r="71" customFormat="false" ht="15" hidden="false" customHeight="false" outlineLevel="0" collapsed="false">
      <c r="G71" s="19"/>
      <c r="H71" s="19"/>
      <c r="I71" s="6" t="n">
        <v>68</v>
      </c>
      <c r="J71" s="12" t="n">
        <f aca="false">((1-C$2)*C$3*EXP(-$E$2*(I71^$G$2)))+(C$2*C$3*EXP(-$E$3*I71))</f>
        <v>0.691988333122311</v>
      </c>
    </row>
    <row r="72" customFormat="false" ht="15" hidden="false" customHeight="false" outlineLevel="0" collapsed="false">
      <c r="G72" s="19"/>
      <c r="H72" s="19"/>
      <c r="I72" s="6" t="n">
        <v>69</v>
      </c>
      <c r="J72" s="12" t="n">
        <f aca="false">((1-C$2)*C$3*EXP(-$E$2*(I72^$G$2)))+(C$2*C$3*EXP(-$E$3*I72))</f>
        <v>0.675830427924929</v>
      </c>
    </row>
    <row r="73" customFormat="false" ht="15" hidden="false" customHeight="false" outlineLevel="0" collapsed="false">
      <c r="G73" s="19"/>
      <c r="H73" s="19"/>
      <c r="I73" s="6" t="n">
        <v>70</v>
      </c>
      <c r="J73" s="12" t="n">
        <f aca="false">((1-C$2)*C$3*EXP(-$E$2*(I73^$G$2)))+(C$2*C$3*EXP(-$E$3*I73))</f>
        <v>0.660229295188927</v>
      </c>
    </row>
    <row r="74" customFormat="false" ht="15" hidden="false" customHeight="false" outlineLevel="0" collapsed="false">
      <c r="G74" s="19"/>
      <c r="H74" s="19"/>
      <c r="I74" s="6" t="n">
        <v>71</v>
      </c>
      <c r="J74" s="12" t="n">
        <f aca="false">((1-C$2)*C$3*EXP(-$E$2*(I74^$G$2)))+(C$2*C$3*EXP(-$E$3*I74))</f>
        <v>0.645159213526357</v>
      </c>
    </row>
    <row r="75" customFormat="false" ht="15" hidden="false" customHeight="false" outlineLevel="0" collapsed="false">
      <c r="G75" s="19"/>
      <c r="H75" s="19"/>
      <c r="I75" s="19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&amp;C_x005F_x000D_&amp;1#&amp;"Default,Regular"&amp;10&amp;Kd89b2b Confidential - Company Proprietary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23.57"/>
    <col collapsed="false" customWidth="true" hidden="false" outlineLevel="0" max="4" min="4" style="0" width="24.42"/>
  </cols>
  <sheetData>
    <row r="2" customFormat="false" ht="15" hidden="false" customHeight="false" outlineLevel="0" collapsed="false">
      <c r="B2" s="1" t="s">
        <v>0</v>
      </c>
      <c r="C2" s="2" t="n">
        <v>0.0322806307095992</v>
      </c>
      <c r="D2" s="3" t="s">
        <v>1</v>
      </c>
      <c r="E2" s="4" t="n">
        <v>3.50101356077967</v>
      </c>
      <c r="F2" s="3" t="s">
        <v>2</v>
      </c>
      <c r="G2" s="5" t="n">
        <v>0.184059190494432</v>
      </c>
      <c r="I2" s="6" t="s">
        <v>3</v>
      </c>
      <c r="J2" s="6" t="s">
        <v>4</v>
      </c>
    </row>
    <row r="3" customFormat="false" ht="15" hidden="false" customHeight="false" outlineLevel="0" collapsed="false">
      <c r="B3" s="7" t="s">
        <v>5</v>
      </c>
      <c r="C3" s="8" t="n">
        <f aca="false">(B6+B12)/2</f>
        <v>6050</v>
      </c>
      <c r="D3" s="9" t="s">
        <v>6</v>
      </c>
      <c r="E3" s="10" t="n">
        <v>0.310927570614564</v>
      </c>
      <c r="F3" s="9"/>
      <c r="G3" s="11"/>
      <c r="I3" s="6" t="n">
        <v>0</v>
      </c>
      <c r="J3" s="12" t="n">
        <f aca="false">((1-C$2)*C$3*EXP(-$E$2*(I3^$G$2)))+(C$2*C$3*EXP(-$E$3*I3))</f>
        <v>6050</v>
      </c>
    </row>
    <row r="4" customFormat="false" ht="15" hidden="false" customHeight="false" outlineLevel="0" collapsed="false">
      <c r="I4" s="6" t="n">
        <v>1</v>
      </c>
      <c r="J4" s="12" t="n">
        <f aca="false">((1-C$2)*C$3*EXP(-$E$2*(I4^$G$2)))+(C$2*C$3*EXP(-$E$3*I4))</f>
        <v>319.725367665884</v>
      </c>
    </row>
    <row r="5" customFormat="false" ht="15" hidden="false" customHeight="false" outlineLevel="0" collapsed="false">
      <c r="B5" s="13" t="s">
        <v>7</v>
      </c>
      <c r="C5" s="14" t="s">
        <v>8</v>
      </c>
      <c r="D5" s="14" t="s">
        <v>9</v>
      </c>
      <c r="E5" s="15"/>
      <c r="I5" s="6" t="n">
        <v>2</v>
      </c>
      <c r="J5" s="12" t="n">
        <f aca="false">((1-C$2)*C$3*EXP(-$E$2*(I5^$G$2)))+(C$2*C$3*EXP(-$E$3*I5))</f>
        <v>214.546445662066</v>
      </c>
    </row>
    <row r="6" customFormat="false" ht="15" hidden="false" customHeight="false" outlineLevel="0" collapsed="false">
      <c r="B6" s="16" t="n">
        <v>6200</v>
      </c>
      <c r="C6" s="17" t="n">
        <v>0</v>
      </c>
      <c r="D6" s="16" t="n">
        <v>6050</v>
      </c>
      <c r="E6" s="15"/>
      <c r="G6" s="21"/>
      <c r="I6" s="6" t="n">
        <v>3</v>
      </c>
      <c r="J6" s="12" t="n">
        <f aca="false">((1-C$2)*C$3*EXP(-$E$2*(I6^$G$2)))+(C$2*C$3*EXP(-$E$3*I6))</f>
        <v>157.432869122565</v>
      </c>
    </row>
    <row r="7" customFormat="false" ht="15" hidden="false" customHeight="false" outlineLevel="0" collapsed="false">
      <c r="B7" s="16" t="n">
        <v>330</v>
      </c>
      <c r="C7" s="17" t="n">
        <v>0.684776206089502</v>
      </c>
      <c r="D7" s="16" t="n">
        <v>381.405783139034</v>
      </c>
      <c r="E7" s="15"/>
      <c r="I7" s="6" t="n">
        <v>4</v>
      </c>
      <c r="J7" s="12" t="n">
        <f aca="false">((1-C$2)*C$3*EXP(-$E$2*(I7^$G$2)))+(C$2*C$3*EXP(-$E$3*I7))</f>
        <v>120.14507421368</v>
      </c>
    </row>
    <row r="8" customFormat="false" ht="15" hidden="false" customHeight="false" outlineLevel="0" collapsed="false">
      <c r="B8" s="16" t="n">
        <v>310</v>
      </c>
      <c r="C8" s="17" t="n">
        <v>2.02778230502292</v>
      </c>
      <c r="D8" s="16" t="n">
        <v>212.540951732062</v>
      </c>
      <c r="E8" s="15"/>
      <c r="I8" s="6" t="n">
        <v>5</v>
      </c>
      <c r="J8" s="12" t="n">
        <f aca="false">((1-C$2)*C$3*EXP(-$E$2*(I8^$G$2)))+(C$2*C$3*EXP(-$E$3*I8))</f>
        <v>94.0803379284625</v>
      </c>
    </row>
    <row r="9" customFormat="false" ht="15" hidden="false" customHeight="false" outlineLevel="0" collapsed="false">
      <c r="B9" s="16" t="n">
        <v>250</v>
      </c>
      <c r="C9" s="17" t="n">
        <v>3.33615479318031</v>
      </c>
      <c r="D9" s="16" t="n">
        <v>143.269257702178</v>
      </c>
      <c r="E9" s="15"/>
      <c r="I9" s="6" t="n">
        <v>6</v>
      </c>
      <c r="J9" s="12" t="n">
        <f aca="false">((1-C$2)*C$3*EXP(-$E$2*(I9^$G$2)))+(C$2*C$3*EXP(-$E$3*I9))</f>
        <v>75.2141389308419</v>
      </c>
    </row>
    <row r="10" customFormat="false" ht="15" hidden="false" customHeight="false" outlineLevel="0" collapsed="false">
      <c r="B10" s="16" t="n">
        <v>104</v>
      </c>
      <c r="C10" s="17" t="n">
        <v>6.46136863637114</v>
      </c>
      <c r="D10" s="16" t="n">
        <v>68.2654469054208</v>
      </c>
      <c r="E10" s="15"/>
      <c r="I10" s="6" t="n">
        <v>7</v>
      </c>
      <c r="J10" s="12" t="n">
        <f aca="false">((1-C$2)*C$3*EXP(-$E$2*(I10^$G$2)))+(C$2*C$3*EXP(-$E$3*I10))</f>
        <v>61.2536895820404</v>
      </c>
    </row>
    <row r="11" customFormat="false" ht="15" hidden="false" customHeight="false" outlineLevel="0" collapsed="false">
      <c r="B11" s="16" t="n">
        <v>28</v>
      </c>
      <c r="C11" s="17" t="n">
        <v>17.1072320480654</v>
      </c>
      <c r="D11" s="16" t="n">
        <v>16.9254628909736</v>
      </c>
      <c r="E11" s="15"/>
      <c r="I11" s="6" t="n">
        <v>8</v>
      </c>
      <c r="J11" s="12" t="n">
        <f aca="false">((1-C$2)*C$3*EXP(-$E$2*(I11^$G$2)))+(C$2*C$3*EXP(-$E$3*I11))</f>
        <v>50.7517149884089</v>
      </c>
    </row>
    <row r="12" customFormat="false" ht="15" hidden="false" customHeight="false" outlineLevel="0" collapsed="false">
      <c r="B12" s="16" t="n">
        <v>5900</v>
      </c>
      <c r="C12" s="17" t="n">
        <v>0</v>
      </c>
      <c r="D12" s="16" t="n">
        <v>6050</v>
      </c>
      <c r="E12" s="15"/>
      <c r="I12" s="6" t="n">
        <v>9</v>
      </c>
      <c r="J12" s="12" t="n">
        <f aca="false">((1-C$2)*C$3*EXP(-$E$2*(I12^$G$2)))+(C$2*C$3*EXP(-$E$3*I12))</f>
        <v>42.7405277916557</v>
      </c>
    </row>
    <row r="13" customFormat="false" ht="15" hidden="false" customHeight="false" outlineLevel="0" collapsed="false">
      <c r="B13" s="16" t="n">
        <v>100</v>
      </c>
      <c r="C13" s="17" t="n">
        <v>2.08266397961124</v>
      </c>
      <c r="D13" s="16" t="n">
        <v>208.669411115262</v>
      </c>
      <c r="E13" s="15"/>
      <c r="I13" s="6" t="n">
        <v>10</v>
      </c>
      <c r="J13" s="12" t="n">
        <f aca="false">((1-C$2)*C$3*EXP(-$E$2*(I13^$G$2)))+(C$2*C$3*EXP(-$E$3*I13))</f>
        <v>36.550326440825</v>
      </c>
    </row>
    <row r="14" customFormat="false" ht="15" hidden="false" customHeight="false" outlineLevel="0" collapsed="false">
      <c r="B14" s="16" t="n">
        <v>68</v>
      </c>
      <c r="C14" s="17" t="n">
        <v>6.02902299114646</v>
      </c>
      <c r="D14" s="16" t="n">
        <v>74.7483586727358</v>
      </c>
      <c r="I14" s="6" t="n">
        <v>11</v>
      </c>
      <c r="J14" s="12" t="n">
        <f aca="false">((1-C$2)*C$3*EXP(-$E$2*(I14^$G$2)))+(C$2*C$3*EXP(-$E$3*I14))</f>
        <v>31.707059168757</v>
      </c>
    </row>
    <row r="15" customFormat="false" ht="15" hidden="false" customHeight="false" outlineLevel="0" collapsed="false">
      <c r="B15" s="16" t="n">
        <v>18</v>
      </c>
      <c r="C15" s="17" t="n">
        <v>9.70042608960744</v>
      </c>
      <c r="D15" s="16" t="n">
        <v>38.244911323704</v>
      </c>
      <c r="I15" s="6" t="n">
        <v>12</v>
      </c>
      <c r="J15" s="12" t="n">
        <f aca="false">((1-C$2)*C$3*EXP(-$E$2*(I15^$G$2)))+(C$2*C$3*EXP(-$E$3*I15))</f>
        <v>27.8700289664535</v>
      </c>
    </row>
    <row r="16" customFormat="false" ht="15" hidden="false" customHeight="false" outlineLevel="0" collapsed="false">
      <c r="B16" s="16" t="n">
        <v>17</v>
      </c>
      <c r="C16" s="17" t="n">
        <v>17.7984584320269</v>
      </c>
      <c r="D16" s="16" t="n">
        <v>16.0652641017642</v>
      </c>
      <c r="I16" s="6" t="n">
        <v>13</v>
      </c>
      <c r="J16" s="12" t="n">
        <f aca="false">((1-C$2)*C$3*EXP(-$E$2*(I16^$G$2)))+(C$2*C$3*EXP(-$E$3*I16))</f>
        <v>24.7915875714907</v>
      </c>
    </row>
    <row r="17" customFormat="false" ht="15" hidden="false" customHeight="false" outlineLevel="0" collapsed="false">
      <c r="B17" s="16" t="n">
        <v>5</v>
      </c>
      <c r="C17" s="17" t="n">
        <v>38.846848099475</v>
      </c>
      <c r="D17" s="16" t="n">
        <v>6.10298809946372</v>
      </c>
      <c r="I17" s="6" t="n">
        <v>14</v>
      </c>
      <c r="J17" s="12" t="n">
        <f aca="false">((1-C$2)*C$3*EXP(-$E$2*(I17^$G$2)))+(C$2*C$3*EXP(-$E$3*I17))</f>
        <v>22.2900967474487</v>
      </c>
    </row>
    <row r="18" customFormat="false" ht="15" hidden="false" customHeight="false" outlineLevel="0" collapsed="false">
      <c r="B18" s="15"/>
      <c r="C18" s="18"/>
      <c r="D18" s="15"/>
      <c r="I18" s="6" t="n">
        <v>15</v>
      </c>
      <c r="J18" s="12" t="n">
        <f aca="false">((1-C$2)*C$3*EXP(-$E$2*(I18^$G$2)))+(C$2*C$3*EXP(-$E$3*I18))</f>
        <v>20.2313126486525</v>
      </c>
    </row>
    <row r="19" customFormat="false" ht="15" hidden="false" customHeight="false" outlineLevel="0" collapsed="false">
      <c r="B19" s="15"/>
      <c r="C19" s="18"/>
      <c r="D19" s="15"/>
      <c r="I19" s="6" t="n">
        <v>16</v>
      </c>
      <c r="J19" s="12" t="n">
        <f aca="false">((1-C$2)*C$3*EXP(-$E$2*(I19^$G$2)))+(C$2*C$3*EXP(-$E$3*I19))</f>
        <v>18.5153328417214</v>
      </c>
    </row>
    <row r="20" customFormat="false" ht="15" hidden="false" customHeight="false" outlineLevel="0" collapsed="false">
      <c r="I20" s="6" t="n">
        <v>17</v>
      </c>
      <c r="J20" s="12" t="n">
        <f aca="false">((1-C$2)*C$3*EXP(-$E$2*(I20^$G$2)))+(C$2*C$3*EXP(-$E$3*I20))</f>
        <v>17.0673216691529</v>
      </c>
    </row>
    <row r="21" customFormat="false" ht="15" hidden="false" customHeight="false" outlineLevel="0" collapsed="false">
      <c r="I21" s="6" t="n">
        <v>18</v>
      </c>
      <c r="J21" s="12" t="n">
        <f aca="false">((1-C$2)*C$3*EXP(-$E$2*(I21^$G$2)))+(C$2*C$3*EXP(-$E$3*I21))</f>
        <v>15.8308544985905</v>
      </c>
    </row>
    <row r="22" customFormat="false" ht="15" hidden="false" customHeight="false" outlineLevel="0" collapsed="false">
      <c r="I22" s="6" t="n">
        <v>19</v>
      </c>
      <c r="J22" s="12" t="n">
        <f aca="false">((1-C$2)*C$3*EXP(-$E$2*(I22^$G$2)))+(C$2*C$3*EXP(-$E$3*I22))</f>
        <v>14.7631043361632</v>
      </c>
    </row>
    <row r="23" customFormat="false" ht="15" hidden="false" customHeight="false" outlineLevel="0" collapsed="false">
      <c r="I23" s="6" t="n">
        <v>20</v>
      </c>
      <c r="J23" s="12" t="n">
        <f aca="false">((1-C$2)*C$3*EXP(-$E$2*(I23^$G$2)))+(C$2*C$3*EXP(-$E$3*I23))</f>
        <v>13.8313389968221</v>
      </c>
    </row>
    <row r="24" customFormat="false" ht="15" hidden="false" customHeight="false" outlineLevel="0" collapsed="false">
      <c r="I24" s="6" t="n">
        <v>21</v>
      </c>
      <c r="J24" s="12" t="n">
        <f aca="false">((1-C$2)*C$3*EXP(-$E$2*(I24^$G$2)))+(C$2*C$3*EXP(-$E$3*I24))</f>
        <v>13.0103585089754</v>
      </c>
    </row>
    <row r="25" customFormat="false" ht="15" hidden="false" customHeight="false" outlineLevel="0" collapsed="false">
      <c r="I25" s="6" t="n">
        <v>22</v>
      </c>
      <c r="J25" s="12" t="n">
        <f aca="false">((1-C$2)*C$3*EXP(-$E$2*(I25^$G$2)))+(C$2*C$3*EXP(-$E$3*I25))</f>
        <v>12.28061162542</v>
      </c>
    </row>
    <row r="26" customFormat="false" ht="15" hidden="false" customHeight="false" outlineLevel="0" collapsed="false">
      <c r="I26" s="6" t="n">
        <v>23</v>
      </c>
      <c r="J26" s="12" t="n">
        <f aca="false">((1-C$2)*C$3*EXP(-$E$2*(I26^$G$2)))+(C$2*C$3*EXP(-$E$3*I26))</f>
        <v>11.6268055319559</v>
      </c>
    </row>
    <row r="27" customFormat="false" ht="15" hidden="false" customHeight="false" outlineLevel="0" collapsed="false">
      <c r="I27" s="6" t="n">
        <v>24</v>
      </c>
      <c r="J27" s="12" t="n">
        <f aca="false">((1-C$2)*C$3*EXP(-$E$2*(I27^$G$2)))+(C$2*C$3*EXP(-$E$3*I27))</f>
        <v>11.0368753996893</v>
      </c>
    </row>
    <row r="28" customFormat="false" ht="15" hidden="false" customHeight="false" outlineLevel="0" collapsed="false">
      <c r="I28" s="6" t="n">
        <v>25</v>
      </c>
      <c r="J28" s="12" t="n">
        <f aca="false">((1-C$2)*C$3*EXP(-$E$2*(I28^$G$2)))+(C$2*C$3*EXP(-$E$3*I28))</f>
        <v>10.5012175491828</v>
      </c>
    </row>
    <row r="29" customFormat="false" ht="15" hidden="false" customHeight="false" outlineLevel="0" collapsed="false">
      <c r="I29" s="6" t="n">
        <v>26</v>
      </c>
      <c r="J29" s="12" t="n">
        <f aca="false">((1-C$2)*C$3*EXP(-$E$2*(I29^$G$2)))+(C$2*C$3*EXP(-$E$3*I29))</f>
        <v>10.0121164403</v>
      </c>
    </row>
    <row r="30" customFormat="false" ht="15" hidden="false" customHeight="false" outlineLevel="0" collapsed="false">
      <c r="I30" s="6" t="n">
        <v>27</v>
      </c>
      <c r="J30" s="12" t="n">
        <f aca="false">((1-C$2)*C$3*EXP(-$E$2*(I30^$G$2)))+(C$2*C$3*EXP(-$E$3*I30))</f>
        <v>9.56331466905307</v>
      </c>
    </row>
    <row r="31" customFormat="false" ht="15" hidden="false" customHeight="false" outlineLevel="0" collapsed="false">
      <c r="I31" s="6" t="n">
        <v>28</v>
      </c>
      <c r="J31" s="12" t="n">
        <f aca="false">((1-C$2)*C$3*EXP(-$E$2*(I31^$G$2)))+(C$2*C$3*EXP(-$E$3*I31))</f>
        <v>9.14968883104596</v>
      </c>
    </row>
    <row r="32" customFormat="false" ht="15" hidden="false" customHeight="false" outlineLevel="0" collapsed="false">
      <c r="E32" s="19"/>
      <c r="F32" s="19"/>
      <c r="I32" s="6" t="n">
        <v>29</v>
      </c>
      <c r="J32" s="12" t="n">
        <f aca="false">((1-C$2)*C$3*EXP(-$E$2*(I32^$G$2)))+(C$2*C$3*EXP(-$E$3*I32))</f>
        <v>8.76700401957935</v>
      </c>
    </row>
    <row r="33" customFormat="false" ht="15" hidden="false" customHeight="false" outlineLevel="0" collapsed="false">
      <c r="E33" s="19"/>
      <c r="F33" s="19"/>
      <c r="I33" s="6" t="n">
        <v>30</v>
      </c>
      <c r="J33" s="12" t="n">
        <f aca="false">((1-C$2)*C$3*EXP(-$E$2*(I33^$G$2)))+(C$2*C$3*EXP(-$E$3*I33))</f>
        <v>8.41172693143425</v>
      </c>
    </row>
    <row r="34" customFormat="false" ht="15" hidden="false" customHeight="false" outlineLevel="0" collapsed="false">
      <c r="E34" s="19"/>
      <c r="F34" s="19"/>
      <c r="I34" s="6" t="n">
        <v>31</v>
      </c>
      <c r="J34" s="12" t="n">
        <f aca="false">((1-C$2)*C$3*EXP(-$E$2*(I34^$G$2)))+(C$2*C$3*EXP(-$E$3*I34))</f>
        <v>8.0808828096978</v>
      </c>
    </row>
    <row r="35" customFormat="false" ht="15" hidden="false" customHeight="false" outlineLevel="0" collapsed="false">
      <c r="B35" s="19"/>
      <c r="C35" s="19"/>
      <c r="D35" s="19"/>
      <c r="E35" s="19"/>
      <c r="F35" s="19"/>
      <c r="I35" s="6" t="n">
        <v>32</v>
      </c>
      <c r="J35" s="12" t="n">
        <f aca="false">((1-C$2)*C$3*EXP(-$E$2*(I35^$G$2)))+(C$2*C$3*EXP(-$E$3*I35))</f>
        <v>7.77194529899358</v>
      </c>
    </row>
    <row r="36" customFormat="false" ht="15" hidden="false" customHeight="false" outlineLevel="0" collapsed="false">
      <c r="B36" s="19"/>
      <c r="C36" s="19"/>
      <c r="D36" s="19"/>
      <c r="E36" s="19"/>
      <c r="F36" s="19"/>
      <c r="I36" s="6" t="n">
        <v>33</v>
      </c>
      <c r="J36" s="12" t="n">
        <f aca="false">((1-C$2)*C$3*EXP(-$E$2*(I36^$G$2)))+(C$2*C$3*EXP(-$E$3*I36))</f>
        <v>7.4827511101019</v>
      </c>
    </row>
    <row r="37" customFormat="false" ht="15" hidden="false" customHeight="false" outlineLevel="0" collapsed="false">
      <c r="B37" s="19"/>
      <c r="C37" s="19"/>
      <c r="D37" s="19"/>
      <c r="E37" s="19"/>
      <c r="F37" s="19"/>
      <c r="I37" s="6" t="n">
        <v>34</v>
      </c>
      <c r="J37" s="12" t="n">
        <f aca="false">((1-C$2)*C$3*EXP(-$E$2*(I37^$G$2)))+(C$2*C$3*EXP(-$E$3*I37))</f>
        <v>7.21143346627966</v>
      </c>
    </row>
    <row r="38" customFormat="false" ht="15" hidden="false" customHeight="false" outlineLevel="0" collapsed="false">
      <c r="B38" s="19"/>
      <c r="C38" s="19"/>
      <c r="D38" s="19"/>
      <c r="E38" s="19"/>
      <c r="F38" s="19"/>
      <c r="I38" s="6" t="n">
        <v>35</v>
      </c>
      <c r="J38" s="12" t="n">
        <f aca="false">((1-C$2)*C$3*EXP(-$E$2*(I38^$G$2)))+(C$2*C$3*EXP(-$E$3*I38))</f>
        <v>6.9563698337367</v>
      </c>
    </row>
    <row r="39" customFormat="false" ht="15" hidden="false" customHeight="false" outlineLevel="0" collapsed="false">
      <c r="B39" s="19"/>
      <c r="C39" s="19"/>
      <c r="D39" s="19"/>
      <c r="E39" s="19"/>
      <c r="F39" s="19"/>
      <c r="I39" s="6" t="n">
        <v>36</v>
      </c>
      <c r="J39" s="12" t="n">
        <f aca="false">((1-C$2)*C$3*EXP(-$E$2*(I39^$G$2)))+(C$2*C$3*EXP(-$E$3*I39))</f>
        <v>6.71614056964488</v>
      </c>
    </row>
    <row r="40" customFormat="false" ht="15" hidden="false" customHeight="false" outlineLevel="0" collapsed="false">
      <c r="B40" s="19"/>
      <c r="C40" s="19"/>
      <c r="D40" s="19"/>
      <c r="E40" s="19"/>
      <c r="F40" s="19"/>
      <c r="I40" s="6" t="n">
        <v>37</v>
      </c>
      <c r="J40" s="12" t="n">
        <f aca="false">((1-C$2)*C$3*EXP(-$E$2*(I40^$G$2)))+(C$2*C$3*EXP(-$E$3*I40))</f>
        <v>6.4894959589572</v>
      </c>
    </row>
    <row r="41" customFormat="false" ht="15" hidden="false" customHeight="false" outlineLevel="0" collapsed="false">
      <c r="B41" s="19"/>
      <c r="C41" s="19"/>
      <c r="D41" s="19"/>
      <c r="E41" s="19"/>
      <c r="F41" s="19"/>
      <c r="I41" s="6" t="n">
        <v>38</v>
      </c>
      <c r="J41" s="12" t="n">
        <f aca="false">((1-C$2)*C$3*EXP(-$E$2*(I41^$G$2)))+(C$2*C$3*EXP(-$E$3*I41))</f>
        <v>6.27532973368761</v>
      </c>
    </row>
    <row r="42" customFormat="false" ht="15" hidden="false" customHeight="false" outlineLevel="0" collapsed="false">
      <c r="B42" s="19"/>
      <c r="C42" s="19"/>
      <c r="D42" s="19"/>
      <c r="E42" s="19"/>
      <c r="F42" s="19"/>
      <c r="I42" s="6" t="n">
        <v>39</v>
      </c>
      <c r="J42" s="12" t="n">
        <f aca="false">((1-C$2)*C$3*EXP(-$E$2*(I42^$G$2)))+(C$2*C$3*EXP(-$E$3*I42))</f>
        <v>6.07265763180639</v>
      </c>
    </row>
    <row r="43" customFormat="false" ht="15" hidden="false" customHeight="false" outlineLevel="0" collapsed="false">
      <c r="B43" s="19"/>
      <c r="C43" s="19"/>
      <c r="D43" s="19"/>
      <c r="E43" s="19"/>
      <c r="F43" s="19"/>
      <c r="I43" s="6" t="n">
        <v>40</v>
      </c>
      <c r="J43" s="12" t="n">
        <f aca="false">((1-C$2)*C$3*EXP(-$E$2*(I43^$G$2)))+(C$2*C$3*EXP(-$E$3*I43))</f>
        <v>5.88059989906051</v>
      </c>
    </row>
    <row r="44" customFormat="false" ht="15" hidden="false" customHeight="false" outlineLevel="0" collapsed="false">
      <c r="B44" s="19"/>
      <c r="C44" s="19"/>
      <c r="D44" s="19"/>
      <c r="E44" s="19"/>
      <c r="F44" s="19"/>
      <c r="I44" s="6" t="n">
        <v>41</v>
      </c>
      <c r="J44" s="12" t="n">
        <f aca="false">((1-C$2)*C$3*EXP(-$E$2*(I44^$G$2)))+(C$2*C$3*EXP(-$E$3*I44))</f>
        <v>5.69836689631374</v>
      </c>
    </row>
    <row r="45" customFormat="false" ht="15" hidden="false" customHeight="false" outlineLevel="0" collapsed="false">
      <c r="B45" s="19"/>
      <c r="C45" s="19"/>
      <c r="D45" s="19"/>
      <c r="E45" s="19"/>
      <c r="F45" s="19"/>
      <c r="I45" s="6" t="n">
        <v>42</v>
      </c>
      <c r="J45" s="12" t="n">
        <f aca="false">((1-C$2)*C$3*EXP(-$E$2*(I45^$G$2)))+(C$2*C$3*EXP(-$E$3*I45))</f>
        <v>5.52524716983876</v>
      </c>
    </row>
    <row r="46" customFormat="false" ht="15" hidden="false" customHeight="false" outlineLevel="0" collapsed="false">
      <c r="B46" s="19"/>
      <c r="C46" s="19"/>
      <c r="D46" s="19"/>
      <c r="E46" s="19"/>
      <c r="F46" s="19"/>
      <c r="I46" s="6" t="n">
        <v>43</v>
      </c>
      <c r="J46" s="12" t="n">
        <f aca="false">((1-C$2)*C$3*EXP(-$E$2*(I46^$G$2)))+(C$2*C$3*EXP(-$E$3*I46))</f>
        <v>5.3605974889067</v>
      </c>
    </row>
    <row r="47" customFormat="false" ht="15" hidden="false" customHeight="false" outlineLevel="0" collapsed="false">
      <c r="B47" s="19"/>
      <c r="C47" s="19"/>
      <c r="D47" s="19"/>
      <c r="E47" s="19"/>
      <c r="F47" s="19"/>
      <c r="I47" s="6" t="n">
        <v>44</v>
      </c>
      <c r="J47" s="12" t="n">
        <f aca="false">((1-C$2)*C$3*EXP(-$E$2*(I47^$G$2)))+(C$2*C$3*EXP(-$E$3*I47))</f>
        <v>5.20383446620706</v>
      </c>
    </row>
    <row r="48" customFormat="false" ht="15" hidden="false" customHeight="false" outlineLevel="0" collapsed="false">
      <c r="B48" s="19"/>
      <c r="C48" s="19"/>
      <c r="D48" s="19"/>
      <c r="E48" s="19"/>
      <c r="F48" s="19"/>
      <c r="I48" s="6" t="n">
        <v>45</v>
      </c>
      <c r="J48" s="12" t="n">
        <f aca="false">((1-C$2)*C$3*EXP(-$E$2*(I48^$G$2)))+(C$2*C$3*EXP(-$E$3*I48))</f>
        <v>5.05442746111665</v>
      </c>
    </row>
    <row r="49" customFormat="false" ht="15" hidden="false" customHeight="false" outlineLevel="0" collapsed="false">
      <c r="B49" s="19"/>
      <c r="C49" s="19"/>
      <c r="D49" s="19"/>
      <c r="E49" s="19"/>
      <c r="F49" s="19"/>
      <c r="G49" s="19"/>
      <c r="H49" s="19"/>
      <c r="I49" s="6" t="n">
        <v>46</v>
      </c>
      <c r="J49" s="12" t="n">
        <f aca="false">((1-C$2)*C$3*EXP(-$E$2*(I49^$G$2)))+(C$2*C$3*EXP(-$E$3*I49))</f>
        <v>4.91189253030947</v>
      </c>
    </row>
    <row r="50" customFormat="false" ht="15" hidden="false" customHeight="false" outlineLevel="0" collapsed="false">
      <c r="B50" s="19"/>
      <c r="C50" s="19"/>
      <c r="D50" s="19"/>
      <c r="E50" s="19"/>
      <c r="F50" s="19"/>
      <c r="G50" s="19"/>
      <c r="H50" s="19"/>
      <c r="I50" s="6" t="n">
        <v>47</v>
      </c>
      <c r="J50" s="12" t="n">
        <f aca="false">((1-C$2)*C$3*EXP(-$E$2*(I50^$G$2)))+(C$2*C$3*EXP(-$E$3*I50))</f>
        <v>4.77578723962634</v>
      </c>
    </row>
    <row r="51" customFormat="false" ht="15" hidden="false" customHeight="false" outlineLevel="0" collapsed="false">
      <c r="B51" s="19"/>
      <c r="C51" s="19"/>
      <c r="D51" s="19"/>
      <c r="E51" s="19"/>
      <c r="F51" s="19"/>
      <c r="G51" s="19"/>
      <c r="H51" s="19"/>
      <c r="I51" s="6" t="n">
        <v>48</v>
      </c>
      <c r="J51" s="12" t="n">
        <f aca="false">((1-C$2)*C$3*EXP(-$E$2*(I51^$G$2)))+(C$2*C$3*EXP(-$E$3*I51))</f>
        <v>4.64570618920301</v>
      </c>
    </row>
    <row r="52" customFormat="false" ht="15" hidden="false" customHeight="false" outlineLevel="0" collapsed="false">
      <c r="B52" s="19"/>
      <c r="C52" s="19"/>
      <c r="D52" s="19"/>
      <c r="E52" s="19"/>
      <c r="F52" s="19"/>
      <c r="G52" s="19"/>
      <c r="H52" s="19"/>
      <c r="I52" s="6" t="n">
        <v>49</v>
      </c>
      <c r="J52" s="12" t="n">
        <f aca="false">((1-C$2)*C$3*EXP(-$E$2*(I52^$G$2)))+(C$2*C$3*EXP(-$E$3*I52))</f>
        <v>4.52127713334516</v>
      </c>
    </row>
    <row r="53" customFormat="false" ht="15" hidden="false" customHeight="false" outlineLevel="0" collapsed="false">
      <c r="B53" s="19"/>
      <c r="C53" s="19"/>
      <c r="D53" s="19"/>
      <c r="E53" s="19"/>
      <c r="F53" s="19"/>
      <c r="G53" s="19"/>
      <c r="H53" s="19"/>
      <c r="I53" s="6" t="n">
        <v>50</v>
      </c>
      <c r="J53" s="12" t="n">
        <f aca="false">((1-C$2)*C$3*EXP(-$E$2*(I53^$G$2)))+(C$2*C$3*EXP(-$E$3*I53))</f>
        <v>4.40215759960349</v>
      </c>
    </row>
    <row r="54" customFormat="false" ht="15" hidden="false" customHeight="false" outlineLevel="0" collapsed="false">
      <c r="B54" s="19"/>
      <c r="C54" s="19"/>
      <c r="D54" s="19"/>
      <c r="E54" s="19"/>
      <c r="F54" s="19"/>
      <c r="G54" s="19"/>
      <c r="H54" s="19"/>
      <c r="I54" s="6" t="n">
        <v>51</v>
      </c>
      <c r="J54" s="12" t="n">
        <f aca="false">((1-C$2)*C$3*EXP(-$E$2*(I54^$G$2)))+(C$2*C$3*EXP(-$E$3*I54))</f>
        <v>4.28803192948796</v>
      </c>
    </row>
    <row r="55" customFormat="false" ht="15" hidden="false" customHeight="false" outlineLevel="0" collapsed="false">
      <c r="B55" s="19"/>
      <c r="C55" s="19"/>
      <c r="D55" s="19"/>
      <c r="E55" s="19"/>
      <c r="F55" s="19"/>
      <c r="G55" s="19"/>
      <c r="H55" s="19"/>
      <c r="I55" s="6" t="n">
        <v>52</v>
      </c>
      <c r="J55" s="12" t="n">
        <f aca="false">((1-C$2)*C$3*EXP(-$E$2*(I55^$G$2)))+(C$2*C$3*EXP(-$E$3*I55))</f>
        <v>4.17860867743159</v>
      </c>
    </row>
    <row r="56" customFormat="false" ht="15" hidden="false" customHeight="false" outlineLevel="0" collapsed="false">
      <c r="B56" s="19"/>
      <c r="C56" s="19"/>
      <c r="D56" s="19"/>
      <c r="E56" s="19"/>
      <c r="F56" s="19"/>
      <c r="G56" s="19"/>
      <c r="H56" s="19"/>
      <c r="I56" s="6" t="n">
        <v>53</v>
      </c>
      <c r="J56" s="12" t="n">
        <f aca="false">((1-C$2)*C$3*EXP(-$E$2*(I56^$G$2)))+(C$2*C$3*EXP(-$E$3*I56))</f>
        <v>4.07361831584997</v>
      </c>
    </row>
    <row r="57" customFormat="false" ht="15" hidden="false" customHeight="false" outlineLevel="0" collapsed="false">
      <c r="B57" s="19"/>
      <c r="C57" s="19"/>
      <c r="D57" s="19"/>
      <c r="E57" s="19"/>
      <c r="F57" s="19"/>
      <c r="G57" s="19"/>
      <c r="H57" s="19"/>
      <c r="I57" s="6" t="n">
        <v>54</v>
      </c>
      <c r="J57" s="12" t="n">
        <f aca="false">((1-C$2)*C$3*EXP(-$E$2*(I57^$G$2)))+(C$2*C$3*EXP(-$E$3*I57))</f>
        <v>3.97281120310607</v>
      </c>
    </row>
    <row r="58" customFormat="false" ht="15" hidden="false" customHeight="false" outlineLevel="0" collapsed="false">
      <c r="B58" s="19"/>
      <c r="C58" s="19"/>
      <c r="D58" s="19"/>
      <c r="E58" s="19"/>
      <c r="F58" s="19"/>
      <c r="G58" s="19"/>
      <c r="H58" s="19"/>
      <c r="I58" s="6" t="n">
        <v>55</v>
      </c>
      <c r="J58" s="12" t="n">
        <f aca="false">((1-C$2)*C$3*EXP(-$E$2*(I58^$G$2)))+(C$2*C$3*EXP(-$E$3*I58))</f>
        <v>3.87595577838802</v>
      </c>
    </row>
    <row r="59" customFormat="false" ht="15" hidden="false" customHeight="false" outlineLevel="0" collapsed="false">
      <c r="B59" s="19"/>
      <c r="C59" s="19"/>
      <c r="D59" s="19"/>
      <c r="G59" s="19"/>
      <c r="H59" s="19"/>
      <c r="I59" s="6" t="n">
        <v>56</v>
      </c>
      <c r="J59" s="12" t="n">
        <f aca="false">((1-C$2)*C$3*EXP(-$E$2*(I59^$G$2)))+(C$2*C$3*EXP(-$E$3*I59))</f>
        <v>3.78283695332378</v>
      </c>
    </row>
    <row r="60" customFormat="false" ht="15" hidden="false" customHeight="false" outlineLevel="0" collapsed="false">
      <c r="B60" s="19"/>
      <c r="C60" s="19"/>
      <c r="D60" s="19"/>
      <c r="G60" s="19"/>
      <c r="H60" s="19"/>
      <c r="I60" s="6" t="n">
        <v>57</v>
      </c>
      <c r="J60" s="12" t="n">
        <f aca="false">((1-C$2)*C$3*EXP(-$E$2*(I60^$G$2)))+(C$2*C$3*EXP(-$E$3*I60))</f>
        <v>3.69325467488817</v>
      </c>
    </row>
    <row r="61" customFormat="false" ht="15" hidden="false" customHeight="false" outlineLevel="0" collapsed="false">
      <c r="B61" s="19"/>
      <c r="C61" s="19"/>
      <c r="D61" s="19"/>
      <c r="G61" s="19"/>
      <c r="H61" s="19"/>
      <c r="I61" s="6" t="n">
        <v>58</v>
      </c>
      <c r="J61" s="12" t="n">
        <f aca="false">((1-C$2)*C$3*EXP(-$E$2*(I61^$G$2)))+(C$2*C$3*EXP(-$E$3*I61))</f>
        <v>3.60702263802928</v>
      </c>
    </row>
    <row r="62" customFormat="false" ht="15" hidden="false" customHeight="false" outlineLevel="0" collapsed="false">
      <c r="G62" s="19"/>
      <c r="H62" s="19"/>
      <c r="I62" s="6" t="n">
        <v>59</v>
      </c>
      <c r="J62" s="12" t="n">
        <f aca="false">((1-C$2)*C$3*EXP(-$E$2*(I62^$G$2)))+(C$2*C$3*EXP(-$E$3*I62))</f>
        <v>3.52396712963086</v>
      </c>
    </row>
    <row r="63" customFormat="false" ht="15" hidden="false" customHeight="false" outlineLevel="0" collapsed="false">
      <c r="G63" s="19"/>
      <c r="H63" s="19"/>
      <c r="I63" s="6" t="n">
        <v>60</v>
      </c>
      <c r="J63" s="12" t="n">
        <f aca="false">((1-C$2)*C$3*EXP(-$E$2*(I63^$G$2)))+(C$2*C$3*EXP(-$E$3*I63))</f>
        <v>3.44392598806929</v>
      </c>
    </row>
    <row r="64" customFormat="false" ht="15" hidden="false" customHeight="false" outlineLevel="0" collapsed="false">
      <c r="G64" s="19"/>
      <c r="H64" s="19"/>
      <c r="I64" s="6" t="n">
        <v>61</v>
      </c>
      <c r="J64" s="12" t="n">
        <f aca="false">((1-C$2)*C$3*EXP(-$E$2*(I64^$G$2)))+(C$2*C$3*EXP(-$E$3*I64))</f>
        <v>3.36674766482538</v>
      </c>
    </row>
    <row r="65" customFormat="false" ht="15" hidden="false" customHeight="false" outlineLevel="0" collapsed="false">
      <c r="G65" s="19"/>
      <c r="H65" s="19"/>
      <c r="I65" s="6" t="n">
        <v>62</v>
      </c>
      <c r="J65" s="12" t="n">
        <f aca="false">((1-C$2)*C$3*EXP(-$E$2*(I65^$G$2)))+(C$2*C$3*EXP(-$E$3*I65))</f>
        <v>3.29229037645674</v>
      </c>
    </row>
    <row r="66" customFormat="false" ht="15" hidden="false" customHeight="false" outlineLevel="0" collapsed="false">
      <c r="G66" s="19"/>
      <c r="H66" s="19"/>
      <c r="I66" s="6" t="n">
        <v>63</v>
      </c>
      <c r="J66" s="12" t="n">
        <f aca="false">((1-C$2)*C$3*EXP(-$E$2*(I66^$G$2)))+(C$2*C$3*EXP(-$E$3*I66))</f>
        <v>3.22042133679025</v>
      </c>
    </row>
    <row r="67" customFormat="false" ht="15" hidden="false" customHeight="false" outlineLevel="0" collapsed="false">
      <c r="G67" s="19"/>
      <c r="H67" s="19"/>
      <c r="I67" s="6" t="n">
        <v>64</v>
      </c>
      <c r="J67" s="12" t="n">
        <f aca="false">((1-C$2)*C$3*EXP(-$E$2*(I67^$G$2)))+(C$2*C$3*EXP(-$E$3*I67))</f>
        <v>3.15101606051021</v>
      </c>
    </row>
    <row r="68" customFormat="false" ht="15" hidden="false" customHeight="false" outlineLevel="0" collapsed="false">
      <c r="G68" s="19"/>
      <c r="H68" s="19"/>
      <c r="I68" s="6" t="n">
        <v>65</v>
      </c>
      <c r="J68" s="12" t="n">
        <f aca="false">((1-C$2)*C$3*EXP(-$E$2*(I68^$G$2)))+(C$2*C$3*EXP(-$E$3*I68))</f>
        <v>3.08395773043696</v>
      </c>
    </row>
    <row r="69" customFormat="false" ht="15" hidden="false" customHeight="false" outlineLevel="0" collapsed="false">
      <c r="G69" s="19"/>
      <c r="H69" s="19"/>
      <c r="I69" s="6" t="n">
        <v>66</v>
      </c>
      <c r="J69" s="12" t="n">
        <f aca="false">((1-C$2)*C$3*EXP(-$E$2*(I69^$G$2)))+(C$2*C$3*EXP(-$E$3*I69))</f>
        <v>3.01913662174675</v>
      </c>
    </row>
    <row r="70" customFormat="false" ht="15" hidden="false" customHeight="false" outlineLevel="0" collapsed="false">
      <c r="G70" s="19"/>
      <c r="H70" s="19"/>
      <c r="I70" s="6" t="n">
        <v>67</v>
      </c>
      <c r="J70" s="12" t="n">
        <f aca="false">((1-C$2)*C$3*EXP(-$E$2*(I70^$G$2)))+(C$2*C$3*EXP(-$E$3*I70))</f>
        <v>2.95644957720406</v>
      </c>
    </row>
    <row r="71" customFormat="false" ht="15" hidden="false" customHeight="false" outlineLevel="0" collapsed="false">
      <c r="G71" s="19"/>
      <c r="H71" s="19"/>
      <c r="I71" s="6" t="n">
        <v>68</v>
      </c>
      <c r="J71" s="12" t="n">
        <f aca="false">((1-C$2)*C$3*EXP(-$E$2*(I71^$G$2)))+(C$2*C$3*EXP(-$E$3*I71))</f>
        <v>2.89579952818393</v>
      </c>
    </row>
    <row r="72" customFormat="false" ht="15" hidden="false" customHeight="false" outlineLevel="0" collapsed="false">
      <c r="G72" s="19"/>
      <c r="H72" s="19"/>
      <c r="I72" s="6" t="n">
        <v>69</v>
      </c>
      <c r="J72" s="12" t="n">
        <f aca="false">((1-C$2)*C$3*EXP(-$E$2*(I72^$G$2)))+(C$2*C$3*EXP(-$E$3*I72))</f>
        <v>2.83709505687229</v>
      </c>
    </row>
    <row r="73" customFormat="false" ht="15" hidden="false" customHeight="false" outlineLevel="0" collapsed="false">
      <c r="G73" s="19"/>
      <c r="H73" s="19"/>
      <c r="I73" s="6" t="n">
        <v>70</v>
      </c>
      <c r="J73" s="12" t="n">
        <f aca="false">((1-C$2)*C$3*EXP(-$E$2*(I73^$G$2)))+(C$2*C$3*EXP(-$E$3*I73))</f>
        <v>2.78024999556199</v>
      </c>
    </row>
    <row r="74" customFormat="false" ht="15" hidden="false" customHeight="false" outlineLevel="0" collapsed="false">
      <c r="G74" s="19"/>
      <c r="H74" s="19"/>
      <c r="I74" s="6" t="n">
        <v>71</v>
      </c>
      <c r="J74" s="12" t="n">
        <f aca="false">((1-C$2)*C$3*EXP(-$E$2*(I74^$G$2)))+(C$2*C$3*EXP(-$E$3*I74))</f>
        <v>2.72518305942225</v>
      </c>
    </row>
    <row r="75" customFormat="false" ht="15" hidden="false" customHeight="false" outlineLevel="0" collapsed="false">
      <c r="G75" s="19"/>
      <c r="H75" s="19"/>
      <c r="I75" s="19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&amp;C_x005F_x000D_&amp;1#&amp;"Default,Regular"&amp;10&amp;Kd89b2b Confidential - Company Proprietary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23.57"/>
    <col collapsed="false" customWidth="true" hidden="false" outlineLevel="0" max="4" min="4" style="0" width="24.42"/>
  </cols>
  <sheetData>
    <row r="2" customFormat="false" ht="15" hidden="false" customHeight="false" outlineLevel="0" collapsed="false">
      <c r="B2" s="1" t="s">
        <v>0</v>
      </c>
      <c r="C2" s="2" t="n">
        <v>0.00723973753786639</v>
      </c>
      <c r="D2" s="3" t="s">
        <v>1</v>
      </c>
      <c r="E2" s="4" t="n">
        <v>0.855075238502026</v>
      </c>
      <c r="F2" s="3" t="s">
        <v>2</v>
      </c>
      <c r="G2" s="5" t="n">
        <v>0.879062389756879</v>
      </c>
      <c r="I2" s="6" t="s">
        <v>3</v>
      </c>
      <c r="J2" s="6" t="s">
        <v>4</v>
      </c>
    </row>
    <row r="3" customFormat="false" ht="15" hidden="false" customHeight="false" outlineLevel="0" collapsed="false">
      <c r="B3" s="7" t="s">
        <v>5</v>
      </c>
      <c r="C3" s="8" t="n">
        <f aca="false">(B6+B12)/2</f>
        <v>107000</v>
      </c>
      <c r="D3" s="9" t="s">
        <v>6</v>
      </c>
      <c r="E3" s="10" t="n">
        <v>0</v>
      </c>
      <c r="F3" s="9"/>
      <c r="G3" s="11"/>
      <c r="I3" s="6" t="n">
        <v>0</v>
      </c>
      <c r="J3" s="12" t="n">
        <f aca="false">((1-C$2)*C$3*EXP(-$E$2*(I3^$G$2)))+(C$2*C$3*EXP(-$E$3*I3))</f>
        <v>107000</v>
      </c>
    </row>
    <row r="4" customFormat="false" ht="15" hidden="false" customHeight="false" outlineLevel="0" collapsed="false">
      <c r="I4" s="6" t="n">
        <v>1</v>
      </c>
      <c r="J4" s="12" t="n">
        <f aca="false">((1-C$2)*C$3*EXP(-$E$2*(I4^$G$2)))+(C$2*C$3*EXP(-$E$3*I4))</f>
        <v>45947.1080875108</v>
      </c>
    </row>
    <row r="5" customFormat="false" ht="15" hidden="false" customHeight="false" outlineLevel="0" collapsed="false">
      <c r="B5" s="13" t="s">
        <v>7</v>
      </c>
      <c r="C5" s="14" t="s">
        <v>8</v>
      </c>
      <c r="D5" s="14" t="s">
        <v>9</v>
      </c>
      <c r="E5" s="15"/>
      <c r="I5" s="6" t="n">
        <v>2</v>
      </c>
      <c r="J5" s="12" t="n">
        <f aca="false">((1-C$2)*C$3*EXP(-$E$2*(I5^$G$2)))+(C$2*C$3*EXP(-$E$3*I5))</f>
        <v>22816.1246971703</v>
      </c>
    </row>
    <row r="6" customFormat="false" ht="15" hidden="false" customHeight="false" outlineLevel="0" collapsed="false">
      <c r="B6" s="16" t="n">
        <v>98000</v>
      </c>
      <c r="C6" s="17" t="n">
        <v>0</v>
      </c>
      <c r="D6" s="16" t="n">
        <v>107000</v>
      </c>
      <c r="E6" s="15"/>
      <c r="I6" s="6" t="n">
        <v>3</v>
      </c>
      <c r="J6" s="12" t="n">
        <f aca="false">((1-C$2)*C$3*EXP(-$E$2*(I6^$G$2)))+(C$2*C$3*EXP(-$E$3*I6))</f>
        <v>12014.7854903682</v>
      </c>
    </row>
    <row r="7" customFormat="false" ht="15" hidden="false" customHeight="false" outlineLevel="0" collapsed="false">
      <c r="B7" s="16" t="n">
        <v>50000</v>
      </c>
      <c r="C7" s="17" t="n">
        <v>0.684776206089502</v>
      </c>
      <c r="D7" s="16" t="n">
        <v>58320.9475481621</v>
      </c>
      <c r="E7" s="15"/>
      <c r="I7" s="6" t="n">
        <v>4</v>
      </c>
      <c r="J7" s="12" t="n">
        <f aca="false">((1-C$2)*C$3*EXP(-$E$2*(I7^$G$2)))+(C$2*C$3*EXP(-$E$3*I7))</f>
        <v>6664.32746176567</v>
      </c>
    </row>
    <row r="8" customFormat="false" ht="15" hidden="false" customHeight="false" outlineLevel="0" collapsed="false">
      <c r="B8" s="16" t="n">
        <v>60000</v>
      </c>
      <c r="C8" s="17" t="n">
        <v>2.02778230502292</v>
      </c>
      <c r="D8" s="16" t="n">
        <v>22397.2307386826</v>
      </c>
      <c r="E8" s="15"/>
      <c r="I8" s="6" t="n">
        <v>5</v>
      </c>
      <c r="J8" s="12" t="n">
        <f aca="false">((1-C$2)*C$3*EXP(-$E$2*(I8^$G$2)))+(C$2*C$3*EXP(-$E$3*I8))</f>
        <v>3921.41369130198</v>
      </c>
    </row>
    <row r="9" customFormat="false" ht="15" hidden="false" customHeight="false" outlineLevel="0" collapsed="false">
      <c r="B9" s="16" t="n">
        <v>64000</v>
      </c>
      <c r="C9" s="17" t="n">
        <v>3.33615479318031</v>
      </c>
      <c r="D9" s="16" t="n">
        <v>9796.88266514718</v>
      </c>
      <c r="E9" s="15"/>
      <c r="I9" s="6" t="n">
        <v>6</v>
      </c>
      <c r="J9" s="12" t="n">
        <f aca="false">((1-C$2)*C$3*EXP(-$E$2*(I9^$G$2)))+(C$2*C$3*EXP(-$E$3*I9))</f>
        <v>2481.47336241766</v>
      </c>
    </row>
    <row r="10" customFormat="false" ht="15" hidden="false" customHeight="false" outlineLevel="0" collapsed="false">
      <c r="B10" s="16" t="n">
        <v>3500</v>
      </c>
      <c r="C10" s="17" t="n">
        <v>6.46136863637114</v>
      </c>
      <c r="D10" s="16" t="n">
        <v>2067.26249666133</v>
      </c>
      <c r="E10" s="15"/>
      <c r="I10" s="6" t="n">
        <v>7</v>
      </c>
      <c r="J10" s="12" t="n">
        <f aca="false">((1-C$2)*C$3*EXP(-$E$2*(I10^$G$2)))+(C$2*C$3*EXP(-$E$3*I10))</f>
        <v>1711.86816725734</v>
      </c>
    </row>
    <row r="11" customFormat="false" ht="15" hidden="false" customHeight="false" outlineLevel="0" collapsed="false">
      <c r="B11" s="16" t="n">
        <v>940</v>
      </c>
      <c r="C11" s="17" t="n">
        <v>17.1072320480654</v>
      </c>
      <c r="D11" s="16" t="n">
        <v>777.961851561949</v>
      </c>
      <c r="E11" s="15"/>
      <c r="I11" s="6" t="n">
        <v>8</v>
      </c>
      <c r="J11" s="12" t="n">
        <f aca="false">((1-C$2)*C$3*EXP(-$E$2*(I11^$G$2)))+(C$2*C$3*EXP(-$E$3*I11))</f>
        <v>1294.60836268413</v>
      </c>
    </row>
    <row r="12" customFormat="false" ht="15" hidden="false" customHeight="false" outlineLevel="0" collapsed="false">
      <c r="B12" s="16" t="n">
        <v>116000</v>
      </c>
      <c r="C12" s="17" t="n">
        <v>0</v>
      </c>
      <c r="D12" s="16" t="n">
        <v>107000</v>
      </c>
      <c r="E12" s="15"/>
      <c r="I12" s="6" t="n">
        <v>9</v>
      </c>
      <c r="J12" s="12" t="n">
        <f aca="false">((1-C$2)*C$3*EXP(-$E$2*(I12^$G$2)))+(C$2*C$3*EXP(-$E$3*I12))</f>
        <v>1065.68590101707</v>
      </c>
    </row>
    <row r="13" customFormat="false" ht="15" hidden="false" customHeight="false" outlineLevel="0" collapsed="false">
      <c r="B13" s="16" t="n">
        <v>1800</v>
      </c>
      <c r="C13" s="17" t="n">
        <v>2.08266397961124</v>
      </c>
      <c r="D13" s="16" t="n">
        <v>21594.9256476337</v>
      </c>
      <c r="I13" s="6" t="n">
        <v>10</v>
      </c>
      <c r="J13" s="12" t="n">
        <f aca="false">((1-C$2)*C$3*EXP(-$E$2*(I13^$G$2)))+(C$2*C$3*EXP(-$E$3*I13))</f>
        <v>938.821118187568</v>
      </c>
    </row>
    <row r="14" customFormat="false" ht="15" hidden="false" customHeight="false" outlineLevel="0" collapsed="false">
      <c r="B14" s="16" t="n">
        <v>960</v>
      </c>
      <c r="C14" s="17" t="n">
        <v>6.02902299114646</v>
      </c>
      <c r="D14" s="16" t="n">
        <v>2451.76271402721</v>
      </c>
      <c r="I14" s="6" t="n">
        <v>11</v>
      </c>
      <c r="J14" s="12" t="n">
        <f aca="false">((1-C$2)*C$3*EXP(-$E$2*(I14^$G$2)))+(C$2*C$3*EXP(-$E$3*I14))</f>
        <v>867.898723196541</v>
      </c>
    </row>
    <row r="15" customFormat="false" ht="15" hidden="false" customHeight="false" outlineLevel="0" collapsed="false">
      <c r="B15" s="16" t="n">
        <v>625</v>
      </c>
      <c r="C15" s="17" t="n">
        <v>9.70042608960744</v>
      </c>
      <c r="D15" s="16" t="n">
        <v>969.390351566963</v>
      </c>
      <c r="I15" s="6" t="n">
        <v>12</v>
      </c>
      <c r="J15" s="12" t="n">
        <f aca="false">((1-C$2)*C$3*EXP(-$E$2*(I15^$G$2)))+(C$2*C$3*EXP(-$E$3*I15))</f>
        <v>827.944431263852</v>
      </c>
    </row>
    <row r="16" customFormat="false" ht="15" hidden="false" customHeight="false" outlineLevel="0" collapsed="false">
      <c r="B16" s="16" t="n">
        <v>376</v>
      </c>
      <c r="C16" s="17" t="n">
        <v>17.7984584320269</v>
      </c>
      <c r="D16" s="16" t="n">
        <v>776.943532342121</v>
      </c>
      <c r="I16" s="6" t="n">
        <v>13</v>
      </c>
      <c r="J16" s="12" t="n">
        <f aca="false">((1-C$2)*C$3*EXP(-$E$2*(I16^$G$2)))+(C$2*C$3*EXP(-$E$3*I16))</f>
        <v>805.281268473277</v>
      </c>
    </row>
    <row r="17" customFormat="false" ht="15" hidden="false" customHeight="false" outlineLevel="0" collapsed="false">
      <c r="B17" s="16" t="n">
        <v>1890</v>
      </c>
      <c r="C17" s="17" t="n">
        <v>38.846848099475</v>
      </c>
      <c r="D17" s="16" t="n">
        <v>774.651974015043</v>
      </c>
      <c r="I17" s="6" t="n">
        <v>14</v>
      </c>
      <c r="J17" s="12" t="n">
        <f aca="false">((1-C$2)*C$3*EXP(-$E$2*(I17^$G$2)))+(C$2*C$3*EXP(-$E$3*I17))</f>
        <v>792.346443647511</v>
      </c>
    </row>
    <row r="18" customFormat="false" ht="15" hidden="false" customHeight="false" outlineLevel="0" collapsed="false">
      <c r="B18" s="15"/>
      <c r="C18" s="18"/>
      <c r="D18" s="15"/>
      <c r="I18" s="6" t="n">
        <v>15</v>
      </c>
      <c r="J18" s="12" t="n">
        <f aca="false">((1-C$2)*C$3*EXP(-$E$2*(I18^$G$2)))+(C$2*C$3*EXP(-$E$3*I18))</f>
        <v>784.922417148127</v>
      </c>
    </row>
    <row r="19" customFormat="false" ht="15" hidden="false" customHeight="false" outlineLevel="0" collapsed="false">
      <c r="B19" s="15"/>
      <c r="C19" s="18"/>
      <c r="D19" s="15"/>
      <c r="I19" s="6" t="n">
        <v>16</v>
      </c>
      <c r="J19" s="12" t="n">
        <f aca="false">((1-C$2)*C$3*EXP(-$E$2*(I19^$G$2)))+(C$2*C$3*EXP(-$E$3*I19))</f>
        <v>780.639379503429</v>
      </c>
    </row>
    <row r="20" customFormat="false" ht="15" hidden="false" customHeight="false" outlineLevel="0" collapsed="false">
      <c r="I20" s="6" t="n">
        <v>17</v>
      </c>
      <c r="J20" s="12" t="n">
        <f aca="false">((1-C$2)*C$3*EXP(-$E$2*(I20^$G$2)))+(C$2*C$3*EXP(-$E$3*I20))</f>
        <v>778.156690024816</v>
      </c>
    </row>
    <row r="21" customFormat="false" ht="15" hidden="false" customHeight="false" outlineLevel="0" collapsed="false">
      <c r="I21" s="6" t="n">
        <v>18</v>
      </c>
      <c r="J21" s="12" t="n">
        <f aca="false">((1-C$2)*C$3*EXP(-$E$2*(I21^$G$2)))+(C$2*C$3*EXP(-$E$3*I21))</f>
        <v>776.711250557734</v>
      </c>
    </row>
    <row r="22" customFormat="false" ht="15" hidden="false" customHeight="false" outlineLevel="0" collapsed="false">
      <c r="I22" s="6" t="n">
        <v>19</v>
      </c>
      <c r="J22" s="12" t="n">
        <f aca="false">((1-C$2)*C$3*EXP(-$E$2*(I22^$G$2)))+(C$2*C$3*EXP(-$E$3*I22))</f>
        <v>775.866258098118</v>
      </c>
    </row>
    <row r="23" customFormat="false" ht="15" hidden="false" customHeight="false" outlineLevel="0" collapsed="false">
      <c r="I23" s="6" t="n">
        <v>20</v>
      </c>
      <c r="J23" s="12" t="n">
        <f aca="false">((1-C$2)*C$3*EXP(-$E$2*(I23^$G$2)))+(C$2*C$3*EXP(-$E$3*I23))</f>
        <v>775.370390563589</v>
      </c>
    </row>
    <row r="24" customFormat="false" ht="15" hidden="false" customHeight="false" outlineLevel="0" collapsed="false">
      <c r="I24" s="6" t="n">
        <v>21</v>
      </c>
      <c r="J24" s="12" t="n">
        <f aca="false">((1-C$2)*C$3*EXP(-$E$2*(I24^$G$2)))+(C$2*C$3*EXP(-$E$3*I24))</f>
        <v>775.078354637453</v>
      </c>
    </row>
    <row r="25" customFormat="false" ht="15" hidden="false" customHeight="false" outlineLevel="0" collapsed="false">
      <c r="I25" s="6" t="n">
        <v>22</v>
      </c>
      <c r="J25" s="12" t="n">
        <f aca="false">((1-C$2)*C$3*EXP(-$E$2*(I25^$G$2)))+(C$2*C$3*EXP(-$E$3*I25))</f>
        <v>774.905781296564</v>
      </c>
    </row>
    <row r="26" customFormat="false" ht="15" hidden="false" customHeight="false" outlineLevel="0" collapsed="false">
      <c r="I26" s="6" t="n">
        <v>23</v>
      </c>
      <c r="J26" s="12" t="n">
        <f aca="false">((1-C$2)*C$3*EXP(-$E$2*(I26^$G$2)))+(C$2*C$3*EXP(-$E$3*I26))</f>
        <v>774.803476381755</v>
      </c>
    </row>
    <row r="27" customFormat="false" ht="15" hidden="false" customHeight="false" outlineLevel="0" collapsed="false">
      <c r="I27" s="6" t="n">
        <v>24</v>
      </c>
      <c r="J27" s="12" t="n">
        <f aca="false">((1-C$2)*C$3*EXP(-$E$2*(I27^$G$2)))+(C$2*C$3*EXP(-$E$3*I27))</f>
        <v>774.742644491641</v>
      </c>
    </row>
    <row r="28" customFormat="false" ht="15" hidden="false" customHeight="false" outlineLevel="0" collapsed="false">
      <c r="I28" s="6" t="n">
        <v>25</v>
      </c>
      <c r="J28" s="12" t="n">
        <f aca="false">((1-C$2)*C$3*EXP(-$E$2*(I28^$G$2)))+(C$2*C$3*EXP(-$E$3*I28))</f>
        <v>774.706369127718</v>
      </c>
    </row>
    <row r="29" customFormat="false" ht="15" hidden="false" customHeight="false" outlineLevel="0" collapsed="false">
      <c r="I29" s="6" t="n">
        <v>26</v>
      </c>
      <c r="J29" s="12" t="n">
        <f aca="false">((1-C$2)*C$3*EXP(-$E$2*(I29^$G$2)))+(C$2*C$3*EXP(-$E$3*I29))</f>
        <v>774.684678227331</v>
      </c>
    </row>
    <row r="30" customFormat="false" ht="15" hidden="false" customHeight="false" outlineLevel="0" collapsed="false">
      <c r="I30" s="6" t="n">
        <v>27</v>
      </c>
      <c r="J30" s="12" t="n">
        <f aca="false">((1-C$2)*C$3*EXP(-$E$2*(I30^$G$2)))+(C$2*C$3*EXP(-$E$3*I30))</f>
        <v>774.671674325939</v>
      </c>
    </row>
    <row r="31" customFormat="false" ht="15" hidden="false" customHeight="false" outlineLevel="0" collapsed="false">
      <c r="E31" s="19"/>
      <c r="F31" s="19"/>
      <c r="I31" s="6" t="n">
        <v>28</v>
      </c>
      <c r="J31" s="12" t="n">
        <f aca="false">((1-C$2)*C$3*EXP(-$E$2*(I31^$G$2)))+(C$2*C$3*EXP(-$E$3*I31))</f>
        <v>774.66385895465</v>
      </c>
    </row>
    <row r="32" customFormat="false" ht="15" hidden="false" customHeight="false" outlineLevel="0" collapsed="false">
      <c r="E32" s="19"/>
      <c r="F32" s="19"/>
      <c r="I32" s="6" t="n">
        <v>29</v>
      </c>
      <c r="J32" s="12" t="n">
        <f aca="false">((1-C$2)*C$3*EXP(-$E$2*(I32^$G$2)))+(C$2*C$3*EXP(-$E$3*I32))</f>
        <v>774.659150709459</v>
      </c>
    </row>
    <row r="33" customFormat="false" ht="15" hidden="false" customHeight="false" outlineLevel="0" collapsed="false">
      <c r="B33" s="19"/>
      <c r="C33" s="19"/>
      <c r="D33" s="19"/>
      <c r="E33" s="19"/>
      <c r="F33" s="19"/>
      <c r="I33" s="6" t="n">
        <v>30</v>
      </c>
      <c r="J33" s="12" t="n">
        <f aca="false">((1-C$2)*C$3*EXP(-$E$2*(I33^$G$2)))+(C$2*C$3*EXP(-$E$3*I33))</f>
        <v>774.656307824438</v>
      </c>
    </row>
    <row r="34" customFormat="false" ht="15" hidden="false" customHeight="false" outlineLevel="0" collapsed="false">
      <c r="B34" s="19"/>
      <c r="C34" s="19"/>
      <c r="D34" s="19"/>
      <c r="E34" s="19"/>
      <c r="F34" s="19"/>
      <c r="I34" s="6" t="n">
        <v>31</v>
      </c>
      <c r="J34" s="12" t="n">
        <f aca="false">((1-C$2)*C$3*EXP(-$E$2*(I34^$G$2)))+(C$2*C$3*EXP(-$E$3*I34))</f>
        <v>774.654587498425</v>
      </c>
    </row>
    <row r="35" customFormat="false" ht="15" hidden="false" customHeight="false" outlineLevel="0" collapsed="false">
      <c r="B35" s="19"/>
      <c r="C35" s="19"/>
      <c r="D35" s="19"/>
      <c r="E35" s="19"/>
      <c r="F35" s="19"/>
      <c r="I35" s="6" t="n">
        <v>32</v>
      </c>
      <c r="J35" s="12" t="n">
        <f aca="false">((1-C$2)*C$3*EXP(-$E$2*(I35^$G$2)))+(C$2*C$3*EXP(-$E$3*I35))</f>
        <v>774.653544276286</v>
      </c>
    </row>
    <row r="36" customFormat="false" ht="15" hidden="false" customHeight="false" outlineLevel="0" collapsed="false">
      <c r="B36" s="19"/>
      <c r="C36" s="19"/>
      <c r="D36" s="19"/>
      <c r="E36" s="19"/>
      <c r="F36" s="19"/>
      <c r="I36" s="6" t="n">
        <v>33</v>
      </c>
      <c r="J36" s="12" t="n">
        <f aca="false">((1-C$2)*C$3*EXP(-$E$2*(I36^$G$2)))+(C$2*C$3*EXP(-$E$3*I36))</f>
        <v>774.652910372531</v>
      </c>
    </row>
    <row r="37" customFormat="false" ht="15" hidden="false" customHeight="false" outlineLevel="0" collapsed="false">
      <c r="B37" s="19"/>
      <c r="C37" s="19"/>
      <c r="D37" s="19"/>
      <c r="E37" s="19"/>
      <c r="F37" s="19"/>
      <c r="I37" s="6" t="n">
        <v>34</v>
      </c>
      <c r="J37" s="12" t="n">
        <f aca="false">((1-C$2)*C$3*EXP(-$E$2*(I37^$G$2)))+(C$2*C$3*EXP(-$E$3*I37))</f>
        <v>774.65252443361</v>
      </c>
    </row>
    <row r="38" customFormat="false" ht="15" hidden="false" customHeight="false" outlineLevel="0" collapsed="false">
      <c r="B38" s="19"/>
      <c r="C38" s="19"/>
      <c r="D38" s="19"/>
      <c r="E38" s="19"/>
      <c r="F38" s="19"/>
      <c r="I38" s="6" t="n">
        <v>35</v>
      </c>
      <c r="J38" s="12" t="n">
        <f aca="false">((1-C$2)*C$3*EXP(-$E$2*(I38^$G$2)))+(C$2*C$3*EXP(-$E$3*I38))</f>
        <v>774.65228901929</v>
      </c>
    </row>
    <row r="39" customFormat="false" ht="15" hidden="false" customHeight="false" outlineLevel="0" collapsed="false">
      <c r="B39" s="19"/>
      <c r="C39" s="19"/>
      <c r="D39" s="19"/>
      <c r="E39" s="19"/>
      <c r="F39" s="19"/>
      <c r="I39" s="6" t="n">
        <v>36</v>
      </c>
      <c r="J39" s="12" t="n">
        <f aca="false">((1-C$2)*C$3*EXP(-$E$2*(I39^$G$2)))+(C$2*C$3*EXP(-$E$3*I39))</f>
        <v>774.652145159823</v>
      </c>
    </row>
    <row r="40" customFormat="false" ht="15" hidden="false" customHeight="false" outlineLevel="0" collapsed="false">
      <c r="B40" s="19"/>
      <c r="C40" s="19"/>
      <c r="D40" s="19"/>
      <c r="E40" s="19"/>
      <c r="F40" s="19"/>
      <c r="I40" s="6" t="n">
        <v>37</v>
      </c>
      <c r="J40" s="12" t="n">
        <f aca="false">((1-C$2)*C$3*EXP(-$E$2*(I40^$G$2)))+(C$2*C$3*EXP(-$E$3*I40))</f>
        <v>774.652057093628</v>
      </c>
    </row>
    <row r="41" customFormat="false" ht="15" hidden="false" customHeight="false" outlineLevel="0" collapsed="false">
      <c r="B41" s="19"/>
      <c r="C41" s="19"/>
      <c r="D41" s="19"/>
      <c r="E41" s="19"/>
      <c r="F41" s="19"/>
      <c r="I41" s="6" t="n">
        <v>38</v>
      </c>
      <c r="J41" s="12" t="n">
        <f aca="false">((1-C$2)*C$3*EXP(-$E$2*(I41^$G$2)))+(C$2*C$3*EXP(-$E$3*I41))</f>
        <v>774.652003090272</v>
      </c>
    </row>
    <row r="42" customFormat="false" ht="15" hidden="false" customHeight="false" outlineLevel="0" collapsed="false">
      <c r="B42" s="19"/>
      <c r="C42" s="19"/>
      <c r="D42" s="19"/>
      <c r="E42" s="19"/>
      <c r="F42" s="19"/>
      <c r="I42" s="6" t="n">
        <v>39</v>
      </c>
      <c r="J42" s="12" t="n">
        <f aca="false">((1-C$2)*C$3*EXP(-$E$2*(I42^$G$2)))+(C$2*C$3*EXP(-$E$3*I42))</f>
        <v>774.65196991993</v>
      </c>
    </row>
    <row r="43" customFormat="false" ht="15" hidden="false" customHeight="false" outlineLevel="0" collapsed="false">
      <c r="B43" s="19"/>
      <c r="C43" s="19"/>
      <c r="D43" s="19"/>
      <c r="E43" s="19"/>
      <c r="F43" s="19"/>
      <c r="I43" s="6" t="n">
        <v>40</v>
      </c>
      <c r="J43" s="12" t="n">
        <f aca="false">((1-C$2)*C$3*EXP(-$E$2*(I43^$G$2)))+(C$2*C$3*EXP(-$E$3*I43))</f>
        <v>774.651949513121</v>
      </c>
    </row>
    <row r="44" customFormat="false" ht="15" hidden="false" customHeight="false" outlineLevel="0" collapsed="false">
      <c r="B44" s="19"/>
      <c r="C44" s="19"/>
      <c r="D44" s="19"/>
      <c r="E44" s="19"/>
      <c r="F44" s="19"/>
      <c r="I44" s="6" t="n">
        <v>41</v>
      </c>
      <c r="J44" s="12" t="n">
        <f aca="false">((1-C$2)*C$3*EXP(-$E$2*(I44^$G$2)))+(C$2*C$3*EXP(-$E$3*I44))</f>
        <v>774.651936939056</v>
      </c>
    </row>
    <row r="45" customFormat="false" ht="15" hidden="false" customHeight="false" outlineLevel="0" collapsed="false">
      <c r="B45" s="19"/>
      <c r="C45" s="19"/>
      <c r="D45" s="19"/>
      <c r="E45" s="19"/>
      <c r="F45" s="19"/>
      <c r="I45" s="6" t="n">
        <v>42</v>
      </c>
      <c r="J45" s="12" t="n">
        <f aca="false">((1-C$2)*C$3*EXP(-$E$2*(I45^$G$2)))+(C$2*C$3*EXP(-$E$3*I45))</f>
        <v>774.651929179582</v>
      </c>
    </row>
    <row r="46" customFormat="false" ht="15" hidden="false" customHeight="false" outlineLevel="0" collapsed="false">
      <c r="B46" s="19"/>
      <c r="C46" s="19"/>
      <c r="D46" s="19"/>
      <c r="E46" s="19"/>
      <c r="F46" s="19"/>
      <c r="I46" s="6" t="n">
        <v>43</v>
      </c>
      <c r="J46" s="12" t="n">
        <f aca="false">((1-C$2)*C$3*EXP(-$E$2*(I46^$G$2)))+(C$2*C$3*EXP(-$E$3*I46))</f>
        <v>774.651924384163</v>
      </c>
    </row>
    <row r="47" customFormat="false" ht="15" hidden="false" customHeight="false" outlineLevel="0" collapsed="false">
      <c r="B47" s="19"/>
      <c r="C47" s="19"/>
      <c r="D47" s="19"/>
      <c r="E47" s="19"/>
      <c r="F47" s="19"/>
      <c r="I47" s="6" t="n">
        <v>44</v>
      </c>
      <c r="J47" s="12" t="n">
        <f aca="false">((1-C$2)*C$3*EXP(-$E$2*(I47^$G$2)))+(C$2*C$3*EXP(-$E$3*I47))</f>
        <v>774.65192141632</v>
      </c>
    </row>
    <row r="48" customFormat="false" ht="15" hidden="false" customHeight="false" outlineLevel="0" collapsed="false">
      <c r="B48" s="19"/>
      <c r="C48" s="19"/>
      <c r="D48" s="19"/>
      <c r="E48" s="19"/>
      <c r="F48" s="19"/>
      <c r="I48" s="6" t="n">
        <v>45</v>
      </c>
      <c r="J48" s="12" t="n">
        <f aca="false">((1-C$2)*C$3*EXP(-$E$2*(I48^$G$2)))+(C$2*C$3*EXP(-$E$3*I48))</f>
        <v>774.651919576992</v>
      </c>
    </row>
    <row r="49" customFormat="false" ht="15" hidden="false" customHeight="false" outlineLevel="0" collapsed="false">
      <c r="B49" s="19"/>
      <c r="C49" s="19"/>
      <c r="D49" s="19"/>
      <c r="E49" s="19"/>
      <c r="F49" s="19"/>
      <c r="G49" s="19"/>
      <c r="H49" s="19"/>
      <c r="I49" s="6" t="n">
        <v>46</v>
      </c>
      <c r="J49" s="12" t="n">
        <f aca="false">((1-C$2)*C$3*EXP(-$E$2*(I49^$G$2)))+(C$2*C$3*EXP(-$E$3*I49))</f>
        <v>774.651918435521</v>
      </c>
    </row>
    <row r="50" customFormat="false" ht="15" hidden="false" customHeight="false" outlineLevel="0" collapsed="false">
      <c r="B50" s="19"/>
      <c r="C50" s="19"/>
      <c r="D50" s="19"/>
      <c r="E50" s="19"/>
      <c r="F50" s="19"/>
      <c r="G50" s="19"/>
      <c r="H50" s="19"/>
      <c r="I50" s="6" t="n">
        <v>47</v>
      </c>
      <c r="J50" s="12" t="n">
        <f aca="false">((1-C$2)*C$3*EXP(-$E$2*(I50^$G$2)))+(C$2*C$3*EXP(-$E$3*I50))</f>
        <v>774.651917726198</v>
      </c>
    </row>
    <row r="51" customFormat="false" ht="15" hidden="false" customHeight="false" outlineLevel="0" collapsed="false">
      <c r="B51" s="19"/>
      <c r="C51" s="19"/>
      <c r="D51" s="19"/>
      <c r="E51" s="19"/>
      <c r="F51" s="19"/>
      <c r="G51" s="19"/>
      <c r="H51" s="19"/>
      <c r="I51" s="6" t="n">
        <v>48</v>
      </c>
      <c r="J51" s="12" t="n">
        <f aca="false">((1-C$2)*C$3*EXP(-$E$2*(I51^$G$2)))+(C$2*C$3*EXP(-$E$3*I51))</f>
        <v>774.651917284849</v>
      </c>
    </row>
    <row r="52" customFormat="false" ht="15" hidden="false" customHeight="false" outlineLevel="0" collapsed="false">
      <c r="B52" s="19"/>
      <c r="C52" s="19"/>
      <c r="D52" s="19"/>
      <c r="E52" s="19"/>
      <c r="F52" s="19"/>
      <c r="G52" s="19"/>
      <c r="H52" s="19"/>
      <c r="I52" s="6" t="n">
        <v>49</v>
      </c>
      <c r="J52" s="12" t="n">
        <f aca="false">((1-C$2)*C$3*EXP(-$E$2*(I52^$G$2)))+(C$2*C$3*EXP(-$E$3*I52))</f>
        <v>774.651917009893</v>
      </c>
    </row>
    <row r="53" customFormat="false" ht="15" hidden="false" customHeight="false" outlineLevel="0" collapsed="false">
      <c r="B53" s="19"/>
      <c r="C53" s="19"/>
      <c r="D53" s="19"/>
      <c r="E53" s="19"/>
      <c r="F53" s="19"/>
      <c r="G53" s="19"/>
      <c r="H53" s="19"/>
      <c r="I53" s="6" t="n">
        <v>50</v>
      </c>
      <c r="J53" s="12" t="n">
        <f aca="false">((1-C$2)*C$3*EXP(-$E$2*(I53^$G$2)))+(C$2*C$3*EXP(-$E$3*I53))</f>
        <v>774.651916838387</v>
      </c>
    </row>
    <row r="54" customFormat="false" ht="15" hidden="false" customHeight="false" outlineLevel="0" collapsed="false">
      <c r="B54" s="19"/>
      <c r="C54" s="19"/>
      <c r="D54" s="19"/>
      <c r="E54" s="19"/>
      <c r="F54" s="19"/>
      <c r="G54" s="19"/>
      <c r="H54" s="19"/>
      <c r="I54" s="6" t="n">
        <v>51</v>
      </c>
      <c r="J54" s="12" t="n">
        <f aca="false">((1-C$2)*C$3*EXP(-$E$2*(I54^$G$2)))+(C$2*C$3*EXP(-$E$3*I54))</f>
        <v>774.651916731281</v>
      </c>
    </row>
    <row r="55" customFormat="false" ht="15" hidden="false" customHeight="false" outlineLevel="0" collapsed="false">
      <c r="B55" s="19"/>
      <c r="C55" s="19"/>
      <c r="D55" s="19"/>
      <c r="E55" s="19"/>
      <c r="F55" s="19"/>
      <c r="G55" s="19"/>
      <c r="H55" s="19"/>
      <c r="I55" s="6" t="n">
        <v>52</v>
      </c>
      <c r="J55" s="12" t="n">
        <f aca="false">((1-C$2)*C$3*EXP(-$E$2*(I55^$G$2)))+(C$2*C$3*EXP(-$E$3*I55))</f>
        <v>774.651916664315</v>
      </c>
    </row>
    <row r="56" customFormat="false" ht="15" hidden="false" customHeight="false" outlineLevel="0" collapsed="false">
      <c r="B56" s="19"/>
      <c r="C56" s="19"/>
      <c r="D56" s="19"/>
      <c r="E56" s="19"/>
      <c r="F56" s="19"/>
      <c r="G56" s="19"/>
      <c r="H56" s="19"/>
      <c r="I56" s="6" t="n">
        <v>53</v>
      </c>
      <c r="J56" s="12" t="n">
        <f aca="false">((1-C$2)*C$3*EXP(-$E$2*(I56^$G$2)))+(C$2*C$3*EXP(-$E$3*I56))</f>
        <v>774.651916622398</v>
      </c>
    </row>
    <row r="57" customFormat="false" ht="15" hidden="false" customHeight="false" outlineLevel="0" collapsed="false">
      <c r="B57" s="19"/>
      <c r="C57" s="19"/>
      <c r="D57" s="19"/>
      <c r="E57" s="19"/>
      <c r="F57" s="19"/>
      <c r="G57" s="19"/>
      <c r="H57" s="19"/>
      <c r="I57" s="6" t="n">
        <v>54</v>
      </c>
      <c r="J57" s="12" t="n">
        <f aca="false">((1-C$2)*C$3*EXP(-$E$2*(I57^$G$2)))+(C$2*C$3*EXP(-$E$3*I57))</f>
        <v>774.651916596131</v>
      </c>
    </row>
    <row r="58" customFormat="false" ht="15" hidden="false" customHeight="false" outlineLevel="0" collapsed="false">
      <c r="B58" s="19"/>
      <c r="C58" s="19"/>
      <c r="D58" s="19"/>
      <c r="G58" s="19"/>
      <c r="H58" s="19"/>
      <c r="I58" s="6" t="n">
        <v>55</v>
      </c>
      <c r="J58" s="12" t="n">
        <f aca="false">((1-C$2)*C$3*EXP(-$E$2*(I58^$G$2)))+(C$2*C$3*EXP(-$E$3*I58))</f>
        <v>774.651916579652</v>
      </c>
    </row>
    <row r="59" customFormat="false" ht="15" hidden="false" customHeight="false" outlineLevel="0" collapsed="false">
      <c r="B59" s="19"/>
      <c r="C59" s="19"/>
      <c r="D59" s="19"/>
      <c r="G59" s="19"/>
      <c r="H59" s="19"/>
      <c r="I59" s="6" t="n">
        <v>56</v>
      </c>
      <c r="J59" s="12" t="n">
        <f aca="false">((1-C$2)*C$3*EXP(-$E$2*(I59^$G$2)))+(C$2*C$3*EXP(-$E$3*I59))</f>
        <v>774.651916569304</v>
      </c>
    </row>
    <row r="60" customFormat="false" ht="15" hidden="false" customHeight="false" outlineLevel="0" collapsed="false">
      <c r="G60" s="19"/>
      <c r="H60" s="19"/>
      <c r="I60" s="6" t="n">
        <v>57</v>
      </c>
      <c r="J60" s="12" t="n">
        <f aca="false">((1-C$2)*C$3*EXP(-$E$2*(I60^$G$2)))+(C$2*C$3*EXP(-$E$3*I60))</f>
        <v>774.651916562798</v>
      </c>
    </row>
    <row r="61" customFormat="false" ht="15" hidden="false" customHeight="false" outlineLevel="0" collapsed="false">
      <c r="G61" s="19"/>
      <c r="H61" s="19"/>
      <c r="I61" s="6" t="n">
        <v>58</v>
      </c>
      <c r="J61" s="12" t="n">
        <f aca="false">((1-C$2)*C$3*EXP(-$E$2*(I61^$G$2)))+(C$2*C$3*EXP(-$E$3*I61))</f>
        <v>774.651916558704</v>
      </c>
    </row>
    <row r="62" customFormat="false" ht="15" hidden="false" customHeight="false" outlineLevel="0" collapsed="false">
      <c r="G62" s="19"/>
      <c r="H62" s="19"/>
      <c r="I62" s="6" t="n">
        <v>59</v>
      </c>
      <c r="J62" s="12" t="n">
        <f aca="false">((1-C$2)*C$3*EXP(-$E$2*(I62^$G$2)))+(C$2*C$3*EXP(-$E$3*I62))</f>
        <v>774.651916556125</v>
      </c>
    </row>
    <row r="63" customFormat="false" ht="15" hidden="false" customHeight="false" outlineLevel="0" collapsed="false">
      <c r="G63" s="19"/>
      <c r="H63" s="19"/>
      <c r="I63" s="6" t="n">
        <v>60</v>
      </c>
      <c r="J63" s="12" t="n">
        <f aca="false">((1-C$2)*C$3*EXP(-$E$2*(I63^$G$2)))+(C$2*C$3*EXP(-$E$3*I63))</f>
        <v>774.651916554499</v>
      </c>
    </row>
    <row r="64" customFormat="false" ht="15" hidden="false" customHeight="false" outlineLevel="0" collapsed="false">
      <c r="G64" s="19"/>
      <c r="H64" s="19"/>
      <c r="I64" s="6" t="n">
        <v>61</v>
      </c>
      <c r="J64" s="12" t="n">
        <f aca="false">((1-C$2)*C$3*EXP(-$E$2*(I64^$G$2)))+(C$2*C$3*EXP(-$E$3*I64))</f>
        <v>774.651916553472</v>
      </c>
    </row>
    <row r="65" customFormat="false" ht="15" hidden="false" customHeight="false" outlineLevel="0" collapsed="false">
      <c r="G65" s="19"/>
      <c r="H65" s="19"/>
      <c r="I65" s="6" t="n">
        <v>62</v>
      </c>
      <c r="J65" s="12" t="n">
        <f aca="false">((1-C$2)*C$3*EXP(-$E$2*(I65^$G$2)))+(C$2*C$3*EXP(-$E$3*I65))</f>
        <v>774.651916552824</v>
      </c>
    </row>
    <row r="66" customFormat="false" ht="15" hidden="false" customHeight="false" outlineLevel="0" collapsed="false">
      <c r="G66" s="19"/>
      <c r="H66" s="19"/>
      <c r="I66" s="6" t="n">
        <v>63</v>
      </c>
      <c r="J66" s="12" t="n">
        <f aca="false">((1-C$2)*C$3*EXP(-$E$2*(I66^$G$2)))+(C$2*C$3*EXP(-$E$3*I66))</f>
        <v>774.651916552414</v>
      </c>
    </row>
    <row r="67" customFormat="false" ht="15" hidden="false" customHeight="false" outlineLevel="0" collapsed="false">
      <c r="G67" s="19"/>
      <c r="H67" s="19"/>
      <c r="I67" s="6" t="n">
        <v>64</v>
      </c>
      <c r="J67" s="12" t="n">
        <f aca="false">((1-C$2)*C$3*EXP(-$E$2*(I67^$G$2)))+(C$2*C$3*EXP(-$E$3*I67))</f>
        <v>774.651916552154</v>
      </c>
    </row>
    <row r="68" customFormat="false" ht="15" hidden="false" customHeight="false" outlineLevel="0" collapsed="false">
      <c r="G68" s="19"/>
      <c r="H68" s="19"/>
      <c r="I68" s="6" t="n">
        <v>65</v>
      </c>
      <c r="J68" s="12" t="n">
        <f aca="false">((1-C$2)*C$3*EXP(-$E$2*(I68^$G$2)))+(C$2*C$3*EXP(-$E$3*I68))</f>
        <v>774.65191655199</v>
      </c>
    </row>
    <row r="69" customFormat="false" ht="15" hidden="false" customHeight="false" outlineLevel="0" collapsed="false">
      <c r="G69" s="19"/>
      <c r="H69" s="19"/>
      <c r="I69" s="6" t="n">
        <v>66</v>
      </c>
      <c r="J69" s="12" t="n">
        <f aca="false">((1-C$2)*C$3*EXP(-$E$2*(I69^$G$2)))+(C$2*C$3*EXP(-$E$3*I69))</f>
        <v>774.651916551885</v>
      </c>
    </row>
    <row r="70" customFormat="false" ht="15" hidden="false" customHeight="false" outlineLevel="0" collapsed="false">
      <c r="G70" s="19"/>
      <c r="H70" s="19"/>
      <c r="I70" s="6" t="n">
        <v>67</v>
      </c>
      <c r="J70" s="12" t="n">
        <f aca="false">((1-C$2)*C$3*EXP(-$E$2*(I70^$G$2)))+(C$2*C$3*EXP(-$E$3*I70))</f>
        <v>774.651916551819</v>
      </c>
    </row>
    <row r="71" customFormat="false" ht="15" hidden="false" customHeight="false" outlineLevel="0" collapsed="false">
      <c r="G71" s="19"/>
      <c r="H71" s="19"/>
      <c r="I71" s="6" t="n">
        <v>68</v>
      </c>
      <c r="J71" s="12" t="n">
        <f aca="false">((1-C$2)*C$3*EXP(-$E$2*(I71^$G$2)))+(C$2*C$3*EXP(-$E$3*I71))</f>
        <v>774.651916551777</v>
      </c>
    </row>
    <row r="72" customFormat="false" ht="15" hidden="false" customHeight="false" outlineLevel="0" collapsed="false">
      <c r="G72" s="19"/>
      <c r="H72" s="19"/>
      <c r="I72" s="6" t="n">
        <v>69</v>
      </c>
      <c r="J72" s="12" t="n">
        <f aca="false">((1-C$2)*C$3*EXP(-$E$2*(I72^$G$2)))+(C$2*C$3*EXP(-$E$3*I72))</f>
        <v>774.65191655175</v>
      </c>
    </row>
    <row r="73" customFormat="false" ht="15" hidden="false" customHeight="false" outlineLevel="0" collapsed="false">
      <c r="G73" s="19"/>
      <c r="H73" s="19"/>
      <c r="I73" s="6" t="n">
        <v>70</v>
      </c>
      <c r="J73" s="12" t="n">
        <f aca="false">((1-C$2)*C$3*EXP(-$E$2*(I73^$G$2)))+(C$2*C$3*EXP(-$E$3*I73))</f>
        <v>774.651916551733</v>
      </c>
    </row>
    <row r="74" customFormat="false" ht="15" hidden="false" customHeight="false" outlineLevel="0" collapsed="false">
      <c r="G74" s="19"/>
      <c r="H74" s="19"/>
      <c r="I74" s="6" t="n">
        <v>71</v>
      </c>
      <c r="J74" s="12" t="n">
        <f aca="false">((1-C$2)*C$3*EXP(-$E$2*(I74^$G$2)))+(C$2*C$3*EXP(-$E$3*I74))</f>
        <v>774.651916551723</v>
      </c>
    </row>
    <row r="75" customFormat="false" ht="15" hidden="false" customHeight="false" outlineLevel="0" collapsed="false">
      <c r="G75" s="19"/>
      <c r="H75" s="19"/>
      <c r="I75" s="19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&amp;C_x005F_x000D_&amp;1#&amp;"Default,Regular"&amp;10&amp;Kd89b2b Confidential - Company Proprietary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23.57"/>
    <col collapsed="false" customWidth="true" hidden="false" outlineLevel="0" max="4" min="4" style="0" width="24.42"/>
  </cols>
  <sheetData>
    <row r="2" customFormat="false" ht="15" hidden="false" customHeight="false" outlineLevel="0" collapsed="false">
      <c r="B2" s="1" t="s">
        <v>0</v>
      </c>
      <c r="C2" s="2" t="n">
        <v>0.00524229529189598</v>
      </c>
      <c r="D2" s="3" t="s">
        <v>1</v>
      </c>
      <c r="E2" s="4" t="n">
        <v>1.08764347398621</v>
      </c>
      <c r="F2" s="3" t="s">
        <v>2</v>
      </c>
      <c r="G2" s="5" t="n">
        <v>0.498926699899932</v>
      </c>
      <c r="I2" s="6" t="s">
        <v>3</v>
      </c>
      <c r="J2" s="6" t="s">
        <v>4</v>
      </c>
    </row>
    <row r="3" customFormat="false" ht="15" hidden="false" customHeight="false" outlineLevel="0" collapsed="false">
      <c r="B3" s="7" t="s">
        <v>5</v>
      </c>
      <c r="C3" s="8" t="n">
        <f aca="false">(B6+B12)/2</f>
        <v>760</v>
      </c>
      <c r="D3" s="9" t="s">
        <v>6</v>
      </c>
      <c r="E3" s="10" t="n">
        <v>0</v>
      </c>
      <c r="F3" s="9"/>
      <c r="G3" s="11"/>
      <c r="I3" s="6" t="n">
        <v>0</v>
      </c>
      <c r="J3" s="12" t="n">
        <f aca="false">((1-C$2)*C$3*EXP(-$E$2*(I3^$G$2)))+(C$2*C$3*EXP(-$E$3*I3))</f>
        <v>760</v>
      </c>
    </row>
    <row r="4" customFormat="false" ht="15" hidden="false" customHeight="false" outlineLevel="0" collapsed="false">
      <c r="I4" s="6" t="n">
        <v>1</v>
      </c>
      <c r="J4" s="12" t="n">
        <f aca="false">((1-C$2)*C$3*EXP(-$E$2*(I4^$G$2)))+(C$2*C$3*EXP(-$E$3*I4))</f>
        <v>258.768844462868</v>
      </c>
    </row>
    <row r="5" customFormat="false" ht="15" hidden="false" customHeight="false" outlineLevel="0" collapsed="false">
      <c r="B5" s="13" t="s">
        <v>7</v>
      </c>
      <c r="C5" s="14" t="s">
        <v>8</v>
      </c>
      <c r="D5" s="14" t="s">
        <v>9</v>
      </c>
      <c r="E5" s="15"/>
      <c r="I5" s="6" t="n">
        <v>2</v>
      </c>
      <c r="J5" s="12" t="n">
        <f aca="false">((1-C$2)*C$3*EXP(-$E$2*(I5^$G$2)))+(C$2*C$3*EXP(-$E$3*I5))</f>
        <v>166.543970304412</v>
      </c>
    </row>
    <row r="6" customFormat="false" ht="15" hidden="false" customHeight="false" outlineLevel="0" collapsed="false">
      <c r="B6" s="16" t="n">
        <v>860</v>
      </c>
      <c r="C6" s="17" t="n">
        <v>0</v>
      </c>
      <c r="D6" s="16" t="n">
        <v>760</v>
      </c>
      <c r="E6" s="15"/>
      <c r="I6" s="6" t="n">
        <v>3</v>
      </c>
      <c r="J6" s="12" t="n">
        <f aca="false">((1-C$2)*C$3*EXP(-$E$2*(I6^$G$2)))+(C$2*C$3*EXP(-$E$3*I6))</f>
        <v>119.156368754408</v>
      </c>
    </row>
    <row r="7" customFormat="false" ht="15" hidden="false" customHeight="false" outlineLevel="0" collapsed="false">
      <c r="B7" s="16" t="n">
        <v>240</v>
      </c>
      <c r="C7" s="17" t="n">
        <v>0.684776206089502</v>
      </c>
      <c r="D7" s="16" t="n">
        <v>311.23311324743</v>
      </c>
      <c r="E7" s="15"/>
      <c r="I7" s="6" t="n">
        <v>4</v>
      </c>
      <c r="J7" s="12" t="n">
        <f aca="false">((1-C$2)*C$3*EXP(-$E$2*(I7^$G$2)))+(C$2*C$3*EXP(-$E$3*I7))</f>
        <v>90.1272236001511</v>
      </c>
    </row>
    <row r="8" customFormat="false" ht="15" hidden="false" customHeight="false" outlineLevel="0" collapsed="false">
      <c r="B8" s="16" t="n">
        <v>164</v>
      </c>
      <c r="C8" s="17" t="n">
        <v>2.02778230502292</v>
      </c>
      <c r="D8" s="16" t="n">
        <v>164.827406546624</v>
      </c>
      <c r="E8" s="15"/>
      <c r="I8" s="6" t="n">
        <v>5</v>
      </c>
      <c r="J8" s="12" t="n">
        <f aca="false">((1-C$2)*C$3*EXP(-$E$2*(I8^$G$2)))+(C$2*C$3*EXP(-$E$3*I8))</f>
        <v>70.6848224009096</v>
      </c>
    </row>
    <row r="9" customFormat="false" ht="15" hidden="false" customHeight="false" outlineLevel="0" collapsed="false">
      <c r="B9" s="16" t="n">
        <v>164</v>
      </c>
      <c r="C9" s="17" t="n">
        <v>3.33615479318031</v>
      </c>
      <c r="D9" s="16" t="n">
        <v>107.946947369835</v>
      </c>
      <c r="E9" s="15"/>
      <c r="I9" s="6" t="n">
        <v>6</v>
      </c>
      <c r="J9" s="12" t="n">
        <f aca="false">((1-C$2)*C$3*EXP(-$E$2*(I9^$G$2)))+(C$2*C$3*EXP(-$E$3*I9))</f>
        <v>56.9162120695021</v>
      </c>
    </row>
    <row r="10" customFormat="false" ht="15" hidden="false" customHeight="false" outlineLevel="0" collapsed="false">
      <c r="B10" s="16" t="n">
        <v>75</v>
      </c>
      <c r="C10" s="17" t="n">
        <v>6.46136863637114</v>
      </c>
      <c r="D10" s="16" t="n">
        <v>51.8732625864419</v>
      </c>
      <c r="E10" s="15"/>
      <c r="I10" s="6" t="n">
        <v>7</v>
      </c>
      <c r="J10" s="12" t="n">
        <f aca="false">((1-C$2)*C$3*EXP(-$E$2*(I10^$G$2)))+(C$2*C$3*EXP(-$E$3*I10))</f>
        <v>46.7796034679804</v>
      </c>
    </row>
    <row r="11" customFormat="false" ht="15" hidden="false" customHeight="false" outlineLevel="0" collapsed="false">
      <c r="B11" s="16" t="n">
        <v>16</v>
      </c>
      <c r="C11" s="17" t="n">
        <v>17.1072320480654</v>
      </c>
      <c r="D11" s="16" t="n">
        <v>12.5104943666138</v>
      </c>
      <c r="E11" s="15"/>
      <c r="I11" s="6" t="n">
        <v>8</v>
      </c>
      <c r="J11" s="12" t="n">
        <f aca="false">((1-C$2)*C$3*EXP(-$E$2*(I11^$G$2)))+(C$2*C$3*EXP(-$E$3*I11))</f>
        <v>39.098158767702</v>
      </c>
    </row>
    <row r="12" customFormat="false" ht="15" hidden="false" customHeight="false" outlineLevel="0" collapsed="false">
      <c r="B12" s="16" t="n">
        <v>660</v>
      </c>
      <c r="C12" s="17" t="n">
        <v>0</v>
      </c>
      <c r="D12" s="16" t="n">
        <v>760</v>
      </c>
      <c r="E12" s="15"/>
      <c r="I12" s="6" t="n">
        <v>9</v>
      </c>
      <c r="J12" s="12" t="n">
        <f aca="false">((1-C$2)*C$3*EXP(-$E$2*(I12^$G$2)))+(C$2*C$3*EXP(-$E$3*I12))</f>
        <v>33.1447235914318</v>
      </c>
    </row>
    <row r="13" customFormat="false" ht="15" hidden="false" customHeight="false" outlineLevel="0" collapsed="false">
      <c r="B13" s="16" t="n">
        <v>140</v>
      </c>
      <c r="C13" s="17" t="n">
        <v>2.08266397961124</v>
      </c>
      <c r="D13" s="16" t="n">
        <v>161.522964720968</v>
      </c>
      <c r="E13" s="15"/>
      <c r="I13" s="6" t="n">
        <v>10</v>
      </c>
      <c r="J13" s="12" t="n">
        <f aca="false">((1-C$2)*C$3*EXP(-$E$2*(I13^$G$2)))+(C$2*C$3*EXP(-$E$3*I13))</f>
        <v>28.4461539377358</v>
      </c>
    </row>
    <row r="14" customFormat="false" ht="15" hidden="false" customHeight="false" outlineLevel="0" collapsed="false">
      <c r="B14" s="16" t="n">
        <v>44</v>
      </c>
      <c r="C14" s="17" t="n">
        <v>6.02902299114646</v>
      </c>
      <c r="D14" s="16" t="n">
        <v>56.5780249400598</v>
      </c>
      <c r="I14" s="6" t="n">
        <v>11</v>
      </c>
      <c r="J14" s="12" t="n">
        <f aca="false">((1-C$2)*C$3*EXP(-$E$2*(I14^$G$2)))+(C$2*C$3*EXP(-$E$3*I14))</f>
        <v>24.6819790036903</v>
      </c>
    </row>
    <row r="15" customFormat="false" ht="15" hidden="false" customHeight="false" outlineLevel="0" collapsed="false">
      <c r="B15" s="16" t="n">
        <v>24</v>
      </c>
      <c r="C15" s="17" t="n">
        <v>9.70042608960744</v>
      </c>
      <c r="D15" s="16" t="n">
        <v>29.7433677557775</v>
      </c>
      <c r="I15" s="6" t="n">
        <v>12</v>
      </c>
      <c r="J15" s="12" t="n">
        <f aca="false">((1-C$2)*C$3*EXP(-$E$2*(I15^$G$2)))+(C$2*C$3*EXP(-$E$3*I15))</f>
        <v>21.6280443797734</v>
      </c>
    </row>
    <row r="16" customFormat="false" ht="15" hidden="false" customHeight="false" outlineLevel="0" collapsed="false">
      <c r="B16" s="16" t="n">
        <v>9</v>
      </c>
      <c r="C16" s="17" t="n">
        <v>17.7984584320269</v>
      </c>
      <c r="D16" s="16" t="n">
        <v>11.7804167757014</v>
      </c>
      <c r="I16" s="6" t="n">
        <v>13</v>
      </c>
      <c r="J16" s="12" t="n">
        <f aca="false">((1-C$2)*C$3*EXP(-$E$2*(I16^$G$2)))+(C$2*C$3*EXP(-$E$3*I16))</f>
        <v>19.1233696234997</v>
      </c>
    </row>
    <row r="17" customFormat="false" ht="15" hidden="false" customHeight="false" outlineLevel="0" collapsed="false">
      <c r="B17" s="16" t="n">
        <v>5</v>
      </c>
      <c r="C17" s="17" t="n">
        <v>38.846848099475</v>
      </c>
      <c r="D17" s="16" t="n">
        <v>4.86722006451664</v>
      </c>
      <c r="I17" s="6" t="n">
        <v>14</v>
      </c>
      <c r="J17" s="12" t="n">
        <f aca="false">((1-C$2)*C$3*EXP(-$E$2*(I17^$G$2)))+(C$2*C$3*EXP(-$E$3*I17))</f>
        <v>17.049758687507</v>
      </c>
    </row>
    <row r="18" customFormat="false" ht="15" hidden="false" customHeight="false" outlineLevel="0" collapsed="false">
      <c r="B18" s="15"/>
      <c r="C18" s="18"/>
      <c r="D18" s="15"/>
      <c r="I18" s="6" t="n">
        <v>15</v>
      </c>
      <c r="J18" s="12" t="n">
        <f aca="false">((1-C$2)*C$3*EXP(-$E$2*(I18^$G$2)))+(C$2*C$3*EXP(-$E$3*I18))</f>
        <v>15.3187800514389</v>
      </c>
    </row>
    <row r="19" customFormat="false" ht="15" hidden="false" customHeight="false" outlineLevel="0" collapsed="false">
      <c r="B19" s="15"/>
      <c r="C19" s="18"/>
      <c r="D19" s="15"/>
      <c r="I19" s="6" t="n">
        <v>16</v>
      </c>
      <c r="J19" s="12" t="n">
        <f aca="false">((1-C$2)*C$3*EXP(-$E$2*(I19^$G$2)))+(C$2*C$3*EXP(-$E$3*I19))</f>
        <v>13.8631882897288</v>
      </c>
    </row>
    <row r="20" customFormat="false" ht="15" hidden="false" customHeight="false" outlineLevel="0" collapsed="false">
      <c r="B20" s="15"/>
      <c r="I20" s="6" t="n">
        <v>17</v>
      </c>
      <c r="J20" s="12" t="n">
        <f aca="false">((1-C$2)*C$3*EXP(-$E$2*(I20^$G$2)))+(C$2*C$3*EXP(-$E$3*I20))</f>
        <v>12.631118811655</v>
      </c>
    </row>
    <row r="21" customFormat="false" ht="15" hidden="false" customHeight="false" outlineLevel="0" collapsed="false">
      <c r="I21" s="6" t="n">
        <v>18</v>
      </c>
      <c r="J21" s="12" t="n">
        <f aca="false">((1-C$2)*C$3*EXP(-$E$2*(I21^$G$2)))+(C$2*C$3*EXP(-$E$3*I21))</f>
        <v>11.5820674202439</v>
      </c>
    </row>
    <row r="22" customFormat="false" ht="15" hidden="false" customHeight="false" outlineLevel="0" collapsed="false">
      <c r="I22" s="6" t="n">
        <v>19</v>
      </c>
      <c r="J22" s="12" t="n">
        <f aca="false">((1-C$2)*C$3*EXP(-$E$2*(I22^$G$2)))+(C$2*C$3*EXP(-$E$3*I22))</f>
        <v>10.6840491477289</v>
      </c>
    </row>
    <row r="23" customFormat="false" ht="15" hidden="false" customHeight="false" outlineLevel="0" collapsed="false">
      <c r="I23" s="6" t="n">
        <v>20</v>
      </c>
      <c r="J23" s="12" t="n">
        <f aca="false">((1-C$2)*C$3*EXP(-$E$2*(I23^$G$2)))+(C$2*C$3*EXP(-$E$3*I23))</f>
        <v>9.9115543867909</v>
      </c>
    </row>
    <row r="24" customFormat="false" ht="15" hidden="false" customHeight="false" outlineLevel="0" collapsed="false">
      <c r="I24" s="6" t="n">
        <v>21</v>
      </c>
      <c r="J24" s="12" t="n">
        <f aca="false">((1-C$2)*C$3*EXP(-$E$2*(I24^$G$2)))+(C$2*C$3*EXP(-$E$3*I24))</f>
        <v>9.24405511854956</v>
      </c>
    </row>
    <row r="25" customFormat="false" ht="15" hidden="false" customHeight="false" outlineLevel="0" collapsed="false">
      <c r="I25" s="6" t="n">
        <v>22</v>
      </c>
      <c r="J25" s="12" t="n">
        <f aca="false">((1-C$2)*C$3*EXP(-$E$2*(I25^$G$2)))+(C$2*C$3*EXP(-$E$3*I25))</f>
        <v>8.66489760102954</v>
      </c>
    </row>
    <row r="26" customFormat="false" ht="15" hidden="false" customHeight="false" outlineLevel="0" collapsed="false">
      <c r="I26" s="6" t="n">
        <v>23</v>
      </c>
      <c r="J26" s="12" t="n">
        <f aca="false">((1-C$2)*C$3*EXP(-$E$2*(I26^$G$2)))+(C$2*C$3*EXP(-$E$3*I26))</f>
        <v>8.16047098999961</v>
      </c>
    </row>
    <row r="27" customFormat="false" ht="15" hidden="false" customHeight="false" outlineLevel="0" collapsed="false">
      <c r="I27" s="6" t="n">
        <v>24</v>
      </c>
      <c r="J27" s="12" t="n">
        <f aca="false">((1-C$2)*C$3*EXP(-$E$2*(I27^$G$2)))+(C$2*C$3*EXP(-$E$3*I27))</f>
        <v>7.71957587234062</v>
      </c>
    </row>
    <row r="28" customFormat="false" ht="15" hidden="false" customHeight="false" outlineLevel="0" collapsed="false">
      <c r="I28" s="6" t="n">
        <v>25</v>
      </c>
      <c r="J28" s="12" t="n">
        <f aca="false">((1-C$2)*C$3*EXP(-$E$2*(I28^$G$2)))+(C$2*C$3*EXP(-$E$3*I28))</f>
        <v>7.33293956512661</v>
      </c>
    </row>
    <row r="29" customFormat="false" ht="15" hidden="false" customHeight="false" outlineLevel="0" collapsed="false">
      <c r="I29" s="6" t="n">
        <v>26</v>
      </c>
      <c r="J29" s="12" t="n">
        <f aca="false">((1-C$2)*C$3*EXP(-$E$2*(I29^$G$2)))+(C$2*C$3*EXP(-$E$3*I29))</f>
        <v>6.99284046951934</v>
      </c>
    </row>
    <row r="30" customFormat="false" ht="15" hidden="false" customHeight="false" outlineLevel="0" collapsed="false">
      <c r="I30" s="6" t="n">
        <v>27</v>
      </c>
      <c r="J30" s="12" t="n">
        <f aca="false">((1-C$2)*C$3*EXP(-$E$2*(I30^$G$2)))+(C$2*C$3*EXP(-$E$3*I30))</f>
        <v>6.69281435708868</v>
      </c>
    </row>
    <row r="31" customFormat="false" ht="15" hidden="false" customHeight="false" outlineLevel="0" collapsed="false">
      <c r="I31" s="6" t="n">
        <v>28</v>
      </c>
      <c r="J31" s="12" t="n">
        <f aca="false">((1-C$2)*C$3*EXP(-$E$2*(I31^$G$2)))+(C$2*C$3*EXP(-$E$3*I31))</f>
        <v>6.42742283862637</v>
      </c>
    </row>
    <row r="32" customFormat="false" ht="15" hidden="false" customHeight="false" outlineLevel="0" collapsed="false">
      <c r="E32" s="19"/>
      <c r="F32" s="19"/>
      <c r="I32" s="6" t="n">
        <v>29</v>
      </c>
      <c r="J32" s="12" t="n">
        <f aca="false">((1-C$2)*C$3*EXP(-$E$2*(I32^$G$2)))+(C$2*C$3*EXP(-$E$3*I32))</f>
        <v>6.19206946936333</v>
      </c>
    </row>
    <row r="33" customFormat="false" ht="15" hidden="false" customHeight="false" outlineLevel="0" collapsed="false">
      <c r="E33" s="19"/>
      <c r="F33" s="19"/>
      <c r="I33" s="6" t="n">
        <v>30</v>
      </c>
      <c r="J33" s="12" t="n">
        <f aca="false">((1-C$2)*C$3*EXP(-$E$2*(I33^$G$2)))+(C$2*C$3*EXP(-$E$3*I33))</f>
        <v>5.98285266410251</v>
      </c>
    </row>
    <row r="34" customFormat="false" ht="15" hidden="false" customHeight="false" outlineLevel="0" collapsed="false">
      <c r="E34" s="19"/>
      <c r="F34" s="19"/>
      <c r="I34" s="6" t="n">
        <v>31</v>
      </c>
      <c r="J34" s="12" t="n">
        <f aca="false">((1-C$2)*C$3*EXP(-$E$2*(I34^$G$2)))+(C$2*C$3*EXP(-$E$3*I34))</f>
        <v>5.79644728552335</v>
      </c>
    </row>
    <row r="35" customFormat="false" ht="15" hidden="false" customHeight="false" outlineLevel="0" collapsed="false">
      <c r="E35" s="19"/>
      <c r="F35" s="19"/>
      <c r="I35" s="6" t="n">
        <v>32</v>
      </c>
      <c r="J35" s="12" t="n">
        <f aca="false">((1-C$2)*C$3*EXP(-$E$2*(I35^$G$2)))+(C$2*C$3*EXP(-$E$3*I35))</f>
        <v>5.63000873496822</v>
      </c>
    </row>
    <row r="36" customFormat="false" ht="15" hidden="false" customHeight="false" outlineLevel="0" collapsed="false">
      <c r="B36" s="19"/>
      <c r="C36" s="19"/>
      <c r="D36" s="19"/>
      <c r="E36" s="19"/>
      <c r="F36" s="19"/>
      <c r="I36" s="6" t="n">
        <v>33</v>
      </c>
      <c r="J36" s="12" t="n">
        <f aca="false">((1-C$2)*C$3*EXP(-$E$2*(I36^$G$2)))+(C$2*C$3*EXP(-$E$3*I36))</f>
        <v>5.48109482652957</v>
      </c>
    </row>
    <row r="37" customFormat="false" ht="15" hidden="false" customHeight="false" outlineLevel="0" collapsed="false">
      <c r="B37" s="19"/>
      <c r="C37" s="19"/>
      <c r="D37" s="19"/>
      <c r="E37" s="19"/>
      <c r="F37" s="19"/>
      <c r="I37" s="6" t="n">
        <v>34</v>
      </c>
      <c r="J37" s="12" t="n">
        <f aca="false">((1-C$2)*C$3*EXP(-$E$2*(I37^$G$2)))+(C$2*C$3*EXP(-$E$3*I37))</f>
        <v>5.34760180690376</v>
      </c>
    </row>
    <row r="38" customFormat="false" ht="15" hidden="false" customHeight="false" outlineLevel="0" collapsed="false">
      <c r="B38" s="19"/>
      <c r="C38" s="19"/>
      <c r="D38" s="19"/>
      <c r="E38" s="19"/>
      <c r="F38" s="19"/>
      <c r="I38" s="6" t="n">
        <v>35</v>
      </c>
      <c r="J38" s="12" t="n">
        <f aca="false">((1-C$2)*C$3*EXP(-$E$2*(I38^$G$2)))+(C$2*C$3*EXP(-$E$3*I38))</f>
        <v>5.22771169654712</v>
      </c>
    </row>
    <row r="39" customFormat="false" ht="15" hidden="false" customHeight="false" outlineLevel="0" collapsed="false">
      <c r="B39" s="19"/>
      <c r="C39" s="19"/>
      <c r="D39" s="19"/>
      <c r="E39" s="19"/>
      <c r="F39" s="19"/>
      <c r="I39" s="6" t="n">
        <v>36</v>
      </c>
      <c r="J39" s="12" t="n">
        <f aca="false">((1-C$2)*C$3*EXP(-$E$2*(I39^$G$2)))+(C$2*C$3*EXP(-$E$3*I39))</f>
        <v>5.11984874384503</v>
      </c>
    </row>
    <row r="40" customFormat="false" ht="15" hidden="false" customHeight="false" outlineLevel="0" collapsed="false">
      <c r="B40" s="19"/>
      <c r="C40" s="19"/>
      <c r="D40" s="19"/>
      <c r="E40" s="19"/>
      <c r="F40" s="19"/>
      <c r="I40" s="6" t="n">
        <v>37</v>
      </c>
      <c r="J40" s="12" t="n">
        <f aca="false">((1-C$2)*C$3*EXP(-$E$2*(I40^$G$2)))+(C$2*C$3*EXP(-$E$3*I40))</f>
        <v>5.02264325454602</v>
      </c>
    </row>
    <row r="41" customFormat="false" ht="15" hidden="false" customHeight="false" outlineLevel="0" collapsed="false">
      <c r="B41" s="19"/>
      <c r="C41" s="19"/>
      <c r="D41" s="19"/>
      <c r="E41" s="19"/>
      <c r="F41" s="19"/>
      <c r="I41" s="6" t="n">
        <v>38</v>
      </c>
      <c r="J41" s="12" t="n">
        <f aca="false">((1-C$2)*C$3*EXP(-$E$2*(I41^$G$2)))+(C$2*C$3*EXP(-$E$3*I41))</f>
        <v>4.93490142063045</v>
      </c>
    </row>
    <row r="42" customFormat="false" ht="15" hidden="false" customHeight="false" outlineLevel="0" collapsed="false">
      <c r="B42" s="19"/>
      <c r="C42" s="19"/>
      <c r="D42" s="19"/>
      <c r="E42" s="19"/>
      <c r="F42" s="19"/>
      <c r="I42" s="6" t="n">
        <v>39</v>
      </c>
      <c r="J42" s="12" t="n">
        <f aca="false">((1-C$2)*C$3*EXP(-$E$2*(I42^$G$2)))+(C$2*C$3*EXP(-$E$3*I42))</f>
        <v>4.85558005304173</v>
      </c>
    </row>
    <row r="43" customFormat="false" ht="15" hidden="false" customHeight="false" outlineLevel="0" collapsed="false">
      <c r="B43" s="19"/>
      <c r="C43" s="19"/>
      <c r="D43" s="19"/>
      <c r="E43" s="19"/>
      <c r="F43" s="19"/>
      <c r="I43" s="6" t="n">
        <v>40</v>
      </c>
      <c r="J43" s="12" t="n">
        <f aca="false">((1-C$2)*C$3*EXP(-$E$2*(I43^$G$2)))+(C$2*C$3*EXP(-$E$3*I43))</f>
        <v>4.78376534112238</v>
      </c>
    </row>
    <row r="44" customFormat="false" ht="15" hidden="false" customHeight="false" outlineLevel="0" collapsed="false">
      <c r="B44" s="19"/>
      <c r="C44" s="19"/>
      <c r="D44" s="19"/>
      <c r="E44" s="19"/>
      <c r="F44" s="19"/>
      <c r="I44" s="6" t="n">
        <v>41</v>
      </c>
      <c r="J44" s="12" t="n">
        <f aca="false">((1-C$2)*C$3*EXP(-$E$2*(I44^$G$2)))+(C$2*C$3*EXP(-$E$3*I44))</f>
        <v>4.71865493284482</v>
      </c>
    </row>
    <row r="45" customFormat="false" ht="15" hidden="false" customHeight="false" outlineLevel="0" collapsed="false">
      <c r="B45" s="19"/>
      <c r="C45" s="19"/>
      <c r="D45" s="19"/>
      <c r="E45" s="19"/>
      <c r="F45" s="19"/>
      <c r="I45" s="6" t="n">
        <v>42</v>
      </c>
      <c r="J45" s="12" t="n">
        <f aca="false">((1-C$2)*C$3*EXP(-$E$2*(I45^$G$2)))+(C$2*C$3*EXP(-$E$3*I45))</f>
        <v>4.65954276496258</v>
      </c>
    </row>
    <row r="46" customFormat="false" ht="15" hidden="false" customHeight="false" outlineLevel="0" collapsed="false">
      <c r="B46" s="19"/>
      <c r="C46" s="19"/>
      <c r="D46" s="19"/>
      <c r="E46" s="19"/>
      <c r="F46" s="19"/>
      <c r="I46" s="6" t="n">
        <v>43</v>
      </c>
      <c r="J46" s="12" t="n">
        <f aca="false">((1-C$2)*C$3*EXP(-$E$2*(I46^$G$2)))+(C$2*C$3*EXP(-$E$3*I46))</f>
        <v>4.60580617926783</v>
      </c>
    </row>
    <row r="47" customFormat="false" ht="15" hidden="false" customHeight="false" outlineLevel="0" collapsed="false">
      <c r="B47" s="19"/>
      <c r="C47" s="19"/>
      <c r="D47" s="19"/>
      <c r="E47" s="19"/>
      <c r="F47" s="19"/>
      <c r="I47" s="6" t="n">
        <v>44</v>
      </c>
      <c r="J47" s="12" t="n">
        <f aca="false">((1-C$2)*C$3*EXP(-$E$2*(I47^$G$2)))+(C$2*C$3*EXP(-$E$3*I47))</f>
        <v>4.55689494645977</v>
      </c>
    </row>
    <row r="48" customFormat="false" ht="15" hidden="false" customHeight="false" outlineLevel="0" collapsed="false">
      <c r="B48" s="19"/>
      <c r="C48" s="19"/>
      <c r="D48" s="19"/>
      <c r="E48" s="19"/>
      <c r="F48" s="19"/>
      <c r="I48" s="6" t="n">
        <v>45</v>
      </c>
      <c r="J48" s="12" t="n">
        <f aca="false">((1-C$2)*C$3*EXP(-$E$2*(I48^$G$2)))+(C$2*C$3*EXP(-$E$3*I48))</f>
        <v>4.51232188745385</v>
      </c>
    </row>
    <row r="49" customFormat="false" ht="15" hidden="false" customHeight="false" outlineLevel="0" collapsed="false">
      <c r="B49" s="19"/>
      <c r="C49" s="19"/>
      <c r="D49" s="19"/>
      <c r="E49" s="19"/>
      <c r="F49" s="19"/>
      <c r="G49" s="19"/>
      <c r="H49" s="19"/>
      <c r="I49" s="6" t="n">
        <v>46</v>
      </c>
      <c r="J49" s="12" t="n">
        <f aca="false">((1-C$2)*C$3*EXP(-$E$2*(I49^$G$2)))+(C$2*C$3*EXP(-$E$3*I49))</f>
        <v>4.47165483693457</v>
      </c>
    </row>
    <row r="50" customFormat="false" ht="15" hidden="false" customHeight="false" outlineLevel="0" collapsed="false">
      <c r="B50" s="19"/>
      <c r="C50" s="19"/>
      <c r="D50" s="19"/>
      <c r="E50" s="19"/>
      <c r="F50" s="19"/>
      <c r="G50" s="19"/>
      <c r="H50" s="19"/>
      <c r="I50" s="6" t="n">
        <v>47</v>
      </c>
      <c r="J50" s="12" t="n">
        <f aca="false">((1-C$2)*C$3*EXP(-$E$2*(I50^$G$2)))+(C$2*C$3*EXP(-$E$3*I50))</f>
        <v>4.43450973838155</v>
      </c>
    </row>
    <row r="51" customFormat="false" ht="15" hidden="false" customHeight="false" outlineLevel="0" collapsed="false">
      <c r="B51" s="19"/>
      <c r="C51" s="19"/>
      <c r="D51" s="19"/>
      <c r="E51" s="19"/>
      <c r="F51" s="19"/>
      <c r="G51" s="19"/>
      <c r="H51" s="19"/>
      <c r="I51" s="6" t="n">
        <v>48</v>
      </c>
      <c r="J51" s="12" t="n">
        <f aca="false">((1-C$2)*C$3*EXP(-$E$2*(I51^$G$2)))+(C$2*C$3*EXP(-$E$3*I51))</f>
        <v>4.40054469585461</v>
      </c>
    </row>
    <row r="52" customFormat="false" ht="15" hidden="false" customHeight="false" outlineLevel="0" collapsed="false">
      <c r="B52" s="19"/>
      <c r="C52" s="19"/>
      <c r="D52" s="19"/>
      <c r="E52" s="19"/>
      <c r="F52" s="19"/>
      <c r="G52" s="19"/>
      <c r="H52" s="19"/>
      <c r="I52" s="6" t="n">
        <v>49</v>
      </c>
      <c r="J52" s="12" t="n">
        <f aca="false">((1-C$2)*C$3*EXP(-$E$2*(I52^$G$2)))+(C$2*C$3*EXP(-$E$3*I52))</f>
        <v>4.36945483720582</v>
      </c>
    </row>
    <row r="53" customFormat="false" ht="15" hidden="false" customHeight="false" outlineLevel="0" collapsed="false">
      <c r="B53" s="19"/>
      <c r="C53" s="19"/>
      <c r="D53" s="19"/>
      <c r="E53" s="19"/>
      <c r="F53" s="19"/>
      <c r="G53" s="19"/>
      <c r="H53" s="19"/>
      <c r="I53" s="6" t="n">
        <v>50</v>
      </c>
      <c r="J53" s="12" t="n">
        <f aca="false">((1-C$2)*C$3*EXP(-$E$2*(I53^$G$2)))+(C$2*C$3*EXP(-$E$3*I53))</f>
        <v>4.34096786742223</v>
      </c>
    </row>
    <row r="54" customFormat="false" ht="15" hidden="false" customHeight="false" outlineLevel="0" collapsed="false">
      <c r="B54" s="19"/>
      <c r="C54" s="19"/>
      <c r="D54" s="19"/>
      <c r="E54" s="19"/>
      <c r="F54" s="19"/>
      <c r="G54" s="19"/>
      <c r="H54" s="19"/>
      <c r="I54" s="6" t="n">
        <v>51</v>
      </c>
      <c r="J54" s="12" t="n">
        <f aca="false">((1-C$2)*C$3*EXP(-$E$2*(I54^$G$2)))+(C$2*C$3*EXP(-$E$3*I54))</f>
        <v>4.31484021053939</v>
      </c>
    </row>
    <row r="55" customFormat="false" ht="15" hidden="false" customHeight="false" outlineLevel="0" collapsed="false">
      <c r="B55" s="19"/>
      <c r="C55" s="19"/>
      <c r="D55" s="19"/>
      <c r="E55" s="19"/>
      <c r="F55" s="19"/>
      <c r="G55" s="19"/>
      <c r="H55" s="19"/>
      <c r="I55" s="6" t="n">
        <v>52</v>
      </c>
      <c r="J55" s="12" t="n">
        <f aca="false">((1-C$2)*C$3*EXP(-$E$2*(I55^$G$2)))+(C$2*C$3*EXP(-$E$3*I55))</f>
        <v>4.29085365482855</v>
      </c>
    </row>
    <row r="56" customFormat="false" ht="15" hidden="false" customHeight="false" outlineLevel="0" collapsed="false">
      <c r="B56" s="19"/>
      <c r="C56" s="19"/>
      <c r="D56" s="19"/>
      <c r="E56" s="19"/>
      <c r="F56" s="19"/>
      <c r="G56" s="19"/>
      <c r="H56" s="19"/>
      <c r="I56" s="6" t="n">
        <v>53</v>
      </c>
      <c r="J56" s="12" t="n">
        <f aca="false">((1-C$2)*C$3*EXP(-$E$2*(I56^$G$2)))+(C$2*C$3*EXP(-$E$3*I56))</f>
        <v>4.2688124294076</v>
      </c>
    </row>
    <row r="57" customFormat="false" ht="15" hidden="false" customHeight="false" outlineLevel="0" collapsed="false">
      <c r="B57" s="19"/>
      <c r="C57" s="19"/>
      <c r="D57" s="19"/>
      <c r="E57" s="19"/>
      <c r="F57" s="19"/>
      <c r="G57" s="19"/>
      <c r="H57" s="19"/>
      <c r="I57" s="6" t="n">
        <v>54</v>
      </c>
      <c r="J57" s="12" t="n">
        <f aca="false">((1-C$2)*C$3*EXP(-$E$2*(I57^$G$2)))+(C$2*C$3*EXP(-$E$3*I57))</f>
        <v>4.24854065158127</v>
      </c>
    </row>
    <row r="58" customFormat="false" ht="15" hidden="false" customHeight="false" outlineLevel="0" collapsed="false">
      <c r="B58" s="19"/>
      <c r="C58" s="19"/>
      <c r="D58" s="19"/>
      <c r="E58" s="19"/>
      <c r="F58" s="19"/>
      <c r="G58" s="19"/>
      <c r="H58" s="19"/>
      <c r="I58" s="6" t="n">
        <v>55</v>
      </c>
      <c r="J58" s="12" t="n">
        <f aca="false">((1-C$2)*C$3*EXP(-$E$2*(I58^$G$2)))+(C$2*C$3*EXP(-$E$3*I58))</f>
        <v>4.22988009349887</v>
      </c>
    </row>
    <row r="59" customFormat="false" ht="15" hidden="false" customHeight="false" outlineLevel="0" collapsed="false">
      <c r="B59" s="19"/>
      <c r="C59" s="19"/>
      <c r="D59" s="19"/>
      <c r="G59" s="19"/>
      <c r="H59" s="19"/>
      <c r="I59" s="6" t="n">
        <v>56</v>
      </c>
      <c r="J59" s="12" t="n">
        <f aca="false">((1-C$2)*C$3*EXP(-$E$2*(I59^$G$2)))+(C$2*C$3*EXP(-$E$3*I59))</f>
        <v>4.21268822446719</v>
      </c>
    </row>
    <row r="60" customFormat="false" ht="15" hidden="false" customHeight="false" outlineLevel="0" collapsed="false">
      <c r="B60" s="19"/>
      <c r="C60" s="19"/>
      <c r="D60" s="19"/>
      <c r="G60" s="19"/>
      <c r="H60" s="19"/>
      <c r="I60" s="6" t="n">
        <v>57</v>
      </c>
      <c r="J60" s="12" t="n">
        <f aca="false">((1-C$2)*C$3*EXP(-$E$2*(I60^$G$2)))+(C$2*C$3*EXP(-$E$3*I60))</f>
        <v>4.19683649174277</v>
      </c>
    </row>
    <row r="61" customFormat="false" ht="15" hidden="false" customHeight="false" outlineLevel="0" collapsed="false">
      <c r="B61" s="19"/>
      <c r="C61" s="19"/>
      <c r="D61" s="19"/>
      <c r="G61" s="19"/>
      <c r="H61" s="19"/>
      <c r="I61" s="6" t="n">
        <v>58</v>
      </c>
      <c r="J61" s="12" t="n">
        <f aca="false">((1-C$2)*C$3*EXP(-$E$2*(I61^$G$2)))+(C$2*C$3*EXP(-$E$3*I61))</f>
        <v>4.18220880807373</v>
      </c>
    </row>
    <row r="62" customFormat="false" ht="15" hidden="false" customHeight="false" outlineLevel="0" collapsed="false">
      <c r="B62" s="19"/>
      <c r="C62" s="19"/>
      <c r="D62" s="19"/>
      <c r="G62" s="19"/>
      <c r="H62" s="19"/>
      <c r="I62" s="6" t="n">
        <v>59</v>
      </c>
      <c r="J62" s="12" t="n">
        <f aca="false">((1-C$2)*C$3*EXP(-$E$2*(I62^$G$2)))+(C$2*C$3*EXP(-$E$3*I62))</f>
        <v>4.16870021884566</v>
      </c>
    </row>
    <row r="63" customFormat="false" ht="15" hidden="false" customHeight="false" outlineLevel="0" collapsed="false">
      <c r="G63" s="19"/>
      <c r="H63" s="19"/>
      <c r="I63" s="6" t="n">
        <v>60</v>
      </c>
      <c r="J63" s="12" t="n">
        <f aca="false">((1-C$2)*C$3*EXP(-$E$2*(I63^$G$2)))+(C$2*C$3*EXP(-$E$3*I63))</f>
        <v>4.15621572555512</v>
      </c>
    </row>
    <row r="64" customFormat="false" ht="15" hidden="false" customHeight="false" outlineLevel="0" collapsed="false">
      <c r="G64" s="19"/>
      <c r="H64" s="19"/>
      <c r="I64" s="6" t="n">
        <v>61</v>
      </c>
      <c r="J64" s="12" t="n">
        <f aca="false">((1-C$2)*C$3*EXP(-$E$2*(I64^$G$2)))+(C$2*C$3*EXP(-$E$3*I64))</f>
        <v>4.14466924560802</v>
      </c>
    </row>
    <row r="65" customFormat="false" ht="15" hidden="false" customHeight="false" outlineLevel="0" collapsed="false">
      <c r="G65" s="19"/>
      <c r="H65" s="19"/>
      <c r="I65" s="6" t="n">
        <v>62</v>
      </c>
      <c r="J65" s="12" t="n">
        <f aca="false">((1-C$2)*C$3*EXP(-$E$2*(I65^$G$2)))+(C$2*C$3*EXP(-$E$3*I65))</f>
        <v>4.13398269121709</v>
      </c>
    </row>
    <row r="66" customFormat="false" ht="15" hidden="false" customHeight="false" outlineLevel="0" collapsed="false">
      <c r="G66" s="19"/>
      <c r="H66" s="19"/>
      <c r="I66" s="6" t="n">
        <v>63</v>
      </c>
      <c r="J66" s="12" t="n">
        <f aca="false">((1-C$2)*C$3*EXP(-$E$2*(I66^$G$2)))+(C$2*C$3*EXP(-$E$3*I66))</f>
        <v>4.12408515253325</v>
      </c>
    </row>
    <row r="67" customFormat="false" ht="15" hidden="false" customHeight="false" outlineLevel="0" collapsed="false">
      <c r="G67" s="19"/>
      <c r="H67" s="19"/>
      <c r="I67" s="6" t="n">
        <v>64</v>
      </c>
      <c r="J67" s="12" t="n">
        <f aca="false">((1-C$2)*C$3*EXP(-$E$2*(I67^$G$2)))+(C$2*C$3*EXP(-$E$3*I67))</f>
        <v>4.11491217215769</v>
      </c>
    </row>
    <row r="68" customFormat="false" ht="15" hidden="false" customHeight="false" outlineLevel="0" collapsed="false">
      <c r="G68" s="19"/>
      <c r="H68" s="19"/>
      <c r="I68" s="6" t="n">
        <v>65</v>
      </c>
      <c r="J68" s="12" t="n">
        <f aca="false">((1-C$2)*C$3*EXP(-$E$2*(I68^$G$2)))+(C$2*C$3*EXP(-$E$3*I68))</f>
        <v>4.10640509989932</v>
      </c>
    </row>
    <row r="69" customFormat="false" ht="15" hidden="false" customHeight="false" outlineLevel="0" collapsed="false">
      <c r="G69" s="19"/>
      <c r="H69" s="19"/>
      <c r="I69" s="6" t="n">
        <v>66</v>
      </c>
      <c r="J69" s="12" t="n">
        <f aca="false">((1-C$2)*C$3*EXP(-$E$2*(I69^$G$2)))+(C$2*C$3*EXP(-$E$3*I69))</f>
        <v>4.09851051811282</v>
      </c>
    </row>
    <row r="70" customFormat="false" ht="15" hidden="false" customHeight="false" outlineLevel="0" collapsed="false">
      <c r="G70" s="19"/>
      <c r="H70" s="19"/>
      <c r="I70" s="6" t="n">
        <v>67</v>
      </c>
      <c r="J70" s="12" t="n">
        <f aca="false">((1-C$2)*C$3*EXP(-$E$2*(I70^$G$2)))+(C$2*C$3*EXP(-$E$3*I70))</f>
        <v>4.09117972921357</v>
      </c>
    </row>
    <row r="71" customFormat="false" ht="15" hidden="false" customHeight="false" outlineLevel="0" collapsed="false">
      <c r="G71" s="19"/>
      <c r="H71" s="19"/>
      <c r="I71" s="6" t="n">
        <v>68</v>
      </c>
      <c r="J71" s="12" t="n">
        <f aca="false">((1-C$2)*C$3*EXP(-$E$2*(I71^$G$2)))+(C$2*C$3*EXP(-$E$3*I71))</f>
        <v>4.08436829804937</v>
      </c>
    </row>
    <row r="72" customFormat="false" ht="15" hidden="false" customHeight="false" outlineLevel="0" collapsed="false">
      <c r="G72" s="19"/>
      <c r="H72" s="19"/>
      <c r="I72" s="6" t="n">
        <v>69</v>
      </c>
      <c r="J72" s="12" t="n">
        <f aca="false">((1-C$2)*C$3*EXP(-$E$2*(I72^$G$2)))+(C$2*C$3*EXP(-$E$3*I72))</f>
        <v>4.07803564274208</v>
      </c>
    </row>
    <row r="73" customFormat="false" ht="15" hidden="false" customHeight="false" outlineLevel="0" collapsed="false">
      <c r="G73" s="19"/>
      <c r="H73" s="19"/>
      <c r="I73" s="6" t="n">
        <v>70</v>
      </c>
      <c r="J73" s="12" t="n">
        <f aca="false">((1-C$2)*C$3*EXP(-$E$2*(I73^$G$2)))+(C$2*C$3*EXP(-$E$3*I73))</f>
        <v>4.07214466841703</v>
      </c>
    </row>
    <row r="74" customFormat="false" ht="15" hidden="false" customHeight="false" outlineLevel="0" collapsed="false">
      <c r="G74" s="19"/>
      <c r="H74" s="19"/>
      <c r="I74" s="6" t="n">
        <v>71</v>
      </c>
      <c r="J74" s="12" t="n">
        <f aca="false">((1-C$2)*C$3*EXP(-$E$2*(I74^$G$2)))+(C$2*C$3*EXP(-$E$3*I74))</f>
        <v>4.06666143893404</v>
      </c>
    </row>
    <row r="75" customFormat="false" ht="15" hidden="false" customHeight="false" outlineLevel="0" collapsed="false">
      <c r="G75" s="19"/>
      <c r="H75" s="19"/>
      <c r="I75" s="19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&amp;C_x005F_x000D_&amp;1#&amp;"Default,Regular"&amp;10&amp;Kd89b2b Confidential - Company Proprietary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2024-01-03T17:06:48Z</dcterms:created>
  <dc:creator>Eunkyung Jang</dc:creator>
  <dc:description/>
  <dc:language>en-US</dc:language>
  <cp:lastModifiedBy/>
  <dcterms:modified xsi:type="dcterms:W3CDTF">2026-06-26T23:17:53Z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fc3b9b-35b0-4549-b8c7-7249a2740519_ActionId">
    <vt:lpwstr>d58cade8-bfa5-48fb-8055-f4bca53048d3</vt:lpwstr>
  </property>
  <property fmtid="{D5CDD505-2E9C-101B-9397-08002B2CF9AE}" pid="3" name="MSIP_Label_78fc3b9b-35b0-4549-b8c7-7249a2740519_ContentBits">
    <vt:lpwstr>2</vt:lpwstr>
  </property>
  <property fmtid="{D5CDD505-2E9C-101B-9397-08002B2CF9AE}" pid="4" name="MSIP_Label_78fc3b9b-35b0-4549-b8c7-7249a2740519_Enabled">
    <vt:lpwstr>true</vt:lpwstr>
  </property>
  <property fmtid="{D5CDD505-2E9C-101B-9397-08002B2CF9AE}" pid="5" name="MSIP_Label_78fc3b9b-35b0-4549-b8c7-7249a2740519_Method">
    <vt:lpwstr>Privileged</vt:lpwstr>
  </property>
  <property fmtid="{D5CDD505-2E9C-101B-9397-08002B2CF9AE}" pid="6" name="MSIP_Label_78fc3b9b-35b0-4549-b8c7-7249a2740519_Name">
    <vt:lpwstr>Confidential</vt:lpwstr>
  </property>
  <property fmtid="{D5CDD505-2E9C-101B-9397-08002B2CF9AE}" pid="7" name="MSIP_Label_78fc3b9b-35b0-4549-b8c7-7249a2740519_SetDate">
    <vt:lpwstr>2024-01-03T17:08:26Z</vt:lpwstr>
  </property>
  <property fmtid="{D5CDD505-2E9C-101B-9397-08002B2CF9AE}" pid="8" name="MSIP_Label_78fc3b9b-35b0-4549-b8c7-7249a2740519_SiteId">
    <vt:lpwstr>2c518df7-6644-41f8-8350-3f75e61362ac</vt:lpwstr>
  </property>
</Properties>
</file>