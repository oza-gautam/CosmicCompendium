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us-partner-integrations.egnyte.com/msoffice/wopi/files/242916c4-27d4-481b-b745-93ac686617e9/WOPIServiceId_TP_EGNYTE_PLUS/WOPIUserId_-/"/>
    </mc:Choice>
  </mc:AlternateContent>
  <xr:revisionPtr revIDLastSave="0" documentId="11_918122539C2E75DD2700F935EA2DC489F0C0F89C" xr6:coauthVersionLast="47" xr6:coauthVersionMax="47" xr10:uidLastSave="{00000000-0000-0000-0000-000000000000}"/>
  <bookViews>
    <workbookView xWindow="-28905" yWindow="0" windowWidth="14610" windowHeight="15585" tabRatio="779" firstSheet="10" activeTab="11" xr2:uid="{00000000-000D-0000-FFFF-FFFF00000000}"/>
  </bookViews>
  <sheets>
    <sheet name="PFA EColi Inactivation" sheetId="2" r:id="rId1"/>
    <sheet name="PFA Fecal Coli Inactivation" sheetId="3" r:id="rId2"/>
    <sheet name="PFA Total Coli Inactivation" sheetId="4" r:id="rId3"/>
    <sheet name="PFA Enterococci Inactivation" sheetId="5" r:id="rId4"/>
    <sheet name="PAA EColi Inactivation" sheetId="6" r:id="rId5"/>
    <sheet name="PAA Fecal Coli Inactivation" sheetId="7" r:id="rId6"/>
    <sheet name="PAA Total Coli Inactivation" sheetId="8" r:id="rId7"/>
    <sheet name="PAA Enterococci Inactivation" sheetId="9" r:id="rId8"/>
    <sheet name="Cl2 EColi Inactivation" sheetId="10" r:id="rId9"/>
    <sheet name="Cl2 Fecal Coli Inactivation" sheetId="11" r:id="rId10"/>
    <sheet name="Cl2 Total Coli Inactivation" sheetId="12" r:id="rId11"/>
    <sheet name="Cl2 Enterococci Inactivation" sheetId="13" r:id="rId12"/>
  </sheets>
  <definedNames>
    <definedName name="solver_adj" localSheetId="8" hidden="1">'Cl2 EColi Inactivation'!$C$2,'Cl2 EColi Inactivation'!$E$2,'Cl2 EColi Inactivation'!$E$3,'Cl2 EColi Inactivation'!$G$2</definedName>
    <definedName name="solver_adj" localSheetId="11" hidden="1">'Cl2 Enterococci Inactivation'!$C$2,'Cl2 Enterococci Inactivation'!$E$2,'Cl2 Enterococci Inactivation'!$E$3,'Cl2 Enterococci Inactivation'!$G$2</definedName>
    <definedName name="solver_adj" localSheetId="9" hidden="1">'Cl2 Fecal Coli Inactivation'!$C$2,'Cl2 Fecal Coli Inactivation'!$E$2,'Cl2 Fecal Coli Inactivation'!$E$3,'Cl2 Fecal Coli Inactivation'!$G$2</definedName>
    <definedName name="solver_adj" localSheetId="10" hidden="1">'Cl2 Total Coli Inactivation'!$C$2,'Cl2 Total Coli Inactivation'!$E$2,'Cl2 Total Coli Inactivation'!$E$3,'Cl2 Total Coli Inactivation'!$G$2</definedName>
    <definedName name="solver_adj" localSheetId="4" hidden="1">'PAA EColi Inactivation'!$C$2,'PAA EColi Inactivation'!$E$2,'PAA EColi Inactivation'!$E$3,'PAA EColi Inactivation'!$G$2</definedName>
    <definedName name="solver_adj" localSheetId="7" hidden="1">'PAA Enterococci Inactivation'!$C$2,'PAA Enterococci Inactivation'!$E$2,'PAA Enterococci Inactivation'!$E$3,'PAA Enterococci Inactivation'!$G$2</definedName>
    <definedName name="solver_adj" localSheetId="5" hidden="1">'PAA Fecal Coli Inactivation'!$C$2,'PAA Fecal Coli Inactivation'!$E$2,'PAA Fecal Coli Inactivation'!$E$3,'PAA Fecal Coli Inactivation'!$G$2</definedName>
    <definedName name="solver_adj" localSheetId="6" hidden="1">'PAA Total Coli Inactivation'!$C$2,'PAA Total Coli Inactivation'!$E$2,'PAA Total Coli Inactivation'!$E$3,'PAA Total Coli Inactivation'!$G$2</definedName>
    <definedName name="solver_adj" localSheetId="0" hidden="1">'PFA EColi Inactivation'!$C$2,'PFA EColi Inactivation'!$E$2,'PFA EColi Inactivation'!$E$3,'PFA EColi Inactivation'!$G$2</definedName>
    <definedName name="solver_adj" localSheetId="3" hidden="1">'PFA Enterococci Inactivation'!$C$2,'PFA Enterococci Inactivation'!$E$2,'PFA Enterococci Inactivation'!$E$3,'PFA Enterococci Inactivation'!$G$2</definedName>
    <definedName name="solver_adj" localSheetId="1" hidden="1">'PFA Fecal Coli Inactivation'!$C$2,'PFA Fecal Coli Inactivation'!$E$2,'PFA Fecal Coli Inactivation'!$E$3,'PFA Fecal Coli Inactivation'!$G$2</definedName>
    <definedName name="solver_adj" localSheetId="2" hidden="1">'PFA Total Coli Inactivation'!$C$2,'PFA Total Coli Inactivation'!$E$2,'PFA Total Coli Inactivation'!$E$3,'PFA Total Coli Inactivation'!$G$2</definedName>
    <definedName name="solver_cvg" localSheetId="8" hidden="1">0.0001</definedName>
    <definedName name="solver_cvg" localSheetId="11" hidden="1">0.0001</definedName>
    <definedName name="solver_cvg" localSheetId="9" hidden="1">0.0001</definedName>
    <definedName name="solver_cvg" localSheetId="10" hidden="1">0.0001</definedName>
    <definedName name="solver_cvg" localSheetId="4" hidden="1">0.0001</definedName>
    <definedName name="solver_cvg" localSheetId="7" hidden="1">0.0001</definedName>
    <definedName name="solver_cvg" localSheetId="5" hidden="1">0.0001</definedName>
    <definedName name="solver_cvg" localSheetId="6" hidden="1">0.0001</definedName>
    <definedName name="solver_cvg" localSheetId="0" hidden="1">0.0001</definedName>
    <definedName name="solver_cvg" localSheetId="3" hidden="1">0.0001</definedName>
    <definedName name="solver_cvg" localSheetId="1" hidden="1">0.0001</definedName>
    <definedName name="solver_cvg" localSheetId="2" hidden="1">0.0001</definedName>
    <definedName name="solver_drv" localSheetId="8" hidden="1">1</definedName>
    <definedName name="solver_drv" localSheetId="11" hidden="1">1</definedName>
    <definedName name="solver_drv" localSheetId="9" hidden="1">1</definedName>
    <definedName name="solver_drv" localSheetId="10" hidden="1">1</definedName>
    <definedName name="solver_drv" localSheetId="4" hidden="1">1</definedName>
    <definedName name="solver_drv" localSheetId="7" hidden="1">1</definedName>
    <definedName name="solver_drv" localSheetId="5" hidden="1">1</definedName>
    <definedName name="solver_drv" localSheetId="6" hidden="1">1</definedName>
    <definedName name="solver_drv" localSheetId="0" hidden="1">1</definedName>
    <definedName name="solver_drv" localSheetId="3" hidden="1">1</definedName>
    <definedName name="solver_drv" localSheetId="1" hidden="1">1</definedName>
    <definedName name="solver_drv" localSheetId="2" hidden="1">1</definedName>
    <definedName name="solver_eng" localSheetId="8" hidden="1">1</definedName>
    <definedName name="solver_eng" localSheetId="11" hidden="1">1</definedName>
    <definedName name="solver_eng" localSheetId="9" hidden="1">1</definedName>
    <definedName name="solver_eng" localSheetId="10" hidden="1">1</definedName>
    <definedName name="solver_eng" localSheetId="4" hidden="1">1</definedName>
    <definedName name="solver_eng" localSheetId="7" hidden="1">1</definedName>
    <definedName name="solver_eng" localSheetId="5" hidden="1">1</definedName>
    <definedName name="solver_eng" localSheetId="6" hidden="1">1</definedName>
    <definedName name="solver_eng" localSheetId="0" hidden="1">1</definedName>
    <definedName name="solver_eng" localSheetId="3" hidden="1">1</definedName>
    <definedName name="solver_eng" localSheetId="1" hidden="1">1</definedName>
    <definedName name="solver_eng" localSheetId="2" hidden="1">1</definedName>
    <definedName name="solver_est" localSheetId="8" hidden="1">1</definedName>
    <definedName name="solver_est" localSheetId="11" hidden="1">1</definedName>
    <definedName name="solver_est" localSheetId="9" hidden="1">1</definedName>
    <definedName name="solver_est" localSheetId="10" hidden="1">1</definedName>
    <definedName name="solver_est" localSheetId="4" hidden="1">1</definedName>
    <definedName name="solver_est" localSheetId="7" hidden="1">1</definedName>
    <definedName name="solver_est" localSheetId="5" hidden="1">1</definedName>
    <definedName name="solver_est" localSheetId="6" hidden="1">1</definedName>
    <definedName name="solver_est" localSheetId="0" hidden="1">1</definedName>
    <definedName name="solver_est" localSheetId="3" hidden="1">1</definedName>
    <definedName name="solver_est" localSheetId="1" hidden="1">1</definedName>
    <definedName name="solver_est" localSheetId="2" hidden="1">1</definedName>
    <definedName name="solver_itr" localSheetId="8" hidden="1">2147483647</definedName>
    <definedName name="solver_itr" localSheetId="11" hidden="1">2147483647</definedName>
    <definedName name="solver_itr" localSheetId="9" hidden="1">2147483647</definedName>
    <definedName name="solver_itr" localSheetId="10" hidden="1">2147483647</definedName>
    <definedName name="solver_itr" localSheetId="4" hidden="1">2147483647</definedName>
    <definedName name="solver_itr" localSheetId="7" hidden="1">2147483647</definedName>
    <definedName name="solver_itr" localSheetId="5" hidden="1">2147483647</definedName>
    <definedName name="solver_itr" localSheetId="6" hidden="1">2147483647</definedName>
    <definedName name="solver_itr" localSheetId="0" hidden="1">2147483647</definedName>
    <definedName name="solver_itr" localSheetId="3" hidden="1">2147483647</definedName>
    <definedName name="solver_itr" localSheetId="1" hidden="1">2147483647</definedName>
    <definedName name="solver_itr" localSheetId="2" hidden="1">2147483647</definedName>
    <definedName name="solver_mip" localSheetId="8" hidden="1">2147483647</definedName>
    <definedName name="solver_mip" localSheetId="11" hidden="1">2147483647</definedName>
    <definedName name="solver_mip" localSheetId="9" hidden="1">2147483647</definedName>
    <definedName name="solver_mip" localSheetId="10" hidden="1">2147483647</definedName>
    <definedName name="solver_mip" localSheetId="4" hidden="1">2147483647</definedName>
    <definedName name="solver_mip" localSheetId="7" hidden="1">2147483647</definedName>
    <definedName name="solver_mip" localSheetId="5" hidden="1">2147483647</definedName>
    <definedName name="solver_mip" localSheetId="6" hidden="1">2147483647</definedName>
    <definedName name="solver_mip" localSheetId="0" hidden="1">2147483647</definedName>
    <definedName name="solver_mip" localSheetId="3" hidden="1">2147483647</definedName>
    <definedName name="solver_mip" localSheetId="1" hidden="1">2147483647</definedName>
    <definedName name="solver_mip" localSheetId="2" hidden="1">2147483647</definedName>
    <definedName name="solver_mni" localSheetId="8" hidden="1">30</definedName>
    <definedName name="solver_mni" localSheetId="11" hidden="1">30</definedName>
    <definedName name="solver_mni" localSheetId="9" hidden="1">30</definedName>
    <definedName name="solver_mni" localSheetId="10" hidden="1">30</definedName>
    <definedName name="solver_mni" localSheetId="4" hidden="1">30</definedName>
    <definedName name="solver_mni" localSheetId="7" hidden="1">30</definedName>
    <definedName name="solver_mni" localSheetId="5" hidden="1">30</definedName>
    <definedName name="solver_mni" localSheetId="6" hidden="1">30</definedName>
    <definedName name="solver_mni" localSheetId="0" hidden="1">30</definedName>
    <definedName name="solver_mni" localSheetId="3" hidden="1">30</definedName>
    <definedName name="solver_mni" localSheetId="1" hidden="1">30</definedName>
    <definedName name="solver_mni" localSheetId="2" hidden="1">30</definedName>
    <definedName name="solver_mrt" localSheetId="8" hidden="1">0.075</definedName>
    <definedName name="solver_mrt" localSheetId="11" hidden="1">0.075</definedName>
    <definedName name="solver_mrt" localSheetId="9" hidden="1">0.075</definedName>
    <definedName name="solver_mrt" localSheetId="10" hidden="1">0.075</definedName>
    <definedName name="solver_mrt" localSheetId="4" hidden="1">0.075</definedName>
    <definedName name="solver_mrt" localSheetId="7" hidden="1">0.075</definedName>
    <definedName name="solver_mrt" localSheetId="5" hidden="1">0.075</definedName>
    <definedName name="solver_mrt" localSheetId="6" hidden="1">0.075</definedName>
    <definedName name="solver_mrt" localSheetId="0" hidden="1">0.075</definedName>
    <definedName name="solver_mrt" localSheetId="3" hidden="1">0.075</definedName>
    <definedName name="solver_mrt" localSheetId="1" hidden="1">0.075</definedName>
    <definedName name="solver_mrt" localSheetId="2" hidden="1">0.075</definedName>
    <definedName name="solver_msl" localSheetId="8" hidden="1">2</definedName>
    <definedName name="solver_msl" localSheetId="11" hidden="1">2</definedName>
    <definedName name="solver_msl" localSheetId="9" hidden="1">2</definedName>
    <definedName name="solver_msl" localSheetId="10" hidden="1">2</definedName>
    <definedName name="solver_msl" localSheetId="4" hidden="1">2</definedName>
    <definedName name="solver_msl" localSheetId="7" hidden="1">2</definedName>
    <definedName name="solver_msl" localSheetId="5" hidden="1">2</definedName>
    <definedName name="solver_msl" localSheetId="6" hidden="1">2</definedName>
    <definedName name="solver_msl" localSheetId="0" hidden="1">2</definedName>
    <definedName name="solver_msl" localSheetId="3" hidden="1">2</definedName>
    <definedName name="solver_msl" localSheetId="1" hidden="1">2</definedName>
    <definedName name="solver_msl" localSheetId="2" hidden="1">2</definedName>
    <definedName name="solver_neg" localSheetId="8" hidden="1">1</definedName>
    <definedName name="solver_neg" localSheetId="11" hidden="1">1</definedName>
    <definedName name="solver_neg" localSheetId="9" hidden="1">1</definedName>
    <definedName name="solver_neg" localSheetId="10" hidden="1">1</definedName>
    <definedName name="solver_neg" localSheetId="4" hidden="1">1</definedName>
    <definedName name="solver_neg" localSheetId="7" hidden="1">1</definedName>
    <definedName name="solver_neg" localSheetId="5" hidden="1">1</definedName>
    <definedName name="solver_neg" localSheetId="6" hidden="1">1</definedName>
    <definedName name="solver_neg" localSheetId="0" hidden="1">1</definedName>
    <definedName name="solver_neg" localSheetId="3" hidden="1">1</definedName>
    <definedName name="solver_neg" localSheetId="1" hidden="1">1</definedName>
    <definedName name="solver_neg" localSheetId="2" hidden="1">1</definedName>
    <definedName name="solver_nod" localSheetId="8" hidden="1">2147483647</definedName>
    <definedName name="solver_nod" localSheetId="11" hidden="1">2147483647</definedName>
    <definedName name="solver_nod" localSheetId="9" hidden="1">2147483647</definedName>
    <definedName name="solver_nod" localSheetId="10" hidden="1">2147483647</definedName>
    <definedName name="solver_nod" localSheetId="4" hidden="1">2147483647</definedName>
    <definedName name="solver_nod" localSheetId="7" hidden="1">2147483647</definedName>
    <definedName name="solver_nod" localSheetId="5" hidden="1">2147483647</definedName>
    <definedName name="solver_nod" localSheetId="6" hidden="1">2147483647</definedName>
    <definedName name="solver_nod" localSheetId="0" hidden="1">2147483647</definedName>
    <definedName name="solver_nod" localSheetId="3" hidden="1">2147483647</definedName>
    <definedName name="solver_nod" localSheetId="1" hidden="1">2147483647</definedName>
    <definedName name="solver_nod" localSheetId="2" hidden="1">2147483647</definedName>
    <definedName name="solver_num" localSheetId="8" hidden="1">0</definedName>
    <definedName name="solver_num" localSheetId="11" hidden="1">0</definedName>
    <definedName name="solver_num" localSheetId="9" hidden="1">0</definedName>
    <definedName name="solver_num" localSheetId="10" hidden="1">0</definedName>
    <definedName name="solver_num" localSheetId="4" hidden="1">0</definedName>
    <definedName name="solver_num" localSheetId="7" hidden="1">0</definedName>
    <definedName name="solver_num" localSheetId="5" hidden="1">0</definedName>
    <definedName name="solver_num" localSheetId="6" hidden="1">0</definedName>
    <definedName name="solver_num" localSheetId="0" hidden="1">0</definedName>
    <definedName name="solver_num" localSheetId="3" hidden="1">0</definedName>
    <definedName name="solver_num" localSheetId="1" hidden="1">0</definedName>
    <definedName name="solver_num" localSheetId="2" hidden="1">0</definedName>
    <definedName name="solver_nwt" localSheetId="8" hidden="1">1</definedName>
    <definedName name="solver_nwt" localSheetId="11" hidden="1">1</definedName>
    <definedName name="solver_nwt" localSheetId="9" hidden="1">1</definedName>
    <definedName name="solver_nwt" localSheetId="10" hidden="1">1</definedName>
    <definedName name="solver_nwt" localSheetId="4" hidden="1">1</definedName>
    <definedName name="solver_nwt" localSheetId="7" hidden="1">1</definedName>
    <definedName name="solver_nwt" localSheetId="5" hidden="1">1</definedName>
    <definedName name="solver_nwt" localSheetId="6" hidden="1">1</definedName>
    <definedName name="solver_nwt" localSheetId="0" hidden="1">1</definedName>
    <definedName name="solver_nwt" localSheetId="3" hidden="1">1</definedName>
    <definedName name="solver_nwt" localSheetId="1" hidden="1">1</definedName>
    <definedName name="solver_nwt" localSheetId="2" hidden="1">1</definedName>
    <definedName name="solver_opt" localSheetId="8" hidden="1">'Cl2 EColi Inactivation'!#REF!</definedName>
    <definedName name="solver_opt" localSheetId="11" hidden="1">'Cl2 Enterococci Inactivation'!#REF!</definedName>
    <definedName name="solver_opt" localSheetId="9" hidden="1">'Cl2 Fecal Coli Inactivation'!#REF!</definedName>
    <definedName name="solver_opt" localSheetId="10" hidden="1">'Cl2 Total Coli Inactivation'!#REF!</definedName>
    <definedName name="solver_opt" localSheetId="4" hidden="1">'PAA EColi Inactivation'!#REF!</definedName>
    <definedName name="solver_opt" localSheetId="7" hidden="1">'PAA Enterococci Inactivation'!#REF!</definedName>
    <definedName name="solver_opt" localSheetId="5" hidden="1">'PAA Fecal Coli Inactivation'!#REF!</definedName>
    <definedName name="solver_opt" localSheetId="6" hidden="1">'PAA Total Coli Inactivation'!#REF!</definedName>
    <definedName name="solver_opt" localSheetId="0" hidden="1">'PFA EColi Inactivation'!#REF!</definedName>
    <definedName name="solver_opt" localSheetId="3" hidden="1">'PFA Enterococci Inactivation'!#REF!</definedName>
    <definedName name="solver_opt" localSheetId="1" hidden="1">'PFA Fecal Coli Inactivation'!#REF!</definedName>
    <definedName name="solver_opt" localSheetId="2" hidden="1">'PFA Total Coli Inactivation'!#REF!</definedName>
    <definedName name="solver_pre" localSheetId="8" hidden="1">0.000001</definedName>
    <definedName name="solver_pre" localSheetId="11" hidden="1">0.000001</definedName>
    <definedName name="solver_pre" localSheetId="9" hidden="1">0.000001</definedName>
    <definedName name="solver_pre" localSheetId="10" hidden="1">0.000001</definedName>
    <definedName name="solver_pre" localSheetId="4" hidden="1">0.000001</definedName>
    <definedName name="solver_pre" localSheetId="7" hidden="1">0.000001</definedName>
    <definedName name="solver_pre" localSheetId="5" hidden="1">0.000001</definedName>
    <definedName name="solver_pre" localSheetId="6" hidden="1">0.000001</definedName>
    <definedName name="solver_pre" localSheetId="0" hidden="1">0.000001</definedName>
    <definedName name="solver_pre" localSheetId="3" hidden="1">0.000001</definedName>
    <definedName name="solver_pre" localSheetId="1" hidden="1">0.000001</definedName>
    <definedName name="solver_pre" localSheetId="2" hidden="1">0.000001</definedName>
    <definedName name="solver_rbv" localSheetId="8" hidden="1">1</definedName>
    <definedName name="solver_rbv" localSheetId="11" hidden="1">1</definedName>
    <definedName name="solver_rbv" localSheetId="9" hidden="1">1</definedName>
    <definedName name="solver_rbv" localSheetId="10" hidden="1">1</definedName>
    <definedName name="solver_rbv" localSheetId="4" hidden="1">1</definedName>
    <definedName name="solver_rbv" localSheetId="7" hidden="1">1</definedName>
    <definedName name="solver_rbv" localSheetId="5" hidden="1">1</definedName>
    <definedName name="solver_rbv" localSheetId="6" hidden="1">1</definedName>
    <definedName name="solver_rbv" localSheetId="0" hidden="1">1</definedName>
    <definedName name="solver_rbv" localSheetId="3" hidden="1">1</definedName>
    <definedName name="solver_rbv" localSheetId="1" hidden="1">1</definedName>
    <definedName name="solver_rbv" localSheetId="2" hidden="1">1</definedName>
    <definedName name="solver_rlx" localSheetId="8" hidden="1">2</definedName>
    <definedName name="solver_rlx" localSheetId="11" hidden="1">2</definedName>
    <definedName name="solver_rlx" localSheetId="9" hidden="1">2</definedName>
    <definedName name="solver_rlx" localSheetId="10" hidden="1">2</definedName>
    <definedName name="solver_rlx" localSheetId="4" hidden="1">2</definedName>
    <definedName name="solver_rlx" localSheetId="7" hidden="1">2</definedName>
    <definedName name="solver_rlx" localSheetId="5" hidden="1">2</definedName>
    <definedName name="solver_rlx" localSheetId="6" hidden="1">2</definedName>
    <definedName name="solver_rlx" localSheetId="0" hidden="1">2</definedName>
    <definedName name="solver_rlx" localSheetId="3" hidden="1">2</definedName>
    <definedName name="solver_rlx" localSheetId="1" hidden="1">2</definedName>
    <definedName name="solver_rlx" localSheetId="2" hidden="1">2</definedName>
    <definedName name="solver_rsd" localSheetId="8" hidden="1">0</definedName>
    <definedName name="solver_rsd" localSheetId="11" hidden="1">0</definedName>
    <definedName name="solver_rsd" localSheetId="9" hidden="1">0</definedName>
    <definedName name="solver_rsd" localSheetId="10" hidden="1">0</definedName>
    <definedName name="solver_rsd" localSheetId="4" hidden="1">0</definedName>
    <definedName name="solver_rsd" localSheetId="7" hidden="1">0</definedName>
    <definedName name="solver_rsd" localSheetId="5" hidden="1">0</definedName>
    <definedName name="solver_rsd" localSheetId="6" hidden="1">0</definedName>
    <definedName name="solver_rsd" localSheetId="0" hidden="1">0</definedName>
    <definedName name="solver_rsd" localSheetId="3" hidden="1">0</definedName>
    <definedName name="solver_rsd" localSheetId="1" hidden="1">0</definedName>
    <definedName name="solver_rsd" localSheetId="2" hidden="1">0</definedName>
    <definedName name="solver_scl" localSheetId="8" hidden="1">1</definedName>
    <definedName name="solver_scl" localSheetId="11" hidden="1">1</definedName>
    <definedName name="solver_scl" localSheetId="9" hidden="1">1</definedName>
    <definedName name="solver_scl" localSheetId="10" hidden="1">1</definedName>
    <definedName name="solver_scl" localSheetId="4" hidden="1">1</definedName>
    <definedName name="solver_scl" localSheetId="7" hidden="1">1</definedName>
    <definedName name="solver_scl" localSheetId="5" hidden="1">1</definedName>
    <definedName name="solver_scl" localSheetId="6" hidden="1">1</definedName>
    <definedName name="solver_scl" localSheetId="0" hidden="1">1</definedName>
    <definedName name="solver_scl" localSheetId="3" hidden="1">1</definedName>
    <definedName name="solver_scl" localSheetId="1" hidden="1">1</definedName>
    <definedName name="solver_scl" localSheetId="2" hidden="1">1</definedName>
    <definedName name="solver_sho" localSheetId="8" hidden="1">2</definedName>
    <definedName name="solver_sho" localSheetId="11" hidden="1">2</definedName>
    <definedName name="solver_sho" localSheetId="9" hidden="1">2</definedName>
    <definedName name="solver_sho" localSheetId="10" hidden="1">2</definedName>
    <definedName name="solver_sho" localSheetId="4" hidden="1">2</definedName>
    <definedName name="solver_sho" localSheetId="7" hidden="1">2</definedName>
    <definedName name="solver_sho" localSheetId="5" hidden="1">2</definedName>
    <definedName name="solver_sho" localSheetId="6" hidden="1">2</definedName>
    <definedName name="solver_sho" localSheetId="0" hidden="1">2</definedName>
    <definedName name="solver_sho" localSheetId="3" hidden="1">2</definedName>
    <definedName name="solver_sho" localSheetId="1" hidden="1">2</definedName>
    <definedName name="solver_sho" localSheetId="2" hidden="1">2</definedName>
    <definedName name="solver_ssz" localSheetId="8" hidden="1">100</definedName>
    <definedName name="solver_ssz" localSheetId="11" hidden="1">100</definedName>
    <definedName name="solver_ssz" localSheetId="9" hidden="1">100</definedName>
    <definedName name="solver_ssz" localSheetId="10" hidden="1">100</definedName>
    <definedName name="solver_ssz" localSheetId="4" hidden="1">100</definedName>
    <definedName name="solver_ssz" localSheetId="7" hidden="1">100</definedName>
    <definedName name="solver_ssz" localSheetId="5" hidden="1">100</definedName>
    <definedName name="solver_ssz" localSheetId="6" hidden="1">100</definedName>
    <definedName name="solver_ssz" localSheetId="0" hidden="1">100</definedName>
    <definedName name="solver_ssz" localSheetId="3" hidden="1">100</definedName>
    <definedName name="solver_ssz" localSheetId="1" hidden="1">100</definedName>
    <definedName name="solver_ssz" localSheetId="2" hidden="1">100</definedName>
    <definedName name="solver_tim" localSheetId="8" hidden="1">2147483647</definedName>
    <definedName name="solver_tim" localSheetId="11" hidden="1">2147483647</definedName>
    <definedName name="solver_tim" localSheetId="9" hidden="1">2147483647</definedName>
    <definedName name="solver_tim" localSheetId="10" hidden="1">2147483647</definedName>
    <definedName name="solver_tim" localSheetId="4" hidden="1">2147483647</definedName>
    <definedName name="solver_tim" localSheetId="7" hidden="1">2147483647</definedName>
    <definedName name="solver_tim" localSheetId="5" hidden="1">2147483647</definedName>
    <definedName name="solver_tim" localSheetId="6" hidden="1">2147483647</definedName>
    <definedName name="solver_tim" localSheetId="0" hidden="1">2147483647</definedName>
    <definedName name="solver_tim" localSheetId="3" hidden="1">2147483647</definedName>
    <definedName name="solver_tim" localSheetId="1" hidden="1">2147483647</definedName>
    <definedName name="solver_tim" localSheetId="2" hidden="1">2147483647</definedName>
    <definedName name="solver_tol" localSheetId="8" hidden="1">0.01</definedName>
    <definedName name="solver_tol" localSheetId="11" hidden="1">0.01</definedName>
    <definedName name="solver_tol" localSheetId="9" hidden="1">0.01</definedName>
    <definedName name="solver_tol" localSheetId="10" hidden="1">0.01</definedName>
    <definedName name="solver_tol" localSheetId="4" hidden="1">0.01</definedName>
    <definedName name="solver_tol" localSheetId="7" hidden="1">0.01</definedName>
    <definedName name="solver_tol" localSheetId="5" hidden="1">0.01</definedName>
    <definedName name="solver_tol" localSheetId="6" hidden="1">0.01</definedName>
    <definedName name="solver_tol" localSheetId="0" hidden="1">0.01</definedName>
    <definedName name="solver_tol" localSheetId="3" hidden="1">0.01</definedName>
    <definedName name="solver_tol" localSheetId="1" hidden="1">0.01</definedName>
    <definedName name="solver_tol" localSheetId="2" hidden="1">0.01</definedName>
    <definedName name="solver_typ" localSheetId="8" hidden="1">2</definedName>
    <definedName name="solver_typ" localSheetId="11" hidden="1">2</definedName>
    <definedName name="solver_typ" localSheetId="9" hidden="1">2</definedName>
    <definedName name="solver_typ" localSheetId="10" hidden="1">2</definedName>
    <definedName name="solver_typ" localSheetId="4" hidden="1">2</definedName>
    <definedName name="solver_typ" localSheetId="7" hidden="1">2</definedName>
    <definedName name="solver_typ" localSheetId="5" hidden="1">2</definedName>
    <definedName name="solver_typ" localSheetId="6" hidden="1">2</definedName>
    <definedName name="solver_typ" localSheetId="0" hidden="1">2</definedName>
    <definedName name="solver_typ" localSheetId="3" hidden="1">2</definedName>
    <definedName name="solver_typ" localSheetId="1" hidden="1">2</definedName>
    <definedName name="solver_typ" localSheetId="2" hidden="1">2</definedName>
    <definedName name="solver_val" localSheetId="8" hidden="1">2</definedName>
    <definedName name="solver_val" localSheetId="11" hidden="1">2</definedName>
    <definedName name="solver_val" localSheetId="9" hidden="1">2</definedName>
    <definedName name="solver_val" localSheetId="10" hidden="1">2</definedName>
    <definedName name="solver_val" localSheetId="4" hidden="1">2</definedName>
    <definedName name="solver_val" localSheetId="7" hidden="1">2</definedName>
    <definedName name="solver_val" localSheetId="5" hidden="1">2</definedName>
    <definedName name="solver_val" localSheetId="6" hidden="1">2</definedName>
    <definedName name="solver_val" localSheetId="0" hidden="1">2</definedName>
    <definedName name="solver_val" localSheetId="3" hidden="1">2</definedName>
    <definedName name="solver_val" localSheetId="1" hidden="1">2</definedName>
    <definedName name="solver_val" localSheetId="2" hidden="1">2</definedName>
    <definedName name="solver_ver" localSheetId="8" hidden="1">3</definedName>
    <definedName name="solver_ver" localSheetId="11" hidden="1">3</definedName>
    <definedName name="solver_ver" localSheetId="9" hidden="1">3</definedName>
    <definedName name="solver_ver" localSheetId="10" hidden="1">3</definedName>
    <definedName name="solver_ver" localSheetId="4" hidden="1">3</definedName>
    <definedName name="solver_ver" localSheetId="7" hidden="1">3</definedName>
    <definedName name="solver_ver" localSheetId="5" hidden="1">3</definedName>
    <definedName name="solver_ver" localSheetId="6" hidden="1">3</definedName>
    <definedName name="solver_ver" localSheetId="0" hidden="1">3</definedName>
    <definedName name="solver_ver" localSheetId="3" hidden="1">3</definedName>
    <definedName name="solver_ver" localSheetId="1" hidden="1">3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4" i="9" l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74" i="8"/>
  <c r="I75" i="8" s="1"/>
  <c r="I76" i="8" s="1"/>
  <c r="I77" i="8" s="1"/>
  <c r="I78" i="8" s="1"/>
  <c r="I79" i="8" s="1"/>
  <c r="I80" i="8" s="1"/>
  <c r="I81" i="8" s="1"/>
  <c r="I82" i="8" s="1"/>
  <c r="I83" i="8" s="1"/>
  <c r="I84" i="8" s="1"/>
  <c r="I85" i="8" s="1"/>
  <c r="I86" i="8" s="1"/>
  <c r="I87" i="8" s="1"/>
  <c r="I88" i="8" s="1"/>
  <c r="I89" i="8" s="1"/>
  <c r="I90" i="8" s="1"/>
  <c r="I91" i="8" s="1"/>
  <c r="I92" i="8" s="1"/>
  <c r="I93" i="8" s="1"/>
  <c r="I94" i="8" s="1"/>
  <c r="I95" i="8" s="1"/>
  <c r="I96" i="8" s="1"/>
  <c r="I97" i="8" s="1"/>
  <c r="I98" i="8" s="1"/>
  <c r="I99" i="8" s="1"/>
  <c r="I100" i="8" s="1"/>
  <c r="I74" i="7"/>
  <c r="I75" i="7" s="1"/>
  <c r="I76" i="7" s="1"/>
  <c r="I77" i="7" s="1"/>
  <c r="I78" i="7" s="1"/>
  <c r="I79" i="7" s="1"/>
  <c r="I80" i="7" s="1"/>
  <c r="I81" i="7" s="1"/>
  <c r="I82" i="7" s="1"/>
  <c r="I83" i="7" s="1"/>
  <c r="I84" i="7" s="1"/>
  <c r="I85" i="7" s="1"/>
  <c r="I86" i="7" s="1"/>
  <c r="I87" i="7" s="1"/>
  <c r="I88" i="7" s="1"/>
  <c r="I89" i="7" s="1"/>
  <c r="I90" i="7" s="1"/>
  <c r="I91" i="7" s="1"/>
  <c r="I92" i="7" s="1"/>
  <c r="I93" i="7" s="1"/>
  <c r="I94" i="7" s="1"/>
  <c r="I95" i="7" s="1"/>
  <c r="I96" i="7" s="1"/>
  <c r="I97" i="7" s="1"/>
  <c r="I98" i="7" s="1"/>
  <c r="I99" i="7" s="1"/>
  <c r="I100" i="7" s="1"/>
  <c r="I75" i="6"/>
  <c r="I76" i="6" s="1"/>
  <c r="I77" i="6" s="1"/>
  <c r="I78" i="6" s="1"/>
  <c r="I79" i="6" s="1"/>
  <c r="I80" i="6" s="1"/>
  <c r="I81" i="6" s="1"/>
  <c r="I82" i="6" s="1"/>
  <c r="I83" i="6" s="1"/>
  <c r="I84" i="6" s="1"/>
  <c r="I85" i="6" s="1"/>
  <c r="I86" i="6" s="1"/>
  <c r="I87" i="6" s="1"/>
  <c r="I88" i="6" s="1"/>
  <c r="I89" i="6" s="1"/>
  <c r="I90" i="6" s="1"/>
  <c r="I91" i="6" s="1"/>
  <c r="I92" i="6" s="1"/>
  <c r="I93" i="6" s="1"/>
  <c r="I94" i="6" s="1"/>
  <c r="I95" i="6" s="1"/>
  <c r="I96" i="6" s="1"/>
  <c r="I97" i="6" s="1"/>
  <c r="I98" i="6" l="1"/>
  <c r="I99" i="6" s="1"/>
  <c r="I100" i="6" s="1"/>
  <c r="C3" i="12"/>
  <c r="C3" i="5"/>
  <c r="C3" i="4"/>
  <c r="C3" i="3"/>
  <c r="C3" i="2"/>
  <c r="C3" i="11" l="1"/>
  <c r="C3" i="10"/>
  <c r="C3" i="7"/>
  <c r="J7" i="7" s="1"/>
  <c r="C3" i="6"/>
  <c r="C3" i="13"/>
  <c r="J67" i="13" s="1"/>
  <c r="J15" i="12"/>
  <c r="J31" i="12"/>
  <c r="J47" i="12"/>
  <c r="J63" i="12"/>
  <c r="J43" i="12"/>
  <c r="J45" i="12"/>
  <c r="J16" i="12"/>
  <c r="J32" i="12"/>
  <c r="J48" i="12"/>
  <c r="J64" i="12"/>
  <c r="J14" i="12"/>
  <c r="J17" i="12"/>
  <c r="J33" i="12"/>
  <c r="J49" i="12"/>
  <c r="J65" i="12"/>
  <c r="J19" i="12"/>
  <c r="J35" i="12"/>
  <c r="J54" i="12"/>
  <c r="J39" i="12"/>
  <c r="J24" i="12"/>
  <c r="J25" i="12"/>
  <c r="J26" i="12"/>
  <c r="J27" i="12"/>
  <c r="J44" i="12"/>
  <c r="J61" i="12"/>
  <c r="J46" i="12"/>
  <c r="J18" i="12"/>
  <c r="J34" i="12"/>
  <c r="J50" i="12"/>
  <c r="J66" i="12"/>
  <c r="J51" i="12"/>
  <c r="J22" i="12"/>
  <c r="J7" i="12"/>
  <c r="J71" i="12"/>
  <c r="J40" i="12"/>
  <c r="J73" i="12"/>
  <c r="J10" i="12"/>
  <c r="J11" i="12"/>
  <c r="J60" i="12"/>
  <c r="J29" i="12"/>
  <c r="J67" i="12"/>
  <c r="J8" i="12"/>
  <c r="J28" i="12"/>
  <c r="J4" i="12"/>
  <c r="J20" i="12"/>
  <c r="J36" i="12"/>
  <c r="J52" i="12"/>
  <c r="J68" i="12"/>
  <c r="J5" i="12"/>
  <c r="J21" i="12"/>
  <c r="J37" i="12"/>
  <c r="J53" i="12"/>
  <c r="J69" i="12"/>
  <c r="J6" i="12"/>
  <c r="J38" i="12"/>
  <c r="J70" i="12"/>
  <c r="J23" i="12"/>
  <c r="J55" i="12"/>
  <c r="J72" i="12"/>
  <c r="J9" i="12"/>
  <c r="J57" i="12"/>
  <c r="J74" i="12"/>
  <c r="J59" i="12"/>
  <c r="J12" i="12"/>
  <c r="J62" i="12"/>
  <c r="J58" i="12"/>
  <c r="J56" i="12"/>
  <c r="J41" i="12"/>
  <c r="J42" i="12"/>
  <c r="J3" i="12"/>
  <c r="J13" i="12"/>
  <c r="J30" i="12"/>
  <c r="J11" i="10"/>
  <c r="J27" i="10"/>
  <c r="J43" i="10"/>
  <c r="J59" i="10"/>
  <c r="J3" i="10"/>
  <c r="J28" i="10"/>
  <c r="J44" i="10"/>
  <c r="J8" i="10"/>
  <c r="J12" i="10"/>
  <c r="J60" i="10"/>
  <c r="J20" i="10"/>
  <c r="J72" i="10"/>
  <c r="J41" i="10"/>
  <c r="J42" i="10"/>
  <c r="J13" i="10"/>
  <c r="J29" i="10"/>
  <c r="J45" i="10"/>
  <c r="J61" i="10"/>
  <c r="J15" i="10"/>
  <c r="J47" i="10"/>
  <c r="J18" i="10"/>
  <c r="J66" i="10"/>
  <c r="J19" i="10"/>
  <c r="J36" i="10"/>
  <c r="J5" i="10"/>
  <c r="J54" i="10"/>
  <c r="J23" i="10"/>
  <c r="J40" i="10"/>
  <c r="J73" i="10"/>
  <c r="J14" i="10"/>
  <c r="J30" i="10"/>
  <c r="J46" i="10"/>
  <c r="J62" i="10"/>
  <c r="J31" i="10"/>
  <c r="J63" i="10"/>
  <c r="J35" i="10"/>
  <c r="J4" i="10"/>
  <c r="J21" i="10"/>
  <c r="J38" i="10"/>
  <c r="J7" i="10"/>
  <c r="J56" i="10"/>
  <c r="J51" i="10"/>
  <c r="J22" i="10"/>
  <c r="J39" i="10"/>
  <c r="J58" i="10"/>
  <c r="J16" i="10"/>
  <c r="J32" i="10"/>
  <c r="J48" i="10"/>
  <c r="J64" i="10"/>
  <c r="J17" i="10"/>
  <c r="J33" i="10"/>
  <c r="J65" i="10"/>
  <c r="J50" i="10"/>
  <c r="J67" i="10"/>
  <c r="J69" i="10"/>
  <c r="J55" i="10"/>
  <c r="J24" i="10"/>
  <c r="J25" i="10"/>
  <c r="J26" i="10"/>
  <c r="J49" i="10"/>
  <c r="J34" i="10"/>
  <c r="J52" i="10"/>
  <c r="J53" i="10"/>
  <c r="J9" i="10"/>
  <c r="J74" i="10"/>
  <c r="J68" i="10"/>
  <c r="J37" i="10"/>
  <c r="J6" i="10"/>
  <c r="J70" i="10"/>
  <c r="J71" i="10"/>
  <c r="J57" i="10"/>
  <c r="J10" i="10"/>
  <c r="J17" i="13"/>
  <c r="J33" i="13"/>
  <c r="J49" i="13"/>
  <c r="J65" i="13"/>
  <c r="J18" i="13"/>
  <c r="J34" i="13"/>
  <c r="J50" i="13"/>
  <c r="J66" i="13"/>
  <c r="J62" i="13"/>
  <c r="J19" i="13"/>
  <c r="J35" i="13"/>
  <c r="J51" i="13"/>
  <c r="J5" i="13"/>
  <c r="J37" i="13"/>
  <c r="J69" i="13"/>
  <c r="J24" i="13"/>
  <c r="J72" i="13"/>
  <c r="J9" i="13"/>
  <c r="J73" i="13"/>
  <c r="J10" i="13"/>
  <c r="J27" i="13"/>
  <c r="J28" i="13"/>
  <c r="J45" i="13"/>
  <c r="J14" i="13"/>
  <c r="J63" i="13"/>
  <c r="J16" i="13"/>
  <c r="J4" i="13"/>
  <c r="J36" i="13"/>
  <c r="J52" i="13"/>
  <c r="J68" i="13"/>
  <c r="J21" i="13"/>
  <c r="J53" i="13"/>
  <c r="J40" i="13"/>
  <c r="J25" i="13"/>
  <c r="J26" i="13"/>
  <c r="J11" i="13"/>
  <c r="J3" i="13"/>
  <c r="J29" i="13"/>
  <c r="J46" i="13"/>
  <c r="J47" i="13"/>
  <c r="J48" i="13"/>
  <c r="J44" i="13"/>
  <c r="J22" i="13"/>
  <c r="J38" i="13"/>
  <c r="J54" i="13"/>
  <c r="J70" i="13"/>
  <c r="J7" i="13"/>
  <c r="J23" i="13"/>
  <c r="J39" i="13"/>
  <c r="J71" i="13"/>
  <c r="J8" i="13"/>
  <c r="J56" i="13"/>
  <c r="J41" i="13"/>
  <c r="J74" i="13"/>
  <c r="J43" i="13"/>
  <c r="J12" i="13"/>
  <c r="J61" i="13"/>
  <c r="J64" i="13"/>
  <c r="J55" i="13"/>
  <c r="J58" i="13"/>
  <c r="J57" i="13"/>
  <c r="J42" i="13"/>
  <c r="J59" i="13"/>
  <c r="J60" i="13"/>
  <c r="J13" i="13"/>
  <c r="J30" i="13"/>
  <c r="J15" i="13"/>
  <c r="J32" i="13"/>
  <c r="J13" i="11"/>
  <c r="J29" i="11"/>
  <c r="J45" i="11"/>
  <c r="J61" i="11"/>
  <c r="J62" i="11"/>
  <c r="J71" i="11"/>
  <c r="J44" i="11"/>
  <c r="J14" i="11"/>
  <c r="J30" i="11"/>
  <c r="J46" i="11"/>
  <c r="J73" i="11"/>
  <c r="J15" i="11"/>
  <c r="J31" i="11"/>
  <c r="J47" i="11"/>
  <c r="J63" i="11"/>
  <c r="J49" i="11"/>
  <c r="J36" i="11"/>
  <c r="J21" i="11"/>
  <c r="J6" i="11"/>
  <c r="J70" i="11"/>
  <c r="J7" i="11"/>
  <c r="J8" i="11"/>
  <c r="J56" i="11"/>
  <c r="J25" i="11"/>
  <c r="J26" i="11"/>
  <c r="J59" i="11"/>
  <c r="J60" i="11"/>
  <c r="J16" i="11"/>
  <c r="J32" i="11"/>
  <c r="J48" i="11"/>
  <c r="J64" i="11"/>
  <c r="J17" i="11"/>
  <c r="J33" i="11"/>
  <c r="J65" i="11"/>
  <c r="J4" i="11"/>
  <c r="J68" i="11"/>
  <c r="J53" i="11"/>
  <c r="J22" i="11"/>
  <c r="J40" i="11"/>
  <c r="J9" i="11"/>
  <c r="J42" i="11"/>
  <c r="J27" i="11"/>
  <c r="J3" i="11"/>
  <c r="J39" i="11"/>
  <c r="J18" i="11"/>
  <c r="J34" i="11"/>
  <c r="J50" i="11"/>
  <c r="J66" i="11"/>
  <c r="J19" i="11"/>
  <c r="J35" i="11"/>
  <c r="J51" i="11"/>
  <c r="J67" i="11"/>
  <c r="J20" i="11"/>
  <c r="J52" i="11"/>
  <c r="J37" i="11"/>
  <c r="J54" i="11"/>
  <c r="J55" i="11"/>
  <c r="J72" i="11"/>
  <c r="J41" i="11"/>
  <c r="J10" i="11"/>
  <c r="J58" i="11"/>
  <c r="J11" i="11"/>
  <c r="J28" i="11"/>
  <c r="J5" i="11"/>
  <c r="J57" i="11"/>
  <c r="J69" i="11"/>
  <c r="J38" i="11"/>
  <c r="J23" i="11"/>
  <c r="J24" i="11"/>
  <c r="J74" i="11"/>
  <c r="J43" i="11"/>
  <c r="J12" i="11"/>
  <c r="C3" i="8"/>
  <c r="J82" i="8" s="1"/>
  <c r="C3" i="9"/>
  <c r="J13" i="9" s="1"/>
  <c r="J78" i="6"/>
  <c r="J94" i="6"/>
  <c r="J79" i="6"/>
  <c r="J95" i="6"/>
  <c r="J11" i="6"/>
  <c r="J27" i="6"/>
  <c r="J80" i="6"/>
  <c r="J96" i="6"/>
  <c r="J81" i="6"/>
  <c r="J13" i="6"/>
  <c r="J29" i="6"/>
  <c r="J45" i="6"/>
  <c r="J61" i="6"/>
  <c r="J82" i="6"/>
  <c r="J14" i="6"/>
  <c r="J30" i="6"/>
  <c r="J46" i="6"/>
  <c r="J62" i="6"/>
  <c r="J16" i="6"/>
  <c r="J32" i="6"/>
  <c r="J64" i="6"/>
  <c r="J19" i="6"/>
  <c r="J51" i="6"/>
  <c r="J20" i="6"/>
  <c r="J68" i="6"/>
  <c r="J4" i="6"/>
  <c r="J83" i="6"/>
  <c r="J15" i="6"/>
  <c r="J31" i="6"/>
  <c r="J47" i="6"/>
  <c r="J63" i="6"/>
  <c r="J84" i="6"/>
  <c r="J48" i="6"/>
  <c r="J85" i="6"/>
  <c r="J17" i="6"/>
  <c r="J33" i="6"/>
  <c r="J49" i="6"/>
  <c r="J65" i="6"/>
  <c r="J86" i="6"/>
  <c r="J18" i="6"/>
  <c r="J34" i="6"/>
  <c r="J50" i="6"/>
  <c r="J66" i="6"/>
  <c r="J87" i="6"/>
  <c r="J35" i="6"/>
  <c r="J67" i="6"/>
  <c r="J88" i="6"/>
  <c r="J36" i="6"/>
  <c r="J52" i="6"/>
  <c r="J91" i="6"/>
  <c r="J23" i="6"/>
  <c r="J56" i="6"/>
  <c r="J89" i="6"/>
  <c r="J22" i="6"/>
  <c r="J92" i="6"/>
  <c r="J24" i="6"/>
  <c r="J57" i="6"/>
  <c r="J93" i="6"/>
  <c r="J58" i="6"/>
  <c r="J5" i="6"/>
  <c r="J42" i="6"/>
  <c r="J75" i="6"/>
  <c r="J25" i="6"/>
  <c r="J3" i="6"/>
  <c r="J44" i="6"/>
  <c r="J21" i="6"/>
  <c r="J26" i="6"/>
  <c r="J59" i="6"/>
  <c r="J28" i="6"/>
  <c r="J60" i="6"/>
  <c r="J69" i="6"/>
  <c r="J70" i="6"/>
  <c r="J71" i="6"/>
  <c r="J40" i="6"/>
  <c r="J72" i="6"/>
  <c r="J7" i="6"/>
  <c r="J43" i="6"/>
  <c r="J77" i="6"/>
  <c r="J54" i="6"/>
  <c r="J90" i="6"/>
  <c r="J37" i="6"/>
  <c r="J39" i="6"/>
  <c r="J12" i="6"/>
  <c r="J38" i="6"/>
  <c r="J6" i="6"/>
  <c r="J41" i="6"/>
  <c r="J8" i="6"/>
  <c r="J10" i="6"/>
  <c r="J55" i="6"/>
  <c r="J73" i="6"/>
  <c r="J74" i="6"/>
  <c r="J9" i="6"/>
  <c r="J76" i="6"/>
  <c r="J53" i="6"/>
  <c r="J53" i="7"/>
  <c r="J24" i="7"/>
  <c r="J91" i="7"/>
  <c r="J78" i="7"/>
  <c r="J84" i="7"/>
  <c r="J81" i="7"/>
  <c r="J16" i="5"/>
  <c r="J32" i="5"/>
  <c r="J48" i="5"/>
  <c r="J3" i="5"/>
  <c r="J19" i="5"/>
  <c r="J51" i="5"/>
  <c r="J20" i="5"/>
  <c r="J52" i="5"/>
  <c r="J5" i="5"/>
  <c r="J37" i="5"/>
  <c r="J22" i="5"/>
  <c r="J7" i="5"/>
  <c r="J39" i="5"/>
  <c r="J24" i="5"/>
  <c r="J56" i="5"/>
  <c r="J9" i="5"/>
  <c r="J57" i="5"/>
  <c r="J26" i="5"/>
  <c r="J11" i="5"/>
  <c r="J28" i="5"/>
  <c r="J17" i="5"/>
  <c r="J33" i="5"/>
  <c r="J49" i="5"/>
  <c r="J25" i="5"/>
  <c r="J18" i="5"/>
  <c r="J34" i="5"/>
  <c r="J50" i="5"/>
  <c r="J35" i="5"/>
  <c r="J4" i="5"/>
  <c r="J36" i="5"/>
  <c r="J21" i="5"/>
  <c r="J53" i="5"/>
  <c r="J6" i="5"/>
  <c r="J38" i="5"/>
  <c r="J54" i="5"/>
  <c r="J23" i="5"/>
  <c r="J55" i="5"/>
  <c r="J8" i="5"/>
  <c r="J40" i="5"/>
  <c r="J41" i="5"/>
  <c r="J10" i="5"/>
  <c r="J42" i="5"/>
  <c r="J58" i="5"/>
  <c r="J27" i="5"/>
  <c r="J43" i="5"/>
  <c r="J59" i="5"/>
  <c r="J12" i="5"/>
  <c r="J44" i="5"/>
  <c r="J14" i="5"/>
  <c r="J13" i="5"/>
  <c r="J15" i="5"/>
  <c r="J45" i="5"/>
  <c r="J46" i="5"/>
  <c r="J47" i="5"/>
  <c r="J60" i="5"/>
  <c r="J61" i="5"/>
  <c r="J62" i="5"/>
  <c r="J63" i="5"/>
  <c r="J29" i="5"/>
  <c r="J30" i="5"/>
  <c r="J31" i="5"/>
  <c r="J13" i="2"/>
  <c r="J29" i="2"/>
  <c r="J45" i="2"/>
  <c r="J61" i="2"/>
  <c r="J32" i="2"/>
  <c r="J3" i="2"/>
  <c r="J17" i="2"/>
  <c r="J33" i="2"/>
  <c r="J50" i="2"/>
  <c r="J19" i="2"/>
  <c r="J51" i="2"/>
  <c r="J4" i="2"/>
  <c r="J52" i="2"/>
  <c r="J21" i="2"/>
  <c r="J53" i="2"/>
  <c r="J22" i="2"/>
  <c r="J54" i="2"/>
  <c r="J23" i="2"/>
  <c r="J55" i="2"/>
  <c r="J24" i="2"/>
  <c r="J56" i="2"/>
  <c r="J14" i="2"/>
  <c r="J30" i="2"/>
  <c r="J46" i="2"/>
  <c r="J62" i="2"/>
  <c r="J15" i="2"/>
  <c r="J31" i="2"/>
  <c r="J47" i="2"/>
  <c r="J63" i="2"/>
  <c r="J16" i="2"/>
  <c r="J48" i="2"/>
  <c r="J49" i="2"/>
  <c r="J18" i="2"/>
  <c r="J35" i="2"/>
  <c r="J20" i="2"/>
  <c r="J5" i="2"/>
  <c r="J37" i="2"/>
  <c r="J6" i="2"/>
  <c r="J38" i="2"/>
  <c r="J7" i="2"/>
  <c r="J39" i="2"/>
  <c r="J8" i="2"/>
  <c r="J40" i="2"/>
  <c r="J34" i="2"/>
  <c r="J36" i="2"/>
  <c r="J11" i="2"/>
  <c r="J12" i="2"/>
  <c r="J25" i="2"/>
  <c r="J44" i="2"/>
  <c r="J26" i="2"/>
  <c r="J42" i="2"/>
  <c r="J43" i="2"/>
  <c r="J58" i="2"/>
  <c r="J59" i="2"/>
  <c r="J9" i="2"/>
  <c r="J10" i="2"/>
  <c r="J27" i="2"/>
  <c r="J28" i="2"/>
  <c r="J41" i="2"/>
  <c r="J57" i="2"/>
  <c r="J60" i="2"/>
  <c r="J15" i="4"/>
  <c r="J31" i="4"/>
  <c r="J47" i="4"/>
  <c r="J63" i="4"/>
  <c r="J18" i="4"/>
  <c r="J19" i="4"/>
  <c r="J51" i="4"/>
  <c r="J4" i="4"/>
  <c r="J36" i="4"/>
  <c r="J5" i="4"/>
  <c r="J37" i="4"/>
  <c r="J6" i="4"/>
  <c r="J38" i="4"/>
  <c r="J23" i="4"/>
  <c r="J8" i="4"/>
  <c r="J40" i="4"/>
  <c r="J9" i="4"/>
  <c r="J41" i="4"/>
  <c r="J10" i="4"/>
  <c r="J42" i="4"/>
  <c r="J16" i="4"/>
  <c r="J32" i="4"/>
  <c r="J48" i="4"/>
  <c r="J3" i="4"/>
  <c r="J50" i="4"/>
  <c r="J17" i="4"/>
  <c r="J33" i="4"/>
  <c r="J49" i="4"/>
  <c r="J34" i="4"/>
  <c r="J35" i="4"/>
  <c r="J20" i="4"/>
  <c r="J52" i="4"/>
  <c r="J21" i="4"/>
  <c r="J53" i="4"/>
  <c r="J22" i="4"/>
  <c r="J54" i="4"/>
  <c r="J7" i="4"/>
  <c r="J39" i="4"/>
  <c r="J55" i="4"/>
  <c r="J24" i="4"/>
  <c r="J56" i="4"/>
  <c r="J25" i="4"/>
  <c r="J57" i="4"/>
  <c r="J26" i="4"/>
  <c r="J58" i="4"/>
  <c r="J13" i="4"/>
  <c r="J28" i="4"/>
  <c r="J61" i="4"/>
  <c r="J62" i="4"/>
  <c r="J12" i="4"/>
  <c r="J14" i="4"/>
  <c r="J27" i="4"/>
  <c r="J45" i="4"/>
  <c r="J59" i="4"/>
  <c r="J46" i="4"/>
  <c r="J60" i="4"/>
  <c r="J11" i="4"/>
  <c r="J29" i="4"/>
  <c r="J30" i="4"/>
  <c r="J43" i="4"/>
  <c r="J44" i="4"/>
  <c r="J14" i="3"/>
  <c r="J30" i="3"/>
  <c r="J46" i="3"/>
  <c r="J62" i="3"/>
  <c r="J49" i="3"/>
  <c r="J18" i="3"/>
  <c r="J50" i="3"/>
  <c r="J51" i="3"/>
  <c r="J4" i="3"/>
  <c r="J5" i="3"/>
  <c r="J53" i="3"/>
  <c r="J6" i="3"/>
  <c r="J54" i="3"/>
  <c r="J7" i="3"/>
  <c r="J39" i="3"/>
  <c r="J24" i="3"/>
  <c r="J56" i="3"/>
  <c r="J25" i="3"/>
  <c r="J57" i="3"/>
  <c r="J15" i="3"/>
  <c r="J31" i="3"/>
  <c r="J47" i="3"/>
  <c r="J63" i="3"/>
  <c r="J20" i="3"/>
  <c r="J21" i="3"/>
  <c r="J38" i="3"/>
  <c r="J55" i="3"/>
  <c r="J8" i="3"/>
  <c r="J9" i="3"/>
  <c r="J16" i="3"/>
  <c r="J32" i="3"/>
  <c r="J48" i="3"/>
  <c r="J3" i="3"/>
  <c r="J33" i="3"/>
  <c r="J34" i="3"/>
  <c r="J19" i="3"/>
  <c r="J35" i="3"/>
  <c r="J52" i="3"/>
  <c r="J37" i="3"/>
  <c r="J22" i="3"/>
  <c r="J23" i="3"/>
  <c r="J40" i="3"/>
  <c r="J41" i="3"/>
  <c r="J17" i="3"/>
  <c r="J36" i="3"/>
  <c r="J12" i="3"/>
  <c r="J26" i="3"/>
  <c r="J45" i="3"/>
  <c r="J13" i="3"/>
  <c r="J27" i="3"/>
  <c r="J43" i="3"/>
  <c r="J59" i="3"/>
  <c r="J60" i="3"/>
  <c r="J58" i="3"/>
  <c r="J61" i="3"/>
  <c r="J10" i="3"/>
  <c r="J28" i="3"/>
  <c r="J29" i="3"/>
  <c r="J42" i="3"/>
  <c r="J11" i="3"/>
  <c r="J44" i="3"/>
  <c r="J31" i="13" l="1"/>
  <c r="J6" i="13"/>
  <c r="J20" i="13"/>
  <c r="J52" i="9"/>
  <c r="J95" i="9"/>
  <c r="J96" i="9"/>
  <c r="J97" i="9"/>
  <c r="J98" i="9"/>
  <c r="J99" i="9"/>
  <c r="J94" i="9"/>
  <c r="J100" i="9"/>
  <c r="J21" i="9"/>
  <c r="J50" i="9"/>
  <c r="J26" i="9"/>
  <c r="J37" i="9"/>
  <c r="J10" i="9"/>
  <c r="J89" i="9"/>
  <c r="J18" i="9"/>
  <c r="J15" i="9"/>
  <c r="J44" i="9"/>
  <c r="J91" i="9"/>
  <c r="J83" i="9"/>
  <c r="J80" i="9"/>
  <c r="J28" i="9"/>
  <c r="J75" i="9"/>
  <c r="J88" i="9"/>
  <c r="J62" i="9"/>
  <c r="J12" i="9"/>
  <c r="J73" i="9"/>
  <c r="J69" i="9"/>
  <c r="J56" i="9"/>
  <c r="J6" i="9"/>
  <c r="J53" i="9"/>
  <c r="J24" i="9"/>
  <c r="J49" i="9"/>
  <c r="J46" i="9"/>
  <c r="J93" i="9"/>
  <c r="J57" i="9"/>
  <c r="J34" i="9"/>
  <c r="J36" i="9"/>
  <c r="J65" i="9"/>
  <c r="J38" i="9"/>
  <c r="J87" i="9"/>
  <c r="J33" i="9"/>
  <c r="J30" i="9"/>
  <c r="J77" i="9"/>
  <c r="J41" i="9"/>
  <c r="J42" i="9"/>
  <c r="J39" i="9"/>
  <c r="J60" i="9"/>
  <c r="J14" i="9"/>
  <c r="J59" i="9"/>
  <c r="J25" i="9"/>
  <c r="J66" i="9"/>
  <c r="J47" i="9"/>
  <c r="J40" i="9"/>
  <c r="J72" i="9"/>
  <c r="J82" i="9"/>
  <c r="J79" i="9"/>
  <c r="J43" i="9"/>
  <c r="J9" i="9"/>
  <c r="J63" i="9"/>
  <c r="J31" i="9"/>
  <c r="J70" i="9"/>
  <c r="J23" i="9"/>
  <c r="J64" i="9"/>
  <c r="J35" i="9"/>
  <c r="J27" i="9"/>
  <c r="J90" i="9"/>
  <c r="J68" i="9"/>
  <c r="J86" i="9"/>
  <c r="J48" i="9"/>
  <c r="J61" i="9"/>
  <c r="J11" i="9"/>
  <c r="J74" i="9"/>
  <c r="J78" i="9"/>
  <c r="J54" i="9"/>
  <c r="J7" i="9"/>
  <c r="J71" i="9"/>
  <c r="J32" i="9"/>
  <c r="J51" i="9"/>
  <c r="J92" i="9"/>
  <c r="J20" i="9"/>
  <c r="J55" i="9"/>
  <c r="J22" i="9"/>
  <c r="J16" i="9"/>
  <c r="J19" i="9"/>
  <c r="J76" i="9"/>
  <c r="J17" i="9"/>
  <c r="J81" i="9"/>
  <c r="J3" i="9"/>
  <c r="J8" i="9"/>
  <c r="J5" i="9"/>
  <c r="J85" i="9"/>
  <c r="J45" i="9"/>
  <c r="J4" i="9"/>
  <c r="J67" i="9"/>
  <c r="J84" i="9"/>
  <c r="J29" i="9"/>
  <c r="J58" i="9"/>
  <c r="J78" i="8"/>
  <c r="J59" i="8"/>
  <c r="J89" i="8"/>
  <c r="J86" i="8"/>
  <c r="J84" i="8"/>
  <c r="J77" i="8"/>
  <c r="J91" i="8"/>
  <c r="J8" i="8"/>
  <c r="J13" i="8"/>
  <c r="J9" i="8"/>
  <c r="J71" i="8"/>
  <c r="J21" i="8"/>
  <c r="J75" i="8"/>
  <c r="J16" i="8"/>
  <c r="J57" i="8"/>
  <c r="J45" i="8"/>
  <c r="J55" i="8"/>
  <c r="J5" i="8"/>
  <c r="J68" i="8"/>
  <c r="J83" i="8"/>
  <c r="J32" i="8"/>
  <c r="J43" i="8"/>
  <c r="J93" i="8"/>
  <c r="J39" i="8"/>
  <c r="J88" i="8"/>
  <c r="J36" i="8"/>
  <c r="J63" i="8"/>
  <c r="J69" i="8"/>
  <c r="J53" i="8"/>
  <c r="J37" i="8"/>
  <c r="J41" i="8"/>
  <c r="J61" i="8"/>
  <c r="J23" i="8"/>
  <c r="J24" i="8"/>
  <c r="J66" i="8"/>
  <c r="J47" i="8"/>
  <c r="J64" i="8"/>
  <c r="J40" i="8"/>
  <c r="J80" i="8"/>
  <c r="J12" i="8"/>
  <c r="J7" i="8"/>
  <c r="J52" i="8"/>
  <c r="J50" i="8"/>
  <c r="J31" i="8"/>
  <c r="J73" i="8"/>
  <c r="J34" i="8"/>
  <c r="J15" i="8"/>
  <c r="J72" i="8"/>
  <c r="J56" i="8"/>
  <c r="J25" i="8"/>
  <c r="J28" i="8"/>
  <c r="J58" i="8"/>
  <c r="J74" i="8"/>
  <c r="J4" i="8"/>
  <c r="J18" i="8"/>
  <c r="J98" i="8"/>
  <c r="J99" i="8"/>
  <c r="J100" i="8"/>
  <c r="J94" i="8"/>
  <c r="J95" i="8"/>
  <c r="J96" i="8"/>
  <c r="J97" i="8"/>
  <c r="J76" i="8"/>
  <c r="J92" i="8"/>
  <c r="J29" i="8"/>
  <c r="J70" i="8"/>
  <c r="J87" i="8"/>
  <c r="J85" i="8"/>
  <c r="J62" i="8"/>
  <c r="J20" i="8"/>
  <c r="J27" i="8"/>
  <c r="J60" i="8"/>
  <c r="J54" i="8"/>
  <c r="J67" i="8"/>
  <c r="J65" i="8"/>
  <c r="J46" i="8"/>
  <c r="J26" i="8"/>
  <c r="J11" i="8"/>
  <c r="J38" i="8"/>
  <c r="J51" i="8"/>
  <c r="J49" i="8"/>
  <c r="J30" i="8"/>
  <c r="J48" i="8"/>
  <c r="J79" i="8"/>
  <c r="J44" i="8"/>
  <c r="J22" i="8"/>
  <c r="J35" i="8"/>
  <c r="J33" i="8"/>
  <c r="J14" i="8"/>
  <c r="J10" i="8"/>
  <c r="J90" i="8"/>
  <c r="J3" i="8"/>
  <c r="J42" i="8"/>
  <c r="J6" i="8"/>
  <c r="J19" i="8"/>
  <c r="J17" i="8"/>
  <c r="J81" i="8"/>
  <c r="J8" i="7"/>
  <c r="J44" i="7"/>
  <c r="J19" i="7"/>
  <c r="J49" i="7"/>
  <c r="J28" i="7"/>
  <c r="J31" i="7"/>
  <c r="J71" i="7"/>
  <c r="J5" i="7"/>
  <c r="J67" i="7"/>
  <c r="J47" i="7"/>
  <c r="J12" i="7"/>
  <c r="J43" i="7"/>
  <c r="J55" i="7"/>
  <c r="J86" i="7"/>
  <c r="J60" i="7"/>
  <c r="J57" i="7"/>
  <c r="J66" i="7"/>
  <c r="J15" i="7"/>
  <c r="J93" i="7"/>
  <c r="J27" i="7"/>
  <c r="J39" i="7"/>
  <c r="J16" i="7"/>
  <c r="J80" i="7"/>
  <c r="J77" i="7"/>
  <c r="J92" i="7"/>
  <c r="J23" i="7"/>
  <c r="J34" i="7"/>
  <c r="J64" i="7"/>
  <c r="J62" i="7"/>
  <c r="J63" i="7"/>
  <c r="J73" i="7"/>
  <c r="J95" i="7"/>
  <c r="J97" i="7"/>
  <c r="J96" i="7"/>
  <c r="J98" i="7"/>
  <c r="J100" i="7"/>
  <c r="J94" i="7"/>
  <c r="J99" i="7"/>
  <c r="J20" i="7"/>
  <c r="J37" i="7"/>
  <c r="J4" i="7"/>
  <c r="J46" i="7"/>
  <c r="J59" i="7"/>
  <c r="J41" i="7"/>
  <c r="J88" i="7"/>
  <c r="J52" i="7"/>
  <c r="J30" i="7"/>
  <c r="J11" i="7"/>
  <c r="J25" i="7"/>
  <c r="J70" i="7"/>
  <c r="J48" i="7"/>
  <c r="J83" i="7"/>
  <c r="J14" i="7"/>
  <c r="J76" i="7"/>
  <c r="J9" i="7"/>
  <c r="J54" i="7"/>
  <c r="J32" i="7"/>
  <c r="J18" i="7"/>
  <c r="J79" i="7"/>
  <c r="J3" i="7"/>
  <c r="J90" i="7"/>
  <c r="J38" i="7"/>
  <c r="J17" i="7"/>
  <c r="J89" i="7"/>
  <c r="J65" i="7"/>
  <c r="J51" i="7"/>
  <c r="J61" i="7"/>
  <c r="J58" i="7"/>
  <c r="J74" i="7"/>
  <c r="J22" i="7"/>
  <c r="J36" i="7"/>
  <c r="J82" i="7"/>
  <c r="J45" i="7"/>
  <c r="J42" i="7"/>
  <c r="J72" i="7"/>
  <c r="J6" i="7"/>
  <c r="J21" i="7"/>
  <c r="J85" i="7"/>
  <c r="J50" i="7"/>
  <c r="J29" i="7"/>
  <c r="J26" i="7"/>
  <c r="J56" i="7"/>
  <c r="J87" i="7"/>
  <c r="J75" i="7"/>
  <c r="J68" i="7"/>
  <c r="J33" i="7"/>
  <c r="J35" i="7"/>
  <c r="J13" i="7"/>
  <c r="J10" i="7"/>
  <c r="J40" i="7"/>
  <c r="J69" i="7"/>
  <c r="J99" i="6"/>
  <c r="J98" i="6"/>
  <c r="J100" i="6"/>
  <c r="J97" i="6"/>
</calcChain>
</file>

<file path=xl/sharedStrings.xml><?xml version="1.0" encoding="utf-8"?>
<sst xmlns="http://schemas.openxmlformats.org/spreadsheetml/2006/main" count="123" uniqueCount="12">
  <si>
    <t>Kd</t>
  </si>
  <si>
    <t>m</t>
  </si>
  <si>
    <t>CT</t>
  </si>
  <si>
    <t>Calc'd N</t>
  </si>
  <si>
    <t>Exp N</t>
  </si>
  <si>
    <r>
      <t>Calculated CT (mg</t>
    </r>
    <r>
      <rPr>
        <b/>
        <sz val="11"/>
        <color theme="1"/>
        <rFont val="Calibri"/>
        <family val="2"/>
      </rPr>
      <t>·</t>
    </r>
    <r>
      <rPr>
        <b/>
        <sz val="11"/>
        <color theme="1"/>
        <rFont val="Calibri"/>
        <family val="2"/>
        <scheme val="minor"/>
      </rPr>
      <t>min/L)</t>
    </r>
  </si>
  <si>
    <t>Calculated N (CFU/100mL)</t>
  </si>
  <si>
    <t>Kp</t>
  </si>
  <si>
    <t>B</t>
  </si>
  <si>
    <t>N0</t>
  </si>
  <si>
    <t>&lt;4</t>
  </si>
  <si>
    <t>&lt;1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</si>
</sst>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1" xfId="0" applyBorder="1"/>
    <xf numFmtId="1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164" fontId="0" fillId="2" borderId="6" xfId="0" applyNumberFormat="1" applyFill="1" applyBorder="1" applyAlignment="1">
      <alignment horizontal="center" vertical="center"/>
    </xf>
    <xf numFmtId="164" fontId="0" fillId="2" borderId="3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164" fontId="0" fillId="2" borderId="7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66" fontId="0" fillId="0" borderId="1" xfId="0" applyNumberFormat="1" applyBorder="1"/>
    <xf numFmtId="1" fontId="0" fillId="0" borderId="0" xfId="0" applyNumberFormat="1" applyAlignment="1">
      <alignment horizontal="center"/>
    </xf>
    <xf numFmtId="165" fontId="0" fillId="2" borderId="6" xfId="0" applyNumberForma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66" fontId="0" fillId="0" borderId="8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PFA </a:t>
            </a:r>
            <a:r>
              <a:rPr lang="en-US" i="1"/>
              <a:t>E. coli</a:t>
            </a:r>
            <a:r>
              <a:rPr lang="en-US"/>
              <a:t> inactivation</a:t>
            </a:r>
          </a:p>
        </c:rich>
      </c:tx>
      <c:layout>
        <c:manualLayout>
          <c:xMode val="edge"/>
          <c:yMode val="edge"/>
          <c:x val="0.2899173866158048"/>
          <c:y val="2.318839874064476E-2"/>
        </c:manualLayout>
      </c:layout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Exp N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'PFA EColi Inactivation'!$C$6:$C$17</c:f>
              <c:numCache>
                <c:formatCode>0.00</c:formatCode>
                <c:ptCount val="12"/>
                <c:pt idx="0">
                  <c:v>0</c:v>
                </c:pt>
                <c:pt idx="1">
                  <c:v>0.68640643631053111</c:v>
                </c:pt>
                <c:pt idx="2">
                  <c:v>1.9930539796808626</c:v>
                </c:pt>
                <c:pt idx="3">
                  <c:v>3.2161926032190369</c:v>
                </c:pt>
                <c:pt idx="4">
                  <c:v>5.9428784807779014</c:v>
                </c:pt>
                <c:pt idx="5">
                  <c:v>13.284620778797283</c:v>
                </c:pt>
                <c:pt idx="6">
                  <c:v>0</c:v>
                </c:pt>
                <c:pt idx="7">
                  <c:v>1.5225667500561915</c:v>
                </c:pt>
                <c:pt idx="8">
                  <c:v>4.4795466455173285</c:v>
                </c:pt>
                <c:pt idx="9">
                  <c:v>7.3227629386573003</c:v>
                </c:pt>
                <c:pt idx="10">
                  <c:v>13.961397972085532</c:v>
                </c:pt>
                <c:pt idx="11">
                  <c:v>34.866676723589912</c:v>
                </c:pt>
              </c:numCache>
            </c:numRef>
          </c:xVal>
          <c:yVal>
            <c:numRef>
              <c:f>'PFA EColi Inactivation'!$B$6:$B$17</c:f>
              <c:numCache>
                <c:formatCode>0</c:formatCode>
                <c:ptCount val="12"/>
                <c:pt idx="0">
                  <c:v>1450</c:v>
                </c:pt>
                <c:pt idx="1">
                  <c:v>920</c:v>
                </c:pt>
                <c:pt idx="2">
                  <c:v>40</c:v>
                </c:pt>
                <c:pt idx="3">
                  <c:v>24</c:v>
                </c:pt>
                <c:pt idx="4">
                  <c:v>5</c:v>
                </c:pt>
                <c:pt idx="5">
                  <c:v>5</c:v>
                </c:pt>
                <c:pt idx="6">
                  <c:v>1350</c:v>
                </c:pt>
                <c:pt idx="7">
                  <c:v>20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F8-4B4C-8BD1-6AF7DBC37242}"/>
            </c:ext>
          </c:extLst>
        </c:ser>
        <c:ser>
          <c:idx val="1"/>
          <c:order val="1"/>
          <c:spPr>
            <a:ln w="9525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'PFA EColi Inactivation'!$I$3:$I$38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</c:numCache>
            </c:numRef>
          </c:xVal>
          <c:yVal>
            <c:numRef>
              <c:f>'PFA EColi Inactivation'!$J$3:$J$38</c:f>
              <c:numCache>
                <c:formatCode>0.0</c:formatCode>
                <c:ptCount val="36"/>
                <c:pt idx="0">
                  <c:v>1400</c:v>
                </c:pt>
                <c:pt idx="1">
                  <c:v>130.73470868013089</c:v>
                </c:pt>
                <c:pt idx="2">
                  <c:v>22.515094165081859</c:v>
                </c:pt>
                <c:pt idx="3">
                  <c:v>19.358681660358027</c:v>
                </c:pt>
                <c:pt idx="4">
                  <c:v>16.64476963228902</c:v>
                </c:pt>
                <c:pt idx="5">
                  <c:v>14.311323517411823</c:v>
                </c:pt>
                <c:pt idx="6">
                  <c:v>12.305005436825518</c:v>
                </c:pt>
                <c:pt idx="7">
                  <c:v>10.57995499969582</c:v>
                </c:pt>
                <c:pt idx="8">
                  <c:v>9.0967410270780018</c:v>
                </c:pt>
                <c:pt idx="9">
                  <c:v>7.8214602345759756</c:v>
                </c:pt>
                <c:pt idx="10">
                  <c:v>6.7249622715382094</c:v>
                </c:pt>
                <c:pt idx="11">
                  <c:v>5.7821834027471875</c:v>
                </c:pt>
                <c:pt idx="12">
                  <c:v>4.9715736019077665</c:v>
                </c:pt>
                <c:pt idx="13">
                  <c:v>4.2746039614452611</c:v>
                </c:pt>
                <c:pt idx="14">
                  <c:v>3.6753431589933259</c:v>
                </c:pt>
                <c:pt idx="15">
                  <c:v>3.1600932994484658</c:v>
                </c:pt>
                <c:pt idx="16">
                  <c:v>2.717076808673915</c:v>
                </c:pt>
                <c:pt idx="17">
                  <c:v>2.336167221873513</c:v>
                </c:pt>
                <c:pt idx="18">
                  <c:v>2.0086577129999719</c:v>
                </c:pt>
                <c:pt idx="19">
                  <c:v>1.7270620742459548</c:v>
                </c:pt>
                <c:pt idx="20">
                  <c:v>1.4849435964099376</c:v>
                </c:pt>
                <c:pt idx="21">
                  <c:v>1.2767679386866393</c:v>
                </c:pt>
                <c:pt idx="22">
                  <c:v>1.0977766247817202</c:v>
                </c:pt>
                <c:pt idx="23">
                  <c:v>0.94387827372670274</c:v>
                </c:pt>
                <c:pt idx="24">
                  <c:v>0.81155507914959157</c:v>
                </c:pt>
                <c:pt idx="25">
                  <c:v>0.69778239930565666</c:v>
                </c:pt>
                <c:pt idx="26">
                  <c:v>0.59995961985841972</c:v>
                </c:pt>
                <c:pt idx="27">
                  <c:v>0.51585070907325437</c:v>
                </c:pt>
                <c:pt idx="28">
                  <c:v>0.44353310663503442</c:v>
                </c:pt>
                <c:pt idx="29">
                  <c:v>0.38135377779114182</c:v>
                </c:pt>
                <c:pt idx="30">
                  <c:v>0.32789142830603774</c:v>
                </c:pt>
                <c:pt idx="31">
                  <c:v>0.2819240165373571</c:v>
                </c:pt>
                <c:pt idx="32">
                  <c:v>0.24240082002501212</c:v>
                </c:pt>
                <c:pt idx="33">
                  <c:v>0.20841841809178541</c:v>
                </c:pt>
                <c:pt idx="34">
                  <c:v>0.17920004146603172</c:v>
                </c:pt>
                <c:pt idx="35">
                  <c:v>0.15407781690044969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8F8-4B4C-8BD1-6AF7DBC37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401088"/>
        <c:axId val="287403008"/>
      </c:scatterChart>
      <c:valAx>
        <c:axId val="287401088"/>
        <c:scaling>
          <c:orientation val="minMax"/>
          <c:max val="4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400"/>
                </a:pPr>
                <a:r>
                  <a:rPr lang="en-US" sz="1400"/>
                  <a:t>PFA</a:t>
                </a:r>
                <a:r>
                  <a:rPr lang="en-US" sz="1400" baseline="0"/>
                  <a:t> ICT (mg</a:t>
                </a:r>
                <a:r>
                  <a:rPr lang="en-US" sz="1400" baseline="0">
                    <a:latin typeface="Calibri"/>
                  </a:rPr>
                  <a:t>·min/L)</a:t>
                </a:r>
                <a:endParaRPr lang="en-US" sz="1400"/>
              </a:p>
            </c:rich>
          </c:tx>
          <c:overlay val="0"/>
        </c:title>
        <c:numFmt formatCode="#,##0" sourceLinked="0"/>
        <c:majorTickMark val="out"/>
        <c:minorTickMark val="out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287403008"/>
        <c:crosses val="autoZero"/>
        <c:crossBetween val="midCat"/>
        <c:majorUnit val="5"/>
        <c:minorUnit val="1"/>
      </c:valAx>
      <c:valAx>
        <c:axId val="287403008"/>
        <c:scaling>
          <c:logBase val="10"/>
          <c:orientation val="minMax"/>
          <c:max val="100000"/>
          <c:min val="1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400"/>
                </a:pPr>
                <a:r>
                  <a:rPr lang="en-US" sz="1400"/>
                  <a:t>Viable</a:t>
                </a:r>
                <a:r>
                  <a:rPr lang="en-US" sz="1400" baseline="0"/>
                  <a:t> Microbes (CFU/100 mL)</a:t>
                </a:r>
                <a:endParaRPr lang="en-US" sz="1400"/>
              </a:p>
            </c:rich>
          </c:tx>
          <c:overlay val="0"/>
        </c:title>
        <c:numFmt formatCode="0" sourceLinked="1"/>
        <c:majorTickMark val="out"/>
        <c:minorTickMark val="out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287401088"/>
        <c:crosses val="autoZero"/>
        <c:crossBetween val="midCat"/>
        <c:majorUnit val="10"/>
        <c:minorUnit val="10"/>
      </c:valAx>
      <c:spPr>
        <a:ln>
          <a:solidFill>
            <a:schemeClr val="tx1"/>
          </a:solidFill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PFA Fecal coliforms inactivation</a:t>
            </a:r>
          </a:p>
        </c:rich>
      </c:tx>
      <c:layout>
        <c:manualLayout>
          <c:xMode val="edge"/>
          <c:yMode val="edge"/>
          <c:x val="0.22211516604609818"/>
          <c:y val="1.9323665617203965E-2"/>
        </c:manualLayout>
      </c:layout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Exp N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'PFA Fecal Coli Inactivation'!$C$6:$C$18</c:f>
              <c:numCache>
                <c:formatCode>0.00</c:formatCode>
                <c:ptCount val="13"/>
                <c:pt idx="0">
                  <c:v>0</c:v>
                </c:pt>
                <c:pt idx="1">
                  <c:v>0.68640643631053111</c:v>
                </c:pt>
                <c:pt idx="2">
                  <c:v>1.9930539796808626</c:v>
                </c:pt>
                <c:pt idx="3">
                  <c:v>3.2161926032190369</c:v>
                </c:pt>
                <c:pt idx="4">
                  <c:v>5.9428784807779014</c:v>
                </c:pt>
                <c:pt idx="5">
                  <c:v>13.284620778797283</c:v>
                </c:pt>
                <c:pt idx="6">
                  <c:v>0</c:v>
                </c:pt>
                <c:pt idx="7">
                  <c:v>1.5225667500561915</c:v>
                </c:pt>
                <c:pt idx="8">
                  <c:v>4.4795466455173285</c:v>
                </c:pt>
                <c:pt idx="9">
                  <c:v>7.3227629386573003</c:v>
                </c:pt>
                <c:pt idx="10">
                  <c:v>13.961397972085532</c:v>
                </c:pt>
                <c:pt idx="11">
                  <c:v>34.866676723589912</c:v>
                </c:pt>
              </c:numCache>
            </c:numRef>
          </c:xVal>
          <c:yVal>
            <c:numRef>
              <c:f>'PFA Fecal Coli Inactivation'!$B$6:$B$19</c:f>
              <c:numCache>
                <c:formatCode>0</c:formatCode>
                <c:ptCount val="14"/>
                <c:pt idx="0">
                  <c:v>5600</c:v>
                </c:pt>
                <c:pt idx="1">
                  <c:v>3900</c:v>
                </c:pt>
                <c:pt idx="2">
                  <c:v>500</c:v>
                </c:pt>
                <c:pt idx="3">
                  <c:v>58</c:v>
                </c:pt>
                <c:pt idx="4">
                  <c:v>24</c:v>
                </c:pt>
                <c:pt idx="5">
                  <c:v>8</c:v>
                </c:pt>
                <c:pt idx="6">
                  <c:v>5100</c:v>
                </c:pt>
                <c:pt idx="7">
                  <c:v>540</c:v>
                </c:pt>
                <c:pt idx="8">
                  <c:v>12</c:v>
                </c:pt>
                <c:pt idx="9">
                  <c:v>6</c:v>
                </c:pt>
                <c:pt idx="10">
                  <c:v>12</c:v>
                </c:pt>
                <c:pt idx="1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4D-479F-AF11-809AB4A778D6}"/>
            </c:ext>
          </c:extLst>
        </c:ser>
        <c:ser>
          <c:idx val="1"/>
          <c:order val="1"/>
          <c:spPr>
            <a:ln w="9525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'PFA Fecal Coli Inactivation'!$I$3:$I$38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</c:numCache>
            </c:numRef>
          </c:xVal>
          <c:yVal>
            <c:numRef>
              <c:f>'PFA Fecal Coli Inactivation'!$J$3:$J$38</c:f>
              <c:numCache>
                <c:formatCode>0.0</c:formatCode>
                <c:ptCount val="36"/>
                <c:pt idx="0">
                  <c:v>5350</c:v>
                </c:pt>
                <c:pt idx="1">
                  <c:v>1855.1190512587714</c:v>
                </c:pt>
                <c:pt idx="2">
                  <c:v>401.71028302785885</c:v>
                </c:pt>
                <c:pt idx="3">
                  <c:v>75.111006914572044</c:v>
                </c:pt>
                <c:pt idx="4">
                  <c:v>19.937891751548968</c:v>
                </c:pt>
                <c:pt idx="5">
                  <c:v>12.236870965256331</c:v>
                </c:pt>
                <c:pt idx="6">
                  <c:v>11.214466427708146</c:v>
                </c:pt>
                <c:pt idx="7">
                  <c:v>10.985864215699753</c:v>
                </c:pt>
                <c:pt idx="8">
                  <c:v>10.840507137209464</c:v>
                </c:pt>
                <c:pt idx="9">
                  <c:v>10.704282246064128</c:v>
                </c:pt>
                <c:pt idx="10">
                  <c:v>10.570357574281882</c:v>
                </c:pt>
                <c:pt idx="11">
                  <c:v>10.43815194052207</c:v>
                </c:pt>
                <c:pt idx="12">
                  <c:v>10.307602761835826</c:v>
                </c:pt>
                <c:pt idx="13">
                  <c:v>10.17868653374436</c:v>
                </c:pt>
                <c:pt idx="14">
                  <c:v>10.051382659346801</c:v>
                </c:pt>
                <c:pt idx="15">
                  <c:v>9.9256709630796518</c:v>
                </c:pt>
                <c:pt idx="16">
                  <c:v>9.8015315311856561</c:v>
                </c:pt>
                <c:pt idx="17">
                  <c:v>9.6789446994756734</c:v>
                </c:pt>
                <c:pt idx="18">
                  <c:v>9.5578910497241889</c:v>
                </c:pt>
                <c:pt idx="19">
                  <c:v>9.4383514065687919</c:v>
                </c:pt>
                <c:pt idx="20">
                  <c:v>9.3203068344715785</c:v>
                </c:pt>
                <c:pt idx="21">
                  <c:v>9.2037386347196364</c:v>
                </c:pt>
                <c:pt idx="22">
                  <c:v>9.0886283424630943</c:v>
                </c:pt>
                <c:pt idx="23">
                  <c:v>8.9749577237902223</c:v>
                </c:pt>
                <c:pt idx="24">
                  <c:v>8.862708772839099</c:v>
                </c:pt>
                <c:pt idx="25">
                  <c:v>8.7518637089454305</c:v>
                </c:pt>
                <c:pt idx="26">
                  <c:v>8.6424049738260145</c:v>
                </c:pt>
                <c:pt idx="27">
                  <c:v>8.5343152287974391</c:v>
                </c:pt>
                <c:pt idx="28">
                  <c:v>8.4275773520295747</c:v>
                </c:pt>
                <c:pt idx="29">
                  <c:v>8.3221744358334124</c:v>
                </c:pt>
                <c:pt idx="30">
                  <c:v>8.2180897839828138</c:v>
                </c:pt>
                <c:pt idx="31">
                  <c:v>8.1153069090697691</c:v>
                </c:pt>
                <c:pt idx="32">
                  <c:v>8.0138095298927254</c:v>
                </c:pt>
                <c:pt idx="33">
                  <c:v>7.9135815688775857</c:v>
                </c:pt>
                <c:pt idx="34">
                  <c:v>7.8146071495309615</c:v>
                </c:pt>
                <c:pt idx="35">
                  <c:v>7.7168705939252655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24D-479F-AF11-809AB4A778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442624"/>
        <c:axId val="286444544"/>
      </c:scatterChart>
      <c:valAx>
        <c:axId val="286442624"/>
        <c:scaling>
          <c:orientation val="minMax"/>
          <c:max val="4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400"/>
                </a:pPr>
                <a:r>
                  <a:rPr lang="en-US" sz="1400"/>
                  <a:t>PFA</a:t>
                </a:r>
                <a:r>
                  <a:rPr lang="en-US" sz="1400" baseline="0"/>
                  <a:t> ICT (mg</a:t>
                </a:r>
                <a:r>
                  <a:rPr lang="en-US" sz="1400" baseline="0">
                    <a:latin typeface="Calibri"/>
                  </a:rPr>
                  <a:t>·min/L)</a:t>
                </a:r>
                <a:endParaRPr lang="en-US" sz="1400"/>
              </a:p>
            </c:rich>
          </c:tx>
          <c:overlay val="0"/>
        </c:title>
        <c:numFmt formatCode="#,##0" sourceLinked="0"/>
        <c:majorTickMark val="out"/>
        <c:minorTickMark val="out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286444544"/>
        <c:crosses val="autoZero"/>
        <c:crossBetween val="midCat"/>
        <c:majorUnit val="5"/>
        <c:minorUnit val="1"/>
      </c:valAx>
      <c:valAx>
        <c:axId val="286444544"/>
        <c:scaling>
          <c:logBase val="10"/>
          <c:orientation val="minMax"/>
          <c:max val="100000"/>
          <c:min val="1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400"/>
                </a:pPr>
                <a:r>
                  <a:rPr lang="en-US" sz="1400"/>
                  <a:t>Viable</a:t>
                </a:r>
                <a:r>
                  <a:rPr lang="en-US" sz="1400" baseline="0"/>
                  <a:t> Microbes (CFU/100 mL)</a:t>
                </a:r>
                <a:endParaRPr lang="en-US" sz="1400"/>
              </a:p>
            </c:rich>
          </c:tx>
          <c:layout>
            <c:manualLayout>
              <c:xMode val="edge"/>
              <c:yMode val="edge"/>
              <c:x val="2.7785015737914229E-2"/>
              <c:y val="0.13943013749320629"/>
            </c:manualLayout>
          </c:layout>
          <c:overlay val="0"/>
        </c:title>
        <c:numFmt formatCode="0" sourceLinked="1"/>
        <c:majorTickMark val="out"/>
        <c:minorTickMark val="out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286442624"/>
        <c:crosses val="autoZero"/>
        <c:crossBetween val="midCat"/>
        <c:majorUnit val="10"/>
        <c:minorUnit val="10"/>
      </c:valAx>
      <c:spPr>
        <a:ln>
          <a:solidFill>
            <a:schemeClr val="tx1"/>
          </a:solidFill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PFA</a:t>
            </a:r>
            <a:r>
              <a:rPr lang="en-US" baseline="0"/>
              <a:t> Total coliforms i</a:t>
            </a:r>
            <a:r>
              <a:rPr lang="en-US"/>
              <a:t>nactivation</a:t>
            </a:r>
          </a:p>
        </c:rich>
      </c:tx>
      <c:layout>
        <c:manualLayout>
          <c:xMode val="edge"/>
          <c:yMode val="edge"/>
          <c:x val="0.24723758910630483"/>
          <c:y val="1.9184703081526623E-2"/>
        </c:manualLayout>
      </c:layout>
      <c:overlay val="0"/>
    </c:title>
    <c:autoTitleDeleted val="0"/>
    <c:plotArea>
      <c:layout/>
      <c:scatterChart>
        <c:scatterStyle val="smoothMarker"/>
        <c:varyColors val="0"/>
        <c:ser>
          <c:idx val="1"/>
          <c:order val="1"/>
          <c:spPr>
            <a:ln w="9525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'PFA Total Coli Inactivation'!$I$3:$I$38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</c:numCache>
            </c:numRef>
          </c:xVal>
          <c:yVal>
            <c:numRef>
              <c:f>'PFA Total Coli Inactivation'!$J$3:$J$38</c:f>
              <c:numCache>
                <c:formatCode>0.0</c:formatCode>
                <c:ptCount val="36"/>
                <c:pt idx="0">
                  <c:v>99000</c:v>
                </c:pt>
                <c:pt idx="1">
                  <c:v>31917.219964083077</c:v>
                </c:pt>
                <c:pt idx="2">
                  <c:v>8435.1750863819598</c:v>
                </c:pt>
                <c:pt idx="3">
                  <c:v>2265.0632723624876</c:v>
                </c:pt>
                <c:pt idx="4">
                  <c:v>811.60739838711163</c:v>
                </c:pt>
                <c:pt idx="5">
                  <c:v>486.50527794832806</c:v>
                </c:pt>
                <c:pt idx="6">
                  <c:v>410.08941894810988</c:v>
                </c:pt>
                <c:pt idx="7">
                  <c:v>385.44836985103103</c:v>
                </c:pt>
                <c:pt idx="8">
                  <c:v>371.30604096160721</c:v>
                </c:pt>
                <c:pt idx="9">
                  <c:v>359.44122371879894</c:v>
                </c:pt>
                <c:pt idx="10">
                  <c:v>348.27834887543747</c:v>
                </c:pt>
                <c:pt idx="11">
                  <c:v>337.51927790698016</c:v>
                </c:pt>
                <c:pt idx="12">
                  <c:v>327.10239580799782</c:v>
                </c:pt>
                <c:pt idx="13">
                  <c:v>317.00865483915334</c:v>
                </c:pt>
                <c:pt idx="14">
                  <c:v>307.22665590284049</c:v>
                </c:pt>
                <c:pt idx="15">
                  <c:v>297.74654507906507</c:v>
                </c:pt>
                <c:pt idx="16">
                  <c:v>288.55896933523042</c:v>
                </c:pt>
                <c:pt idx="17">
                  <c:v>279.65489598154045</c:v>
                </c:pt>
                <c:pt idx="18">
                  <c:v>271.02557606127891</c:v>
                </c:pt>
                <c:pt idx="19">
                  <c:v>262.66253136050682</c:v>
                </c:pt>
                <c:pt idx="20">
                  <c:v>254.55754539577063</c:v>
                </c:pt>
                <c:pt idx="21">
                  <c:v>246.70265523753341</c:v>
                </c:pt>
                <c:pt idx="22">
                  <c:v>239.09014367121654</c:v>
                </c:pt>
                <c:pt idx="23">
                  <c:v>231.71253161294888</c:v>
                </c:pt>
                <c:pt idx="24">
                  <c:v>224.56257076123811</c:v>
                </c:pt>
                <c:pt idx="25">
                  <c:v>217.63323647566594</c:v>
                </c:pt>
                <c:pt idx="26">
                  <c:v>210.91772087536461</c:v>
                </c:pt>
                <c:pt idx="27">
                  <c:v>204.40942615045995</c:v>
                </c:pt>
                <c:pt idx="28">
                  <c:v>198.10195807990382</c:v>
                </c:pt>
                <c:pt idx="29">
                  <c:v>191.9891197493275</c:v>
                </c:pt>
                <c:pt idx="30">
                  <c:v>186.06490546274316</c:v>
                </c:pt>
                <c:pt idx="31">
                  <c:v>180.32349484211238</c:v>
                </c:pt>
                <c:pt idx="32">
                  <c:v>174.75924710898425</c:v>
                </c:pt>
                <c:pt idx="33">
                  <c:v>169.36669554258543</c:v>
                </c:pt>
                <c:pt idx="34">
                  <c:v>164.14054210891678</c:v>
                </c:pt>
                <c:pt idx="35">
                  <c:v>159.07565225558045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7B1-4939-BD5D-85C8AC6AED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507776"/>
        <c:axId val="286510080"/>
      </c:scatterChart>
      <c:scatterChart>
        <c:scatterStyle val="lineMarker"/>
        <c:varyColors val="0"/>
        <c:ser>
          <c:idx val="0"/>
          <c:order val="0"/>
          <c:tx>
            <c:v>Exp N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'PFA Total Coli Inactivation'!$C$6:$C$18</c:f>
              <c:numCache>
                <c:formatCode>0.00</c:formatCode>
                <c:ptCount val="13"/>
                <c:pt idx="0">
                  <c:v>0</c:v>
                </c:pt>
                <c:pt idx="1">
                  <c:v>0.68640643631053111</c:v>
                </c:pt>
                <c:pt idx="2">
                  <c:v>1.9930539796808626</c:v>
                </c:pt>
                <c:pt idx="3">
                  <c:v>3.2161926032190369</c:v>
                </c:pt>
                <c:pt idx="4">
                  <c:v>5.9428784807779014</c:v>
                </c:pt>
                <c:pt idx="5">
                  <c:v>13.284620778797283</c:v>
                </c:pt>
                <c:pt idx="6">
                  <c:v>0</c:v>
                </c:pt>
                <c:pt idx="7">
                  <c:v>1.5225667500561915</c:v>
                </c:pt>
                <c:pt idx="8">
                  <c:v>4.4795466455173285</c:v>
                </c:pt>
                <c:pt idx="9">
                  <c:v>7.3227629386573003</c:v>
                </c:pt>
                <c:pt idx="10">
                  <c:v>13.961397972085532</c:v>
                </c:pt>
                <c:pt idx="11">
                  <c:v>34.866676723589912</c:v>
                </c:pt>
              </c:numCache>
            </c:numRef>
          </c:xVal>
          <c:yVal>
            <c:numRef>
              <c:f>'PFA Total Coli Inactivation'!$B$6:$B$19</c:f>
              <c:numCache>
                <c:formatCode>0</c:formatCode>
                <c:ptCount val="14"/>
                <c:pt idx="0">
                  <c:v>100000</c:v>
                </c:pt>
                <c:pt idx="1">
                  <c:v>66000</c:v>
                </c:pt>
                <c:pt idx="2">
                  <c:v>12400</c:v>
                </c:pt>
                <c:pt idx="3">
                  <c:v>1275</c:v>
                </c:pt>
                <c:pt idx="4">
                  <c:v>440</c:v>
                </c:pt>
                <c:pt idx="5">
                  <c:v>370</c:v>
                </c:pt>
                <c:pt idx="6">
                  <c:v>98000</c:v>
                </c:pt>
                <c:pt idx="7">
                  <c:v>10400</c:v>
                </c:pt>
                <c:pt idx="8">
                  <c:v>840</c:v>
                </c:pt>
                <c:pt idx="9">
                  <c:v>305</c:v>
                </c:pt>
                <c:pt idx="10">
                  <c:v>250</c:v>
                </c:pt>
                <c:pt idx="11">
                  <c:v>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7B1-4939-BD5D-85C8AC6AED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507776"/>
        <c:axId val="286510080"/>
      </c:scatterChart>
      <c:valAx>
        <c:axId val="286507776"/>
        <c:scaling>
          <c:orientation val="minMax"/>
          <c:max val="4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400"/>
                </a:pPr>
                <a:r>
                  <a:rPr lang="en-US" sz="1400"/>
                  <a:t>PFA</a:t>
                </a:r>
                <a:r>
                  <a:rPr lang="en-US" sz="1400" baseline="0"/>
                  <a:t> ICT (mg</a:t>
                </a:r>
                <a:r>
                  <a:rPr lang="en-US" sz="1400" baseline="0">
                    <a:latin typeface="Calibri"/>
                  </a:rPr>
                  <a:t>·min/L)</a:t>
                </a:r>
                <a:endParaRPr lang="en-US" sz="1400"/>
              </a:p>
            </c:rich>
          </c:tx>
          <c:overlay val="0"/>
        </c:title>
        <c:numFmt formatCode="#,##0" sourceLinked="0"/>
        <c:majorTickMark val="out"/>
        <c:minorTickMark val="out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286510080"/>
        <c:crossesAt val="1"/>
        <c:crossBetween val="midCat"/>
        <c:majorUnit val="5"/>
        <c:minorUnit val="1"/>
      </c:valAx>
      <c:valAx>
        <c:axId val="286510080"/>
        <c:scaling>
          <c:logBase val="10"/>
          <c:orientation val="minMax"/>
          <c:max val="100000"/>
          <c:min val="1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400"/>
                </a:pPr>
                <a:r>
                  <a:rPr lang="en-US" sz="1400"/>
                  <a:t>Viable</a:t>
                </a:r>
                <a:r>
                  <a:rPr lang="en-US" sz="1400" baseline="0"/>
                  <a:t> Microbes (CFU/100 mL)</a:t>
                </a:r>
                <a:endParaRPr lang="en-US" sz="1400"/>
              </a:p>
            </c:rich>
          </c:tx>
          <c:overlay val="0"/>
        </c:title>
        <c:numFmt formatCode="0" sourceLinked="0"/>
        <c:majorTickMark val="out"/>
        <c:minorTickMark val="out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286507776"/>
        <c:crosses val="autoZero"/>
        <c:crossBetween val="midCat"/>
        <c:majorUnit val="10"/>
        <c:minorUnit val="10"/>
      </c:valAx>
      <c:spPr>
        <a:ln>
          <a:solidFill>
            <a:schemeClr val="tx1"/>
          </a:solidFill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PFA Enterococci </a:t>
            </a:r>
            <a:r>
              <a:rPr lang="en-US" baseline="0"/>
              <a:t>i</a:t>
            </a:r>
            <a:r>
              <a:rPr lang="en-US"/>
              <a:t>nactivation</a:t>
            </a:r>
          </a:p>
        </c:rich>
      </c:tx>
      <c:layout>
        <c:manualLayout>
          <c:xMode val="edge"/>
          <c:yMode val="edge"/>
          <c:x val="0.23077709000748009"/>
          <c:y val="2.318839874064476E-2"/>
        </c:manualLayout>
      </c:layout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Exp N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'PFA Enterococci Inactivation'!$C$6:$C$18</c:f>
              <c:numCache>
                <c:formatCode>0.00</c:formatCode>
                <c:ptCount val="13"/>
                <c:pt idx="0">
                  <c:v>0</c:v>
                </c:pt>
                <c:pt idx="1">
                  <c:v>0.68640643631053111</c:v>
                </c:pt>
                <c:pt idx="2">
                  <c:v>1.9930539796808626</c:v>
                </c:pt>
                <c:pt idx="3">
                  <c:v>3.2161926032190369</c:v>
                </c:pt>
                <c:pt idx="4">
                  <c:v>5.9428784807779014</c:v>
                </c:pt>
                <c:pt idx="5">
                  <c:v>13.284620778797283</c:v>
                </c:pt>
                <c:pt idx="6">
                  <c:v>0</c:v>
                </c:pt>
                <c:pt idx="7">
                  <c:v>1.5225667500561915</c:v>
                </c:pt>
                <c:pt idx="8">
                  <c:v>4.4795466455173285</c:v>
                </c:pt>
                <c:pt idx="9">
                  <c:v>7.3227629386573003</c:v>
                </c:pt>
                <c:pt idx="10">
                  <c:v>13.961397972085532</c:v>
                </c:pt>
                <c:pt idx="11">
                  <c:v>34.866676723589912</c:v>
                </c:pt>
              </c:numCache>
            </c:numRef>
          </c:xVal>
          <c:yVal>
            <c:numRef>
              <c:f>'PFA Enterococci Inactivation'!$B$6:$B$19</c:f>
              <c:numCache>
                <c:formatCode>0</c:formatCode>
                <c:ptCount val="14"/>
                <c:pt idx="0">
                  <c:v>775</c:v>
                </c:pt>
                <c:pt idx="1">
                  <c:v>620</c:v>
                </c:pt>
                <c:pt idx="2">
                  <c:v>260</c:v>
                </c:pt>
                <c:pt idx="3">
                  <c:v>158</c:v>
                </c:pt>
                <c:pt idx="4">
                  <c:v>33</c:v>
                </c:pt>
                <c:pt idx="5">
                  <c:v>9</c:v>
                </c:pt>
                <c:pt idx="6">
                  <c:v>800</c:v>
                </c:pt>
                <c:pt idx="7">
                  <c:v>250</c:v>
                </c:pt>
                <c:pt idx="8">
                  <c:v>64</c:v>
                </c:pt>
                <c:pt idx="9">
                  <c:v>20</c:v>
                </c:pt>
                <c:pt idx="10">
                  <c:v>1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C5-4DA5-96E7-CEA453C03AF5}"/>
            </c:ext>
          </c:extLst>
        </c:ser>
        <c:ser>
          <c:idx val="1"/>
          <c:order val="1"/>
          <c:spPr>
            <a:ln w="9525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'PFA Enterococci Inactivation'!$I$3:$I$38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</c:numCache>
            </c:numRef>
          </c:xVal>
          <c:yVal>
            <c:numRef>
              <c:f>'PFA Enterococci Inactivation'!$J$3:$J$38</c:f>
              <c:numCache>
                <c:formatCode>0.0</c:formatCode>
                <c:ptCount val="36"/>
                <c:pt idx="0">
                  <c:v>787.5</c:v>
                </c:pt>
                <c:pt idx="1">
                  <c:v>398.32707117807553</c:v>
                </c:pt>
                <c:pt idx="2">
                  <c:v>233.36002731643822</c:v>
                </c:pt>
                <c:pt idx="3">
                  <c:v>143.01969795195754</c:v>
                </c:pt>
                <c:pt idx="4">
                  <c:v>90.145343009531686</c:v>
                </c:pt>
                <c:pt idx="5">
                  <c:v>58.019412022284776</c:v>
                </c:pt>
                <c:pt idx="6">
                  <c:v>38.000432624503254</c:v>
                </c:pt>
                <c:pt idx="7">
                  <c:v>25.289668860964738</c:v>
                </c:pt>
                <c:pt idx="8">
                  <c:v>17.099319597375121</c:v>
                </c:pt>
                <c:pt idx="9">
                  <c:v>11.757790687589258</c:v>
                </c:pt>
                <c:pt idx="10">
                  <c:v>8.2387140694251286</c:v>
                </c:pt>
                <c:pt idx="11">
                  <c:v>5.9000274574731009</c:v>
                </c:pt>
                <c:pt idx="12">
                  <c:v>4.3339329760835783</c:v>
                </c:pt>
                <c:pt idx="13">
                  <c:v>3.2781164193970986</c:v>
                </c:pt>
                <c:pt idx="14">
                  <c:v>2.5620099229535396</c:v>
                </c:pt>
                <c:pt idx="15">
                  <c:v>2.0736576217847897</c:v>
                </c:pt>
                <c:pt idx="16">
                  <c:v>1.7389664231179955</c:v>
                </c:pt>
                <c:pt idx="17">
                  <c:v>1.5085402580491092</c:v>
                </c:pt>
                <c:pt idx="18">
                  <c:v>1.3492305577367567</c:v>
                </c:pt>
                <c:pt idx="19">
                  <c:v>1.2386592132202114</c:v>
                </c:pt>
                <c:pt idx="20">
                  <c:v>1.1616368762330644</c:v>
                </c:pt>
                <c:pt idx="21">
                  <c:v>1.1078021898114354</c:v>
                </c:pt>
                <c:pt idx="22">
                  <c:v>1.0700546774695971</c:v>
                </c:pt>
                <c:pt idx="23">
                  <c:v>1.043507755460652</c:v>
                </c:pt>
                <c:pt idx="24">
                  <c:v>1.0247851165410098</c:v>
                </c:pt>
                <c:pt idx="25">
                  <c:v>1.0115453144446569</c:v>
                </c:pt>
                <c:pt idx="26">
                  <c:v>1.0021589346199187</c:v>
                </c:pt>
                <c:pt idx="27">
                  <c:v>0.99548836437583221</c:v>
                </c:pt>
                <c:pt idx="28">
                  <c:v>0.99073690857607455</c:v>
                </c:pt>
                <c:pt idx="29">
                  <c:v>0.98734500015063953</c:v>
                </c:pt>
                <c:pt idx="30">
                  <c:v>0.9849185371803677</c:v>
                </c:pt>
                <c:pt idx="31">
                  <c:v>0.98317922717578776</c:v>
                </c:pt>
                <c:pt idx="32">
                  <c:v>0.98193006557758133</c:v>
                </c:pt>
                <c:pt idx="33">
                  <c:v>0.98103126022337417</c:v>
                </c:pt>
                <c:pt idx="34">
                  <c:v>0.98038339081333259</c:v>
                </c:pt>
                <c:pt idx="35">
                  <c:v>0.97991559581272114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2C5-4DA5-96E7-CEA453C03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811456"/>
        <c:axId val="287821824"/>
      </c:scatterChart>
      <c:valAx>
        <c:axId val="287811456"/>
        <c:scaling>
          <c:orientation val="minMax"/>
          <c:max val="4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400"/>
                </a:pPr>
                <a:r>
                  <a:rPr lang="en-US" sz="1400"/>
                  <a:t>PFA</a:t>
                </a:r>
                <a:r>
                  <a:rPr lang="en-US" sz="1400" baseline="0"/>
                  <a:t> ICT (mg</a:t>
                </a:r>
                <a:r>
                  <a:rPr lang="en-US" sz="1400" baseline="0">
                    <a:latin typeface="Calibri"/>
                  </a:rPr>
                  <a:t>·min/L)</a:t>
                </a:r>
                <a:endParaRPr lang="en-US" sz="1400"/>
              </a:p>
            </c:rich>
          </c:tx>
          <c:overlay val="0"/>
        </c:title>
        <c:numFmt formatCode="#,##0" sourceLinked="0"/>
        <c:majorTickMark val="out"/>
        <c:minorTickMark val="out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287821824"/>
        <c:crosses val="autoZero"/>
        <c:crossBetween val="midCat"/>
        <c:majorUnit val="5"/>
        <c:minorUnit val="1"/>
      </c:valAx>
      <c:valAx>
        <c:axId val="287821824"/>
        <c:scaling>
          <c:logBase val="10"/>
          <c:orientation val="minMax"/>
          <c:max val="100000"/>
          <c:min val="1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400"/>
                </a:pPr>
                <a:r>
                  <a:rPr lang="en-US" sz="1400"/>
                  <a:t>Viable</a:t>
                </a:r>
                <a:r>
                  <a:rPr lang="en-US" sz="1400" baseline="0"/>
                  <a:t> Microbes (CFU/100 mL)</a:t>
                </a:r>
                <a:endParaRPr lang="en-US" sz="1400"/>
              </a:p>
            </c:rich>
          </c:tx>
          <c:overlay val="0"/>
        </c:title>
        <c:numFmt formatCode="0" sourceLinked="1"/>
        <c:majorTickMark val="out"/>
        <c:minorTickMark val="out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287811456"/>
        <c:crosses val="autoZero"/>
        <c:crossBetween val="midCat"/>
        <c:majorUnit val="10"/>
        <c:minorUnit val="10"/>
      </c:valAx>
      <c:spPr>
        <a:ln>
          <a:solidFill>
            <a:schemeClr val="tx1"/>
          </a:solidFill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PAA </a:t>
            </a:r>
            <a:r>
              <a:rPr lang="en-US" i="1"/>
              <a:t>E. coli</a:t>
            </a:r>
            <a:r>
              <a:rPr lang="en-US"/>
              <a:t> inactivation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Exp N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'PAA EColi Inactivation'!$C$6:$C$17</c:f>
              <c:numCache>
                <c:formatCode>0.00</c:formatCode>
                <c:ptCount val="12"/>
                <c:pt idx="0">
                  <c:v>0</c:v>
                </c:pt>
                <c:pt idx="1">
                  <c:v>1.600395890574754</c:v>
                </c:pt>
                <c:pt idx="2">
                  <c:v>4.7574163386178574</c:v>
                </c:pt>
                <c:pt idx="3">
                  <c:v>7.8569611171972307</c:v>
                </c:pt>
                <c:pt idx="4">
                  <c:v>15.361187102656741</c:v>
                </c:pt>
                <c:pt idx="5">
                  <c:v>42.156983659660334</c:v>
                </c:pt>
                <c:pt idx="6">
                  <c:v>0</c:v>
                </c:pt>
                <c:pt idx="7">
                  <c:v>3.4447513770601823</c:v>
                </c:pt>
                <c:pt idx="8">
                  <c:v>10.283959567463654</c:v>
                </c:pt>
                <c:pt idx="9">
                  <c:v>17.056652057702326</c:v>
                </c:pt>
                <c:pt idx="10">
                  <c:v>33.701606960554152</c:v>
                </c:pt>
                <c:pt idx="11">
                  <c:v>96.359634861460577</c:v>
                </c:pt>
              </c:numCache>
            </c:numRef>
          </c:xVal>
          <c:yVal>
            <c:numRef>
              <c:f>'PAA EColi Inactivation'!$B$6:$B$17</c:f>
              <c:numCache>
                <c:formatCode>0</c:formatCode>
                <c:ptCount val="12"/>
                <c:pt idx="0">
                  <c:v>1650</c:v>
                </c:pt>
                <c:pt idx="1">
                  <c:v>1400</c:v>
                </c:pt>
                <c:pt idx="2">
                  <c:v>1750</c:v>
                </c:pt>
                <c:pt idx="3">
                  <c:v>1000</c:v>
                </c:pt>
                <c:pt idx="4">
                  <c:v>94</c:v>
                </c:pt>
                <c:pt idx="5">
                  <c:v>1</c:v>
                </c:pt>
                <c:pt idx="6">
                  <c:v>1500</c:v>
                </c:pt>
                <c:pt idx="7">
                  <c:v>2375</c:v>
                </c:pt>
                <c:pt idx="8">
                  <c:v>360</c:v>
                </c:pt>
                <c:pt idx="9">
                  <c:v>20</c:v>
                </c:pt>
                <c:pt idx="10">
                  <c:v>2</c:v>
                </c:pt>
                <c:pt idx="11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9C-4504-B1FD-A8D736E3B13D}"/>
            </c:ext>
          </c:extLst>
        </c:ser>
        <c:ser>
          <c:idx val="1"/>
          <c:order val="1"/>
          <c:spPr>
            <a:ln w="9525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'PAA EColi Inactivation'!$I$3:$I$100</c:f>
              <c:numCache>
                <c:formatCode>General</c:formatCode>
                <c:ptCount val="9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</c:numCache>
            </c:numRef>
          </c:xVal>
          <c:yVal>
            <c:numRef>
              <c:f>'PAA EColi Inactivation'!$J$3:$J$100</c:f>
              <c:numCache>
                <c:formatCode>0.0</c:formatCode>
                <c:ptCount val="98"/>
                <c:pt idx="0">
                  <c:v>1575</c:v>
                </c:pt>
                <c:pt idx="1">
                  <c:v>1572.0059956099476</c:v>
                </c:pt>
                <c:pt idx="2">
                  <c:v>1555.4012691469738</c:v>
                </c:pt>
                <c:pt idx="3">
                  <c:v>1516.7305023398058</c:v>
                </c:pt>
                <c:pt idx="4">
                  <c:v>1450.4231524166566</c:v>
                </c:pt>
                <c:pt idx="5">
                  <c:v>1354.0910171392438</c:v>
                </c:pt>
                <c:pt idx="6">
                  <c:v>1229.0018736424004</c:v>
                </c:pt>
                <c:pt idx="7">
                  <c:v>1080.1840615931653</c:v>
                </c:pt>
                <c:pt idx="8">
                  <c:v>915.9191698345611</c:v>
                </c:pt>
                <c:pt idx="9">
                  <c:v>746.58284296220438</c:v>
                </c:pt>
                <c:pt idx="10">
                  <c:v>583.01194256704787</c:v>
                </c:pt>
                <c:pt idx="11">
                  <c:v>434.7574527343271</c:v>
                </c:pt>
                <c:pt idx="12">
                  <c:v>308.65345047456663</c:v>
                </c:pt>
                <c:pt idx="13">
                  <c:v>208.05205427280467</c:v>
                </c:pt>
                <c:pt idx="14">
                  <c:v>132.86522942064187</c:v>
                </c:pt>
                <c:pt idx="15">
                  <c:v>80.300397598291156</c:v>
                </c:pt>
                <c:pt idx="16">
                  <c:v>45.983394090792991</c:v>
                </c:pt>
                <c:pt idx="17">
                  <c:v>25.102360378264066</c:v>
                </c:pt>
                <c:pt idx="18">
                  <c:v>13.284565209353564</c:v>
                </c:pt>
                <c:pt idx="19">
                  <c:v>7.0767774371134449</c:v>
                </c:pt>
                <c:pt idx="20">
                  <c:v>4.0568301097942392</c:v>
                </c:pt>
                <c:pt idx="21">
                  <c:v>2.6992971145689104</c:v>
                </c:pt>
                <c:pt idx="22">
                  <c:v>2.1366933156314518</c:v>
                </c:pt>
                <c:pt idx="23">
                  <c:v>1.9222266897188558</c:v>
                </c:pt>
                <c:pt idx="24">
                  <c:v>1.8471993832136548</c:v>
                </c:pt>
                <c:pt idx="25">
                  <c:v>1.8231681443678827</c:v>
                </c:pt>
                <c:pt idx="26">
                  <c:v>1.8161370409737023</c:v>
                </c:pt>
                <c:pt idx="27">
                  <c:v>1.8142622410481888</c:v>
                </c:pt>
                <c:pt idx="28">
                  <c:v>1.8138077080011732</c:v>
                </c:pt>
                <c:pt idx="29">
                  <c:v>1.8137077420044303</c:v>
                </c:pt>
                <c:pt idx="30">
                  <c:v>1.8136878437253372</c:v>
                </c:pt>
                <c:pt idx="31">
                  <c:v>1.8136842672226774</c:v>
                </c:pt>
                <c:pt idx="32">
                  <c:v>1.8136836880760301</c:v>
                </c:pt>
                <c:pt idx="33">
                  <c:v>1.8136836037781601</c:v>
                </c:pt>
                <c:pt idx="34">
                  <c:v>1.8136835927739732</c:v>
                </c:pt>
                <c:pt idx="35">
                  <c:v>1.8136835914885916</c:v>
                </c:pt>
                <c:pt idx="36">
                  <c:v>1.8136835913545428</c:v>
                </c:pt>
                <c:pt idx="37">
                  <c:v>1.8136835913420897</c:v>
                </c:pt>
                <c:pt idx="38">
                  <c:v>1.8136835913410614</c:v>
                </c:pt>
                <c:pt idx="39">
                  <c:v>1.8136835913409861</c:v>
                </c:pt>
                <c:pt idx="40">
                  <c:v>1.8136835913409812</c:v>
                </c:pt>
                <c:pt idx="41">
                  <c:v>1.813683591340981</c:v>
                </c:pt>
                <c:pt idx="42">
                  <c:v>1.813683591340981</c:v>
                </c:pt>
                <c:pt idx="43">
                  <c:v>1.813683591340981</c:v>
                </c:pt>
                <c:pt idx="44">
                  <c:v>1.813683591340981</c:v>
                </c:pt>
                <c:pt idx="45">
                  <c:v>1.813683591340981</c:v>
                </c:pt>
                <c:pt idx="46">
                  <c:v>1.813683591340981</c:v>
                </c:pt>
                <c:pt idx="47">
                  <c:v>1.813683591340981</c:v>
                </c:pt>
                <c:pt idx="48">
                  <c:v>1.813683591340981</c:v>
                </c:pt>
                <c:pt idx="49">
                  <c:v>1.813683591340981</c:v>
                </c:pt>
                <c:pt idx="50">
                  <c:v>1.813683591340981</c:v>
                </c:pt>
                <c:pt idx="51">
                  <c:v>1.813683591340981</c:v>
                </c:pt>
                <c:pt idx="52">
                  <c:v>1.813683591340981</c:v>
                </c:pt>
                <c:pt idx="53">
                  <c:v>1.813683591340981</c:v>
                </c:pt>
                <c:pt idx="54">
                  <c:v>1.813683591340981</c:v>
                </c:pt>
                <c:pt idx="55">
                  <c:v>1.813683591340981</c:v>
                </c:pt>
                <c:pt idx="56">
                  <c:v>1.813683591340981</c:v>
                </c:pt>
                <c:pt idx="57">
                  <c:v>1.813683591340981</c:v>
                </c:pt>
                <c:pt idx="58">
                  <c:v>1.813683591340981</c:v>
                </c:pt>
                <c:pt idx="59">
                  <c:v>1.813683591340981</c:v>
                </c:pt>
                <c:pt idx="60">
                  <c:v>1.813683591340981</c:v>
                </c:pt>
                <c:pt idx="61">
                  <c:v>1.813683591340981</c:v>
                </c:pt>
                <c:pt idx="62">
                  <c:v>1.813683591340981</c:v>
                </c:pt>
                <c:pt idx="63">
                  <c:v>1.813683591340981</c:v>
                </c:pt>
                <c:pt idx="64">
                  <c:v>1.813683591340981</c:v>
                </c:pt>
                <c:pt idx="65">
                  <c:v>1.813683591340981</c:v>
                </c:pt>
                <c:pt idx="66">
                  <c:v>1.813683591340981</c:v>
                </c:pt>
                <c:pt idx="67">
                  <c:v>1.813683591340981</c:v>
                </c:pt>
                <c:pt idx="68">
                  <c:v>1.813683591340981</c:v>
                </c:pt>
                <c:pt idx="69">
                  <c:v>1.813683591340981</c:v>
                </c:pt>
                <c:pt idx="70">
                  <c:v>1.813683591340981</c:v>
                </c:pt>
                <c:pt idx="71">
                  <c:v>1.813683591340981</c:v>
                </c:pt>
                <c:pt idx="72">
                  <c:v>1.813683591340981</c:v>
                </c:pt>
                <c:pt idx="73">
                  <c:v>1.813683591340981</c:v>
                </c:pt>
                <c:pt idx="74">
                  <c:v>1.813683591340981</c:v>
                </c:pt>
                <c:pt idx="75">
                  <c:v>1.813683591340981</c:v>
                </c:pt>
                <c:pt idx="76">
                  <c:v>1.813683591340981</c:v>
                </c:pt>
                <c:pt idx="77">
                  <c:v>1.813683591340981</c:v>
                </c:pt>
                <c:pt idx="78">
                  <c:v>1.813683591340981</c:v>
                </c:pt>
                <c:pt idx="79">
                  <c:v>1.813683591340981</c:v>
                </c:pt>
                <c:pt idx="80">
                  <c:v>1.813683591340981</c:v>
                </c:pt>
                <c:pt idx="81">
                  <c:v>1.813683591340981</c:v>
                </c:pt>
                <c:pt idx="82">
                  <c:v>1.813683591340981</c:v>
                </c:pt>
                <c:pt idx="83">
                  <c:v>1.813683591340981</c:v>
                </c:pt>
                <c:pt idx="84">
                  <c:v>1.813683591340981</c:v>
                </c:pt>
                <c:pt idx="85">
                  <c:v>1.813683591340981</c:v>
                </c:pt>
                <c:pt idx="86">
                  <c:v>1.813683591340981</c:v>
                </c:pt>
                <c:pt idx="87">
                  <c:v>1.813683591340981</c:v>
                </c:pt>
                <c:pt idx="88">
                  <c:v>1.813683591340981</c:v>
                </c:pt>
                <c:pt idx="89">
                  <c:v>1.813683591340981</c:v>
                </c:pt>
                <c:pt idx="90">
                  <c:v>1.813683591340981</c:v>
                </c:pt>
                <c:pt idx="91">
                  <c:v>1.813683591340981</c:v>
                </c:pt>
                <c:pt idx="92">
                  <c:v>1.813683591340981</c:v>
                </c:pt>
                <c:pt idx="93">
                  <c:v>1.813683591340981</c:v>
                </c:pt>
                <c:pt idx="94">
                  <c:v>1.813683591340981</c:v>
                </c:pt>
                <c:pt idx="95">
                  <c:v>1.813683591340981</c:v>
                </c:pt>
                <c:pt idx="96">
                  <c:v>1.813683591340981</c:v>
                </c:pt>
                <c:pt idx="97">
                  <c:v>1.813683591340981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B9C-4504-B1FD-A8D736E3B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879552"/>
        <c:axId val="287881472"/>
      </c:scatterChart>
      <c:valAx>
        <c:axId val="287879552"/>
        <c:scaling>
          <c:orientation val="minMax"/>
          <c:max val="10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400"/>
                </a:pPr>
                <a:r>
                  <a:rPr lang="en-US" sz="1400"/>
                  <a:t>PAA</a:t>
                </a:r>
                <a:r>
                  <a:rPr lang="en-US" sz="1400" baseline="0"/>
                  <a:t> ICT (mg</a:t>
                </a:r>
                <a:r>
                  <a:rPr lang="en-US" sz="1400" baseline="0">
                    <a:latin typeface="Calibri"/>
                  </a:rPr>
                  <a:t>·min/L)</a:t>
                </a:r>
                <a:endParaRPr lang="en-US" sz="1400"/>
              </a:p>
            </c:rich>
          </c:tx>
          <c:overlay val="0"/>
        </c:title>
        <c:numFmt formatCode="#,##0" sourceLinked="0"/>
        <c:majorTickMark val="out"/>
        <c:minorTickMark val="out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287881472"/>
        <c:crosses val="autoZero"/>
        <c:crossBetween val="midCat"/>
        <c:majorUnit val="20"/>
        <c:minorUnit val="4"/>
      </c:valAx>
      <c:valAx>
        <c:axId val="287881472"/>
        <c:scaling>
          <c:logBase val="10"/>
          <c:orientation val="minMax"/>
          <c:max val="100000"/>
          <c:min val="1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400"/>
                </a:pPr>
                <a:r>
                  <a:rPr lang="en-US" sz="1400"/>
                  <a:t>Viable</a:t>
                </a:r>
                <a:r>
                  <a:rPr lang="en-US" sz="1400" baseline="0"/>
                  <a:t> Microbes (CFU/100 mL)</a:t>
                </a:r>
                <a:endParaRPr lang="en-US" sz="1400"/>
              </a:p>
            </c:rich>
          </c:tx>
          <c:overlay val="0"/>
        </c:title>
        <c:numFmt formatCode="0" sourceLinked="1"/>
        <c:majorTickMark val="out"/>
        <c:minorTickMark val="out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287879552"/>
        <c:crosses val="autoZero"/>
        <c:crossBetween val="midCat"/>
        <c:majorUnit val="10"/>
        <c:minorUnit val="10"/>
      </c:valAx>
      <c:spPr>
        <a:ln>
          <a:solidFill>
            <a:schemeClr val="tx1"/>
          </a:solidFill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PAA Fecal coliforms inactivation</a:t>
            </a:r>
          </a:p>
        </c:rich>
      </c:tx>
      <c:layout>
        <c:manualLayout>
          <c:xMode val="edge"/>
          <c:yMode val="edge"/>
          <c:x val="0.21038288845585104"/>
          <c:y val="2.3616227013306599E-2"/>
        </c:manualLayout>
      </c:layout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Exp N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'PAA Fecal Coli Inactivation'!$C$6:$C$18</c:f>
              <c:numCache>
                <c:formatCode>0.00</c:formatCode>
                <c:ptCount val="13"/>
                <c:pt idx="0">
                  <c:v>0</c:v>
                </c:pt>
                <c:pt idx="1">
                  <c:v>1.600395890574754</c:v>
                </c:pt>
                <c:pt idx="2">
                  <c:v>4.7574163386178574</c:v>
                </c:pt>
                <c:pt idx="3">
                  <c:v>7.8569611171972307</c:v>
                </c:pt>
                <c:pt idx="4">
                  <c:v>15.361187102656741</c:v>
                </c:pt>
                <c:pt idx="5">
                  <c:v>42.156983659660334</c:v>
                </c:pt>
                <c:pt idx="6">
                  <c:v>0</c:v>
                </c:pt>
                <c:pt idx="7">
                  <c:v>3.4447513770601823</c:v>
                </c:pt>
                <c:pt idx="8">
                  <c:v>10.283959567463654</c:v>
                </c:pt>
                <c:pt idx="9">
                  <c:v>17.056652057702326</c:v>
                </c:pt>
                <c:pt idx="10">
                  <c:v>33.701606960554152</c:v>
                </c:pt>
                <c:pt idx="11">
                  <c:v>96.359634861460577</c:v>
                </c:pt>
              </c:numCache>
            </c:numRef>
          </c:xVal>
          <c:yVal>
            <c:numRef>
              <c:f>'PAA Fecal Coli Inactivation'!$B$6:$B$19</c:f>
              <c:numCache>
                <c:formatCode>0</c:formatCode>
                <c:ptCount val="14"/>
                <c:pt idx="0">
                  <c:v>6500</c:v>
                </c:pt>
                <c:pt idx="1">
                  <c:v>4300</c:v>
                </c:pt>
                <c:pt idx="2">
                  <c:v>5200</c:v>
                </c:pt>
                <c:pt idx="3">
                  <c:v>3250</c:v>
                </c:pt>
                <c:pt idx="4">
                  <c:v>2700</c:v>
                </c:pt>
                <c:pt idx="5">
                  <c:v>65</c:v>
                </c:pt>
                <c:pt idx="6">
                  <c:v>4200</c:v>
                </c:pt>
                <c:pt idx="7">
                  <c:v>5650</c:v>
                </c:pt>
                <c:pt idx="8">
                  <c:v>4700</c:v>
                </c:pt>
                <c:pt idx="9">
                  <c:v>418</c:v>
                </c:pt>
                <c:pt idx="10">
                  <c:v>63</c:v>
                </c:pt>
                <c:pt idx="1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AC-4C6B-8EF9-6B95D23F5246}"/>
            </c:ext>
          </c:extLst>
        </c:ser>
        <c:ser>
          <c:idx val="1"/>
          <c:order val="1"/>
          <c:spPr>
            <a:ln w="9525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'PAA Fecal Coli Inactivation'!$I$3:$I$100</c:f>
              <c:numCache>
                <c:formatCode>General</c:formatCode>
                <c:ptCount val="9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</c:numCache>
            </c:numRef>
          </c:xVal>
          <c:yVal>
            <c:numRef>
              <c:f>'PAA Fecal Coli Inactivation'!$J$3:$J$100</c:f>
              <c:numCache>
                <c:formatCode>0.0</c:formatCode>
                <c:ptCount val="98"/>
                <c:pt idx="0">
                  <c:v>5350</c:v>
                </c:pt>
                <c:pt idx="1">
                  <c:v>5341.5500779762688</c:v>
                </c:pt>
                <c:pt idx="2">
                  <c:v>5333.1898490418162</c:v>
                </c:pt>
                <c:pt idx="3">
                  <c:v>5323.8236923860086</c:v>
                </c:pt>
                <c:pt idx="4">
                  <c:v>5310.5459799962118</c:v>
                </c:pt>
                <c:pt idx="5">
                  <c:v>5287.6933372151188</c:v>
                </c:pt>
                <c:pt idx="6">
                  <c:v>5245.9663231260529</c:v>
                </c:pt>
                <c:pt idx="7">
                  <c:v>5171.7960808662383</c:v>
                </c:pt>
                <c:pt idx="8">
                  <c:v>5047.2930090017317</c:v>
                </c:pt>
                <c:pt idx="9">
                  <c:v>4851.3174625363663</c:v>
                </c:pt>
                <c:pt idx="10">
                  <c:v>4562.3604921522819</c:v>
                </c:pt>
                <c:pt idx="11">
                  <c:v>4163.8030327644692</c:v>
                </c:pt>
                <c:pt idx="12">
                  <c:v>3651.414778072648</c:v>
                </c:pt>
                <c:pt idx="13">
                  <c:v>3041.4120906749722</c:v>
                </c:pt>
                <c:pt idx="14">
                  <c:v>2375.3008658074309</c:v>
                </c:pt>
                <c:pt idx="15">
                  <c:v>1716.4640911552917</c:v>
                </c:pt>
                <c:pt idx="16">
                  <c:v>1135.3641400434972</c:v>
                </c:pt>
                <c:pt idx="17">
                  <c:v>686.67533942354089</c:v>
                </c:pt>
                <c:pt idx="18">
                  <c:v>389.64695018480842</c:v>
                </c:pt>
                <c:pt idx="19">
                  <c:v>224.67736121392682</c:v>
                </c:pt>
                <c:pt idx="20">
                  <c:v>149.06204624760881</c:v>
                </c:pt>
                <c:pt idx="21">
                  <c:v>120.1019628892729</c:v>
                </c:pt>
                <c:pt idx="22">
                  <c:v>109.59680500676342</c:v>
                </c:pt>
                <c:pt idx="23">
                  <c:v>104.52239112883468</c:v>
                </c:pt>
                <c:pt idx="24">
                  <c:v>100.66717318430581</c:v>
                </c:pt>
                <c:pt idx="25">
                  <c:v>97.093780289257097</c:v>
                </c:pt>
                <c:pt idx="26">
                  <c:v>93.660002462158388</c:v>
                </c:pt>
                <c:pt idx="27">
                  <c:v>90.348385130969945</c:v>
                </c:pt>
                <c:pt idx="28">
                  <c:v>87.153883523994921</c:v>
                </c:pt>
                <c:pt idx="29">
                  <c:v>84.072332251779628</c:v>
                </c:pt>
                <c:pt idx="30">
                  <c:v>81.099737209896219</c:v>
                </c:pt>
                <c:pt idx="31">
                  <c:v>78.232245964326751</c:v>
                </c:pt>
                <c:pt idx="32">
                  <c:v>75.466142298129299</c:v>
                </c:pt>
                <c:pt idx="33">
                  <c:v>72.797841390856092</c:v>
                </c:pt>
                <c:pt idx="34">
                  <c:v>70.223885172670464</c:v>
                </c:pt>
                <c:pt idx="35">
                  <c:v>67.740937842750711</c:v>
                </c:pt>
                <c:pt idx="36">
                  <c:v>65.345781546152395</c:v>
                </c:pt>
                <c:pt idx="37">
                  <c:v>63.035312203526445</c:v>
                </c:pt>
                <c:pt idx="38">
                  <c:v>60.806535488288297</c:v>
                </c:pt>
                <c:pt idx="39">
                  <c:v>58.656562946024664</c:v>
                </c:pt>
                <c:pt idx="40">
                  <c:v>56.582608251108638</c:v>
                </c:pt>
                <c:pt idx="41">
                  <c:v>54.581983595672128</c:v>
                </c:pt>
                <c:pt idx="42">
                  <c:v>52.652096206255216</c:v>
                </c:pt>
                <c:pt idx="43">
                  <c:v>50.790444983618535</c:v>
                </c:pt>
                <c:pt idx="44">
                  <c:v>48.994617261363835</c:v>
                </c:pt>
                <c:pt idx="45">
                  <c:v>47.26228567916182</c:v>
                </c:pt>
                <c:pt idx="46">
                  <c:v>45.591205166535197</c:v>
                </c:pt>
                <c:pt idx="47">
                  <c:v>43.979210033287742</c:v>
                </c:pt>
                <c:pt idx="48">
                  <c:v>42.42421116280898</c:v>
                </c:pt>
                <c:pt idx="49">
                  <c:v>40.924193304616708</c:v>
                </c:pt>
                <c:pt idx="50">
                  <c:v>39.477212462628728</c:v>
                </c:pt>
                <c:pt idx="51">
                  <c:v>38.081393375778966</c:v>
                </c:pt>
                <c:pt idx="52">
                  <c:v>36.734927087713018</c:v>
                </c:pt>
                <c:pt idx="53">
                  <c:v>35.436068602413322</c:v>
                </c:pt>
                <c:pt idx="54">
                  <c:v>34.183134622715805</c:v>
                </c:pt>
                <c:pt idx="55">
                  <c:v>32.974501368787109</c:v>
                </c:pt>
                <c:pt idx="56">
                  <c:v>31.808602473735238</c:v>
                </c:pt>
                <c:pt idx="57">
                  <c:v>30.683926953626337</c:v>
                </c:pt>
                <c:pt idx="58">
                  <c:v>29.59901724927677</c:v>
                </c:pt>
                <c:pt idx="59">
                  <c:v>28.5524673372827</c:v>
                </c:pt>
                <c:pt idx="60">
                  <c:v>27.542920907839086</c:v>
                </c:pt>
                <c:pt idx="61">
                  <c:v>26.569069606986744</c:v>
                </c:pt>
                <c:pt idx="62">
                  <c:v>25.629651341009154</c:v>
                </c:pt>
                <c:pt idx="63">
                  <c:v>24.723448640781744</c:v>
                </c:pt>
                <c:pt idx="64">
                  <c:v>23.849287083953953</c:v>
                </c:pt>
                <c:pt idx="65">
                  <c:v>23.006033772918986</c:v>
                </c:pt>
                <c:pt idx="66">
                  <c:v>22.192595866598982</c:v>
                </c:pt>
                <c:pt idx="67">
                  <c:v>21.407919164142697</c:v>
                </c:pt>
                <c:pt idx="68">
                  <c:v>20.650986738700176</c:v>
                </c:pt>
                <c:pt idx="69">
                  <c:v>19.920817619503971</c:v>
                </c:pt>
                <c:pt idx="70">
                  <c:v>19.216465520548681</c:v>
                </c:pt>
                <c:pt idx="71">
                  <c:v>18.537017614221352</c:v>
                </c:pt>
                <c:pt idx="72">
                  <c:v>17.881593348293396</c:v>
                </c:pt>
                <c:pt idx="73">
                  <c:v>17.249343304740758</c:v>
                </c:pt>
                <c:pt idx="74">
                  <c:v>16.639448098913501</c:v>
                </c:pt>
                <c:pt idx="75">
                  <c:v>16.051117317628073</c:v>
                </c:pt>
                <c:pt idx="76">
                  <c:v>15.48358849480606</c:v>
                </c:pt>
                <c:pt idx="77">
                  <c:v>14.93612612333196</c:v>
                </c:pt>
                <c:pt idx="78">
                  <c:v>14.408020701849177</c:v>
                </c:pt>
                <c:pt idx="79">
                  <c:v>13.898587815259075</c:v>
                </c:pt>
                <c:pt idx="80">
                  <c:v>13.407167247731385</c:v>
                </c:pt>
                <c:pt idx="81">
                  <c:v>12.933122127076372</c:v>
                </c:pt>
                <c:pt idx="82">
                  <c:v>12.475838099369968</c:v>
                </c:pt>
                <c:pt idx="83">
                  <c:v>12.034722532762196</c:v>
                </c:pt>
                <c:pt idx="84">
                  <c:v>11.60920374943694</c:v>
                </c:pt>
                <c:pt idx="85">
                  <c:v>11.198730284727853</c:v>
                </c:pt>
                <c:pt idx="86">
                  <c:v>10.802770172430082</c:v>
                </c:pt>
                <c:pt idx="87">
                  <c:v>10.420810255381642</c:v>
                </c:pt>
                <c:pt idx="88">
                  <c:v>10.052355520421035</c:v>
                </c:pt>
                <c:pt idx="89">
                  <c:v>9.6969284568590872</c:v>
                </c:pt>
                <c:pt idx="90">
                  <c:v>9.3540684376337264</c:v>
                </c:pt>
                <c:pt idx="91">
                  <c:v>9.0233311223456205</c:v>
                </c:pt>
                <c:pt idx="92">
                  <c:v>8.7042878814010223</c:v>
                </c:pt>
                <c:pt idx="93">
                  <c:v>8.3965252405155724</c:v>
                </c:pt>
                <c:pt idx="94">
                  <c:v>8.0996443448590689</c:v>
                </c:pt>
                <c:pt idx="95">
                  <c:v>7.8132604421467988</c:v>
                </c:pt>
                <c:pt idx="96">
                  <c:v>7.5370023840075406</c:v>
                </c:pt>
                <c:pt idx="97">
                  <c:v>7.270512144981951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7AC-4C6B-8EF9-6B95D23F52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703040"/>
        <c:axId val="287704960"/>
      </c:scatterChart>
      <c:valAx>
        <c:axId val="287703040"/>
        <c:scaling>
          <c:orientation val="minMax"/>
          <c:max val="10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400"/>
                </a:pPr>
                <a:r>
                  <a:rPr lang="en-US" sz="1400"/>
                  <a:t>PAA</a:t>
                </a:r>
                <a:r>
                  <a:rPr lang="en-US" sz="1400" baseline="0"/>
                  <a:t> ICT (mg</a:t>
                </a:r>
                <a:r>
                  <a:rPr lang="en-US" sz="1400" baseline="0">
                    <a:latin typeface="Calibri"/>
                  </a:rPr>
                  <a:t>·min/L)</a:t>
                </a:r>
                <a:endParaRPr lang="en-US" sz="1400"/>
              </a:p>
            </c:rich>
          </c:tx>
          <c:overlay val="0"/>
        </c:title>
        <c:numFmt formatCode="#,##0" sourceLinked="0"/>
        <c:majorTickMark val="out"/>
        <c:minorTickMark val="out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287704960"/>
        <c:crosses val="autoZero"/>
        <c:crossBetween val="midCat"/>
        <c:majorUnit val="20"/>
        <c:minorUnit val="4"/>
      </c:valAx>
      <c:valAx>
        <c:axId val="287704960"/>
        <c:scaling>
          <c:logBase val="10"/>
          <c:orientation val="minMax"/>
          <c:max val="100000"/>
          <c:min val="1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400"/>
                </a:pPr>
                <a:r>
                  <a:rPr lang="en-US" sz="1400"/>
                  <a:t>Viable</a:t>
                </a:r>
                <a:r>
                  <a:rPr lang="en-US" sz="1400" baseline="0"/>
                  <a:t> Microbes (CFU/100 mL)</a:t>
                </a:r>
                <a:endParaRPr lang="en-US" sz="1400"/>
              </a:p>
            </c:rich>
          </c:tx>
          <c:overlay val="0"/>
        </c:title>
        <c:numFmt formatCode="0" sourceLinked="1"/>
        <c:majorTickMark val="out"/>
        <c:minorTickMark val="out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287703040"/>
        <c:crosses val="autoZero"/>
        <c:crossBetween val="midCat"/>
        <c:majorUnit val="10"/>
        <c:minorUnit val="10"/>
      </c:valAx>
      <c:spPr>
        <a:ln>
          <a:solidFill>
            <a:schemeClr val="tx1"/>
          </a:solidFill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PAA Total coliforms inactivation</a:t>
            </a:r>
          </a:p>
        </c:rich>
      </c:tx>
      <c:layout>
        <c:manualLayout>
          <c:xMode val="edge"/>
          <c:yMode val="edge"/>
          <c:x val="0.22342106178578017"/>
          <c:y val="2.318839874064476E-2"/>
        </c:manualLayout>
      </c:layout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Exp N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'PAA Total Coli Inactivation'!$C$6:$C$18</c:f>
              <c:numCache>
                <c:formatCode>0.00</c:formatCode>
                <c:ptCount val="13"/>
                <c:pt idx="0">
                  <c:v>0</c:v>
                </c:pt>
                <c:pt idx="1">
                  <c:v>1.600395890574754</c:v>
                </c:pt>
                <c:pt idx="2">
                  <c:v>4.7574163386178574</c:v>
                </c:pt>
                <c:pt idx="3">
                  <c:v>7.8569611171972307</c:v>
                </c:pt>
                <c:pt idx="4">
                  <c:v>15.361187102656741</c:v>
                </c:pt>
                <c:pt idx="5">
                  <c:v>42.156983659660334</c:v>
                </c:pt>
                <c:pt idx="6">
                  <c:v>0</c:v>
                </c:pt>
                <c:pt idx="7">
                  <c:v>3.4447513770601823</c:v>
                </c:pt>
                <c:pt idx="8">
                  <c:v>10.283959567463654</c:v>
                </c:pt>
                <c:pt idx="9">
                  <c:v>17.056652057702326</c:v>
                </c:pt>
                <c:pt idx="10">
                  <c:v>33.701606960554152</c:v>
                </c:pt>
                <c:pt idx="11">
                  <c:v>96.359634861460577</c:v>
                </c:pt>
              </c:numCache>
            </c:numRef>
          </c:xVal>
          <c:yVal>
            <c:numRef>
              <c:f>'PAA Total Coli Inactivation'!$B$6:$B$19</c:f>
              <c:numCache>
                <c:formatCode>0</c:formatCode>
                <c:ptCount val="14"/>
                <c:pt idx="0">
                  <c:v>124000</c:v>
                </c:pt>
                <c:pt idx="1">
                  <c:v>96000</c:v>
                </c:pt>
                <c:pt idx="2">
                  <c:v>82000</c:v>
                </c:pt>
                <c:pt idx="3">
                  <c:v>58000</c:v>
                </c:pt>
                <c:pt idx="4">
                  <c:v>47000</c:v>
                </c:pt>
                <c:pt idx="5">
                  <c:v>1760</c:v>
                </c:pt>
                <c:pt idx="6">
                  <c:v>96000</c:v>
                </c:pt>
                <c:pt idx="7">
                  <c:v>92000</c:v>
                </c:pt>
                <c:pt idx="8">
                  <c:v>54000</c:v>
                </c:pt>
                <c:pt idx="9">
                  <c:v>15750</c:v>
                </c:pt>
                <c:pt idx="10">
                  <c:v>2650</c:v>
                </c:pt>
                <c:pt idx="11">
                  <c:v>300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36-4A76-BAC9-3B14032F6C0C}"/>
            </c:ext>
          </c:extLst>
        </c:ser>
        <c:ser>
          <c:idx val="1"/>
          <c:order val="1"/>
          <c:spPr>
            <a:ln w="9525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'PAA Total Coli Inactivation'!$I$3:$I$100</c:f>
              <c:numCache>
                <c:formatCode>General</c:formatCode>
                <c:ptCount val="9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</c:numCache>
            </c:numRef>
          </c:xVal>
          <c:yVal>
            <c:numRef>
              <c:f>'PAA Total Coli Inactivation'!$J$3:$J$100</c:f>
              <c:numCache>
                <c:formatCode>0.0</c:formatCode>
                <c:ptCount val="98"/>
                <c:pt idx="0">
                  <c:v>110000</c:v>
                </c:pt>
                <c:pt idx="1">
                  <c:v>107944.1557337907</c:v>
                </c:pt>
                <c:pt idx="2">
                  <c:v>104061.7481193389</c:v>
                </c:pt>
                <c:pt idx="3">
                  <c:v>99053.74738682319</c:v>
                </c:pt>
                <c:pt idx="4">
                  <c:v>93284.696093833962</c:v>
                </c:pt>
                <c:pt idx="5">
                  <c:v>87025.46840978149</c:v>
                </c:pt>
                <c:pt idx="6">
                  <c:v>80494.03102371782</c:v>
                </c:pt>
                <c:pt idx="7">
                  <c:v>73869.278612405877</c:v>
                </c:pt>
                <c:pt idx="8">
                  <c:v>67297.397413973566</c:v>
                </c:pt>
                <c:pt idx="9">
                  <c:v>60895.726771305766</c:v>
                </c:pt>
                <c:pt idx="10">
                  <c:v>54755.764481747123</c:v>
                </c:pt>
                <c:pt idx="11">
                  <c:v>48945.913499217429</c:v>
                </c:pt>
                <c:pt idx="12">
                  <c:v>43514.173486628162</c:v>
                </c:pt>
                <c:pt idx="13">
                  <c:v>38490.818754106818</c:v>
                </c:pt>
                <c:pt idx="14">
                  <c:v>33891.037359621674</c:v>
                </c:pt>
                <c:pt idx="15">
                  <c:v>29717.482543792819</c:v>
                </c:pt>
                <c:pt idx="16">
                  <c:v>25962.684749257423</c:v>
                </c:pt>
                <c:pt idx="17">
                  <c:v>22611.279464036485</c:v>
                </c:pt>
                <c:pt idx="18">
                  <c:v>19642.017416421324</c:v>
                </c:pt>
                <c:pt idx="19">
                  <c:v>17029.536145417431</c:v>
                </c:pt>
                <c:pt idx="20">
                  <c:v>14745.883939261133</c:v>
                </c:pt>
                <c:pt idx="21">
                  <c:v>12761.797628684724</c:v>
                </c:pt>
                <c:pt idx="22">
                  <c:v>11047.744285934577</c:v>
                </c:pt>
                <c:pt idx="23">
                  <c:v>9574.7433750171422</c:v>
                </c:pt>
                <c:pt idx="24">
                  <c:v>8314.9903864842017</c:v>
                </c:pt>
                <c:pt idx="25">
                  <c:v>7242.305660668686</c:v>
                </c:pt>
                <c:pt idx="26">
                  <c:v>6332.4332170749512</c:v>
                </c:pt>
                <c:pt idx="27">
                  <c:v>5563.2142560628035</c:v>
                </c:pt>
                <c:pt idx="28">
                  <c:v>4914.6588758672515</c:v>
                </c:pt>
                <c:pt idx="29">
                  <c:v>4368.9377298474737</c:v>
                </c:pt>
                <c:pt idx="30">
                  <c:v>3910.3130821936884</c:v>
                </c:pt>
                <c:pt idx="31">
                  <c:v>3525.026214759243</c:v>
                </c:pt>
                <c:pt idx="32">
                  <c:v>3201.1555633149237</c:v>
                </c:pt>
                <c:pt idx="33">
                  <c:v>2928.4574494882713</c:v>
                </c:pt>
                <c:pt idx="34">
                  <c:v>2698.1989199870186</c:v>
                </c:pt>
                <c:pt idx="35">
                  <c:v>2502.9900705736013</c:v>
                </c:pt>
                <c:pt idx="36">
                  <c:v>2336.621354919107</c:v>
                </c:pt>
                <c:pt idx="37">
                  <c:v>2193.9097724761468</c:v>
                </c:pt>
                <c:pt idx="38">
                  <c:v>2070.5564927415066</c:v>
                </c:pt>
                <c:pt idx="39">
                  <c:v>1963.017391511858</c:v>
                </c:pt>
                <c:pt idx="40">
                  <c:v>1868.3871256635603</c:v>
                </c:pt>
                <c:pt idx="41">
                  <c:v>1784.2967295646856</c:v>
                </c:pt>
                <c:pt idx="42">
                  <c:v>1708.8242493365153</c:v>
                </c:pt>
                <c:pt idx="43">
                  <c:v>1640.417611668674</c:v>
                </c:pt>
                <c:pt idx="44">
                  <c:v>1577.8287240239299</c:v>
                </c:pt>
                <c:pt idx="45">
                  <c:v>1520.0576975011402</c:v>
                </c:pt>
                <c:pt idx="46">
                  <c:v>1466.306049963657</c:v>
                </c:pt>
                <c:pt idx="47">
                  <c:v>1415.9377660848713</c:v>
                </c:pt>
                <c:pt idx="48">
                  <c:v>1368.4471467096155</c:v>
                </c:pt>
                <c:pt idx="49">
                  <c:v>1323.4324594114044</c:v>
                </c:pt>
                <c:pt idx="50">
                  <c:v>1280.5744951347588</c:v>
                </c:pt>
                <c:pt idx="51">
                  <c:v>1239.6192345713446</c:v>
                </c:pt>
                <c:pt idx="52">
                  <c:v>1200.3639267216877</c:v>
                </c:pt>
                <c:pt idx="53">
                  <c:v>1162.6459769500141</c:v>
                </c:pt>
                <c:pt idx="54">
                  <c:v>1126.3341301397004</c:v>
                </c:pt>
                <c:pt idx="55">
                  <c:v>1091.3215147737565</c:v>
                </c:pt>
                <c:pt idx="56">
                  <c:v>1057.52018519033</c:v>
                </c:pt>
                <c:pt idx="57">
                  <c:v>1024.8568617869407</c:v>
                </c:pt>
                <c:pt idx="58">
                  <c:v>993.26962287418712</c:v>
                </c:pt>
                <c:pt idx="59">
                  <c:v>962.70534778611113</c:v>
                </c:pt>
                <c:pt idx="60">
                  <c:v>933.11774947499703</c:v>
                </c:pt>
                <c:pt idx="61">
                  <c:v>904.46586696219583</c:v>
                </c:pt>
                <c:pt idx="62">
                  <c:v>876.71291450651881</c:v>
                </c:pt>
                <c:pt idx="63">
                  <c:v>849.82540598268565</c:v>
                </c:pt>
                <c:pt idx="64">
                  <c:v>823.77249047443934</c:v>
                </c:pt>
                <c:pt idx="65">
                  <c:v>798.5254491502244</c:v>
                </c:pt>
                <c:pt idx="66">
                  <c:v>774.05731469689692</c:v>
                </c:pt>
                <c:pt idx="67">
                  <c:v>750.3425834537743</c:v>
                </c:pt>
                <c:pt idx="68">
                  <c:v>727.35699735575861</c:v>
                </c:pt>
                <c:pt idx="69">
                  <c:v>705.07737823116179</c:v>
                </c:pt>
                <c:pt idx="70">
                  <c:v>683.48150121599554</c:v>
                </c:pt>
                <c:pt idx="71">
                  <c:v>662.54799729578485</c:v>
                </c:pt>
                <c:pt idx="72">
                  <c:v>642.25627747526983</c:v>
                </c:pt>
                <c:pt idx="73">
                  <c:v>622.58647297243249</c:v>
                </c:pt>
                <c:pt idx="74">
                  <c:v>603.51938726942365</c:v>
                </c:pt>
                <c:pt idx="75">
                  <c:v>585.03645693486055</c:v>
                </c:pt>
                <c:pt idx="76">
                  <c:v>567.11971894265764</c:v>
                </c:pt>
                <c:pt idx="77">
                  <c:v>549.7517828169515</c:v>
                </c:pt>
                <c:pt idx="78">
                  <c:v>532.9158063809914</c:v>
                </c:pt>
                <c:pt idx="79">
                  <c:v>516.59547421881223</c:v>
                </c:pt>
                <c:pt idx="80">
                  <c:v>500.7749782016374</c:v>
                </c:pt>
                <c:pt idx="81">
                  <c:v>485.43899960877644</c:v>
                </c:pt>
                <c:pt idx="82">
                  <c:v>470.5726925022384</c:v>
                </c:pt>
                <c:pt idx="83">
                  <c:v>456.16166810814224</c:v>
                </c:pt>
                <c:pt idx="84">
                  <c:v>442.19198002577315</c:v>
                </c:pt>
                <c:pt idx="85">
                  <c:v>428.65011013387812</c:v>
                </c:pt>
                <c:pt idx="86">
                  <c:v>415.52295509873352</c:v>
                </c:pt>
                <c:pt idx="87">
                  <c:v>402.79781341348013</c:v>
                </c:pt>
                <c:pt idx="88">
                  <c:v>390.4623729160113</c:v>
                </c:pt>
                <c:pt idx="89">
                  <c:v>378.50469874535372</c:v>
                </c:pt>
                <c:pt idx="90">
                  <c:v>366.91322170547153</c:v>
                </c:pt>
                <c:pt idx="91">
                  <c:v>355.6767270118105</c:v>
                </c:pt>
                <c:pt idx="92">
                  <c:v>344.78434340045675</c:v>
                </c:pt>
                <c:pt idx="93">
                  <c:v>334.22553258302736</c:v>
                </c:pt>
                <c:pt idx="94">
                  <c:v>323.99007903275771</c:v>
                </c:pt>
                <c:pt idx="95">
                  <c:v>314.06808008895274</c:v>
                </c:pt>
                <c:pt idx="96">
                  <c:v>304.44993636822255</c:v>
                </c:pt>
                <c:pt idx="97">
                  <c:v>295.12634247187373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D36-4A76-BAC9-3B14032F6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760384"/>
        <c:axId val="287762304"/>
      </c:scatterChart>
      <c:valAx>
        <c:axId val="287760384"/>
        <c:scaling>
          <c:orientation val="minMax"/>
          <c:max val="10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400"/>
                </a:pPr>
                <a:r>
                  <a:rPr lang="en-US" sz="1400"/>
                  <a:t>PAA</a:t>
                </a:r>
                <a:r>
                  <a:rPr lang="en-US" sz="1400" baseline="0"/>
                  <a:t> ICT (mg</a:t>
                </a:r>
                <a:r>
                  <a:rPr lang="en-US" sz="1400" baseline="0">
                    <a:latin typeface="Calibri"/>
                  </a:rPr>
                  <a:t>·min/L)</a:t>
                </a:r>
                <a:endParaRPr lang="en-US" sz="1400"/>
              </a:p>
            </c:rich>
          </c:tx>
          <c:overlay val="0"/>
        </c:title>
        <c:numFmt formatCode="#,##0" sourceLinked="0"/>
        <c:majorTickMark val="out"/>
        <c:minorTickMark val="out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287762304"/>
        <c:crosses val="autoZero"/>
        <c:crossBetween val="midCat"/>
        <c:majorUnit val="20"/>
        <c:minorUnit val="4"/>
      </c:valAx>
      <c:valAx>
        <c:axId val="287762304"/>
        <c:scaling>
          <c:logBase val="10"/>
          <c:orientation val="minMax"/>
          <c:max val="100000"/>
          <c:min val="1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400"/>
                </a:pPr>
                <a:r>
                  <a:rPr lang="en-US" sz="1400"/>
                  <a:t>Viable</a:t>
                </a:r>
                <a:r>
                  <a:rPr lang="en-US" sz="1400" baseline="0"/>
                  <a:t> Microbes (CFU/100 mL)</a:t>
                </a:r>
                <a:endParaRPr lang="en-US" sz="1400"/>
              </a:p>
            </c:rich>
          </c:tx>
          <c:overlay val="0"/>
        </c:title>
        <c:numFmt formatCode="0" sourceLinked="1"/>
        <c:majorTickMark val="out"/>
        <c:minorTickMark val="out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287760384"/>
        <c:crosses val="autoZero"/>
        <c:crossBetween val="midCat"/>
        <c:majorUnit val="10"/>
        <c:minorUnit val="10"/>
      </c:valAx>
      <c:spPr>
        <a:ln>
          <a:solidFill>
            <a:schemeClr val="tx1"/>
          </a:solidFill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PAA Enterococci inactivation</a:t>
            </a:r>
          </a:p>
        </c:rich>
      </c:tx>
      <c:layout>
        <c:manualLayout>
          <c:xMode val="edge"/>
          <c:yMode val="edge"/>
          <c:x val="0.24960832972893857"/>
          <c:y val="2.318839874064476E-2"/>
        </c:manualLayout>
      </c:layout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'PAA Enterococci Inactivation'!$C$6:$C$17</c:f>
              <c:numCache>
                <c:formatCode>0.00</c:formatCode>
                <c:ptCount val="12"/>
                <c:pt idx="0">
                  <c:v>0</c:v>
                </c:pt>
                <c:pt idx="1">
                  <c:v>1.600395890574754</c:v>
                </c:pt>
                <c:pt idx="2">
                  <c:v>4.7574163386178574</c:v>
                </c:pt>
                <c:pt idx="3">
                  <c:v>7.8569611171972307</c:v>
                </c:pt>
                <c:pt idx="4">
                  <c:v>15.361187102656741</c:v>
                </c:pt>
                <c:pt idx="5">
                  <c:v>42.156983659660334</c:v>
                </c:pt>
                <c:pt idx="6">
                  <c:v>0</c:v>
                </c:pt>
                <c:pt idx="7">
                  <c:v>3.4447513770601823</c:v>
                </c:pt>
                <c:pt idx="8">
                  <c:v>10.283959567463654</c:v>
                </c:pt>
                <c:pt idx="9">
                  <c:v>17.056652057702326</c:v>
                </c:pt>
                <c:pt idx="10">
                  <c:v>33.701606960554152</c:v>
                </c:pt>
                <c:pt idx="11">
                  <c:v>96.359634861460577</c:v>
                </c:pt>
              </c:numCache>
            </c:numRef>
          </c:xVal>
          <c:yVal>
            <c:numRef>
              <c:f>'PAA Enterococci Inactivation'!$B$6:$B$17</c:f>
              <c:numCache>
                <c:formatCode>0</c:formatCode>
                <c:ptCount val="12"/>
                <c:pt idx="0">
                  <c:v>740</c:v>
                </c:pt>
                <c:pt idx="1">
                  <c:v>740</c:v>
                </c:pt>
                <c:pt idx="2">
                  <c:v>770</c:v>
                </c:pt>
                <c:pt idx="3">
                  <c:v>584</c:v>
                </c:pt>
                <c:pt idx="4">
                  <c:v>260</c:v>
                </c:pt>
                <c:pt idx="5">
                  <c:v>72</c:v>
                </c:pt>
                <c:pt idx="6">
                  <c:v>900</c:v>
                </c:pt>
                <c:pt idx="7">
                  <c:v>730</c:v>
                </c:pt>
                <c:pt idx="8">
                  <c:v>430</c:v>
                </c:pt>
                <c:pt idx="9">
                  <c:v>294</c:v>
                </c:pt>
                <c:pt idx="10">
                  <c:v>75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D7-477E-AFB8-5E002E8CECE3}"/>
            </c:ext>
          </c:extLst>
        </c:ser>
        <c:ser>
          <c:idx val="1"/>
          <c:order val="1"/>
          <c:spPr>
            <a:ln w="9525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'PAA Enterococci Inactivation'!$I$3:$I$100</c:f>
              <c:numCache>
                <c:formatCode>General</c:formatCode>
                <c:ptCount val="9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</c:numCache>
            </c:numRef>
          </c:xVal>
          <c:yVal>
            <c:numRef>
              <c:f>'PAA Enterococci Inactivation'!$J$3:$J$100</c:f>
              <c:numCache>
                <c:formatCode>0.0</c:formatCode>
                <c:ptCount val="98"/>
                <c:pt idx="0">
                  <c:v>820</c:v>
                </c:pt>
                <c:pt idx="1">
                  <c:v>772.17072644947973</c:v>
                </c:pt>
                <c:pt idx="2">
                  <c:v>726.50303306833121</c:v>
                </c:pt>
                <c:pt idx="3">
                  <c:v>683.31600622656401</c:v>
                </c:pt>
                <c:pt idx="4">
                  <c:v>642.57906758062859</c:v>
                </c:pt>
                <c:pt idx="5">
                  <c:v>604.19845039559937</c:v>
                </c:pt>
                <c:pt idx="6">
                  <c:v>568.06049079641184</c:v>
                </c:pt>
                <c:pt idx="7">
                  <c:v>534.04606403356865</c:v>
                </c:pt>
                <c:pt idx="8">
                  <c:v>502.03665866633264</c:v>
                </c:pt>
                <c:pt idx="9">
                  <c:v>471.91721038146636</c:v>
                </c:pt>
                <c:pt idx="10">
                  <c:v>443.57745901499572</c:v>
                </c:pt>
                <c:pt idx="11">
                  <c:v>416.91256066012045</c:v>
                </c:pt>
                <c:pt idx="12">
                  <c:v>391.82329893183436</c:v>
                </c:pt>
                <c:pt idx="13">
                  <c:v>368.21607218554033</c:v>
                </c:pt>
                <c:pt idx="14">
                  <c:v>346.00275368530288</c:v>
                </c:pt>
                <c:pt idx="15">
                  <c:v>325.10048059048142</c:v>
                </c:pt>
                <c:pt idx="16">
                  <c:v>305.43140510581679</c:v>
                </c:pt>
                <c:pt idx="17">
                  <c:v>286.92242818951348</c:v>
                </c:pt>
                <c:pt idx="18">
                  <c:v>269.50492846954887</c:v>
                </c:pt>
                <c:pt idx="19">
                  <c:v>253.11449423869945</c:v>
                </c:pt>
                <c:pt idx="20">
                  <c:v>237.69066337381111</c:v>
                </c:pt>
                <c:pt idx="21">
                  <c:v>223.17667407315361</c:v>
                </c:pt>
                <c:pt idx="22">
                  <c:v>209.51922802905784</c:v>
                </c:pt>
                <c:pt idx="23">
                  <c:v>196.66826681107938</c:v>
                </c:pt>
                <c:pt idx="24">
                  <c:v>184.57676167853026</c:v>
                </c:pt>
                <c:pt idx="25">
                  <c:v>173.20051667549393</c:v>
                </c:pt>
                <c:pt idx="26">
                  <c:v>162.49798462473024</c:v>
                </c:pt>
                <c:pt idx="27">
                  <c:v>152.43009548832916</c:v>
                </c:pt>
                <c:pt idx="28">
                  <c:v>142.9600964750781</c:v>
                </c:pt>
                <c:pt idx="29">
                  <c:v>134.05340322845416</c:v>
                </c:pt>
                <c:pt idx="30">
                  <c:v>125.67746141193368</c:v>
                </c:pt>
                <c:pt idx="31">
                  <c:v>117.8016180108276</c:v>
                </c:pt>
                <c:pt idx="32">
                  <c:v>110.39700168569128</c:v>
                </c:pt>
                <c:pt idx="33">
                  <c:v>103.43641153696979</c:v>
                </c:pt>
                <c:pt idx="34">
                  <c:v>96.894213670687463</c:v>
                </c:pt>
                <c:pt idx="35">
                  <c:v>90.746244988357887</c:v>
                </c:pt>
                <c:pt idx="36">
                  <c:v>84.969723659234603</c:v>
                </c:pt>
                <c:pt idx="37">
                  <c:v>79.5431657683814</c:v>
                </c:pt>
                <c:pt idx="38">
                  <c:v>74.446307668981206</c:v>
                </c:pt>
                <c:pt idx="39">
                  <c:v>69.660033601284809</c:v>
                </c:pt>
                <c:pt idx="40">
                  <c:v>65.166308173220514</c:v>
                </c:pt>
                <c:pt idx="41">
                  <c:v>60.948113328724034</c:v>
                </c:pt>
                <c:pt idx="42">
                  <c:v>56.989389459147645</c:v>
                </c:pt>
                <c:pt idx="43">
                  <c:v>53.274980340605495</c:v>
                </c:pt>
                <c:pt idx="44">
                  <c:v>49.790581605794557</c:v>
                </c:pt>
                <c:pt idx="45">
                  <c:v>46.522692482710823</c:v>
                </c:pt>
                <c:pt idx="46">
                  <c:v>43.458570554816824</c:v>
                </c:pt>
                <c:pt idx="47">
                  <c:v>40.586189317665848</c:v>
                </c:pt>
                <c:pt idx="48">
                  <c:v>37.894198325839113</c:v>
                </c:pt>
                <c:pt idx="49">
                  <c:v>35.371885741381909</c:v>
                </c:pt>
                <c:pt idx="50">
                  <c:v>33.009143110829726</c:v>
                </c:pt>
                <c:pt idx="51">
                  <c:v>30.796432212486717</c:v>
                </c:pt>
                <c:pt idx="52">
                  <c:v>28.72475382894234</c:v>
                </c:pt>
                <c:pt idx="53">
                  <c:v>26.785618311985623</c:v>
                </c:pt>
                <c:pt idx="54">
                  <c:v>24.971017818177621</c:v>
                </c:pt>
                <c:pt idx="55">
                  <c:v>23.273400103462194</c:v>
                </c:pt>
                <c:pt idx="56">
                  <c:v>21.68564377440336</c:v>
                </c:pt>
                <c:pt idx="57">
                  <c:v>20.20103490201739</c:v>
                </c:pt>
                <c:pt idx="58">
                  <c:v>18.813244911781688</c:v>
                </c:pt>
                <c:pt idx="59">
                  <c:v>17.516309670321526</c:v>
                </c:pt>
                <c:pt idx="60">
                  <c:v>16.304609695557179</c:v>
                </c:pt>
                <c:pt idx="61">
                  <c:v>15.172851422795464</c:v>
                </c:pt>
                <c:pt idx="62">
                  <c:v>14.116049464426906</c:v>
                </c:pt>
                <c:pt idx="63">
                  <c:v>13.12950980558373</c:v>
                </c:pt>
                <c:pt idx="64">
                  <c:v>12.208813882379133</c:v>
                </c:pt>
                <c:pt idx="65">
                  <c:v>11.349803493215628</c:v>
                </c:pt>
                <c:pt idx="66">
                  <c:v>10.548566497166481</c:v>
                </c:pt>
                <c:pt idx="67">
                  <c:v>9.8014232566260198</c:v>
                </c:pt>
                <c:pt idx="68">
                  <c:v>9.1049137843294083</c:v>
                </c:pt>
                <c:pt idx="69">
                  <c:v>8.4557855574845853</c:v>
                </c:pt>
                <c:pt idx="70">
                  <c:v>7.8509819641668335</c:v>
                </c:pt>
                <c:pt idx="71">
                  <c:v>7.2876313493229778</c:v>
                </c:pt>
                <c:pt idx="72">
                  <c:v>6.7630366297380284</c:v>
                </c:pt>
                <c:pt idx="73">
                  <c:v>6.274665449153038</c:v>
                </c:pt>
                <c:pt idx="74">
                  <c:v>5.8201408464046631</c:v>
                </c:pt>
                <c:pt idx="75">
                  <c:v>5.3972324110022889</c:v>
                </c:pt>
                <c:pt idx="76">
                  <c:v>5.0038479019789008</c:v>
                </c:pt>
                <c:pt idx="77">
                  <c:v>4.6380253071638746</c:v>
                </c:pt>
                <c:pt idx="78">
                  <c:v>4.297925321235482</c:v>
                </c:pt>
                <c:pt idx="79">
                  <c:v>3.9818242220344509</c:v>
                </c:pt>
                <c:pt idx="80">
                  <c:v>3.6881071256614284</c:v>
                </c:pt>
                <c:pt idx="81">
                  <c:v>3.4152616018515101</c:v>
                </c:pt>
                <c:pt idx="82">
                  <c:v>3.1618716320248375</c:v>
                </c:pt>
                <c:pt idx="83">
                  <c:v>2.9266118932594223</c:v>
                </c:pt>
                <c:pt idx="84">
                  <c:v>2.7082423522276375</c:v>
                </c:pt>
                <c:pt idx="85">
                  <c:v>2.5056031538851187</c:v>
                </c:pt>
                <c:pt idx="86">
                  <c:v>2.3176097904055131</c:v>
                </c:pt>
                <c:pt idx="87">
                  <c:v>2.1432485365200793</c:v>
                </c:pt>
                <c:pt idx="88">
                  <c:v>1.9815721380515485</c:v>
                </c:pt>
                <c:pt idx="89">
                  <c:v>1.8316957410292389</c:v>
                </c:pt>
                <c:pt idx="90">
                  <c:v>1.6927930493408643</c:v>
                </c:pt>
                <c:pt idx="91">
                  <c:v>1.5640926994173034</c:v>
                </c:pt>
                <c:pt idx="92">
                  <c:v>1.4448748409624961</c:v>
                </c:pt>
                <c:pt idx="93">
                  <c:v>1.3344679132333543</c:v>
                </c:pt>
                <c:pt idx="94">
                  <c:v>1.2322456068453442</c:v>
                </c:pt>
                <c:pt idx="95">
                  <c:v>1.1376240015304007</c:v>
                </c:pt>
                <c:pt idx="96">
                  <c:v>1.0500588707057044</c:v>
                </c:pt>
                <c:pt idx="97">
                  <c:v>0.96904314412580561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D7-477E-AFB8-5E002E8CEC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8364032"/>
        <c:axId val="288365952"/>
      </c:scatterChart>
      <c:valAx>
        <c:axId val="288364032"/>
        <c:scaling>
          <c:orientation val="minMax"/>
          <c:max val="10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400"/>
                </a:pPr>
                <a:r>
                  <a:rPr lang="en-US" sz="1400"/>
                  <a:t>PAA</a:t>
                </a:r>
                <a:r>
                  <a:rPr lang="en-US" sz="1400" baseline="0"/>
                  <a:t> ICT (mg</a:t>
                </a:r>
                <a:r>
                  <a:rPr lang="en-US" sz="1400" baseline="0">
                    <a:latin typeface="Calibri"/>
                  </a:rPr>
                  <a:t>·min/L)</a:t>
                </a:r>
                <a:endParaRPr lang="en-US" sz="1400"/>
              </a:p>
            </c:rich>
          </c:tx>
          <c:overlay val="0"/>
        </c:title>
        <c:numFmt formatCode="#,##0" sourceLinked="0"/>
        <c:majorTickMark val="out"/>
        <c:minorTickMark val="out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288365952"/>
        <c:crosses val="autoZero"/>
        <c:crossBetween val="midCat"/>
        <c:majorUnit val="20"/>
        <c:minorUnit val="4"/>
      </c:valAx>
      <c:valAx>
        <c:axId val="288365952"/>
        <c:scaling>
          <c:logBase val="10"/>
          <c:orientation val="minMax"/>
          <c:max val="100000"/>
          <c:min val="1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400"/>
                </a:pPr>
                <a:r>
                  <a:rPr lang="en-US" sz="1400"/>
                  <a:t>Viable</a:t>
                </a:r>
                <a:r>
                  <a:rPr lang="en-US" sz="1400" baseline="0"/>
                  <a:t> Microbes (CFU/100 mL)</a:t>
                </a:r>
                <a:endParaRPr lang="en-US" sz="1400"/>
              </a:p>
            </c:rich>
          </c:tx>
          <c:overlay val="0"/>
        </c:title>
        <c:numFmt formatCode="0" sourceLinked="1"/>
        <c:majorTickMark val="out"/>
        <c:minorTickMark val="out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288364032"/>
        <c:crosses val="autoZero"/>
        <c:crossBetween val="midCat"/>
        <c:majorUnit val="10"/>
        <c:minorUnit val="10"/>
      </c:valAx>
      <c:spPr>
        <a:ln>
          <a:solidFill>
            <a:schemeClr val="tx1"/>
          </a:solidFill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Cl2 </a:t>
            </a:r>
            <a:r>
              <a:rPr lang="en-US" i="1"/>
              <a:t>E. coli</a:t>
            </a:r>
            <a:r>
              <a:rPr lang="en-US"/>
              <a:t> inactivation</a:t>
            </a:r>
          </a:p>
        </c:rich>
      </c:tx>
      <c:layout>
        <c:manualLayout>
          <c:xMode val="edge"/>
          <c:yMode val="edge"/>
          <c:x val="0.29638451311354291"/>
          <c:y val="2.3616227013306599E-2"/>
        </c:manualLayout>
      </c:layout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Exp N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'Cl2 EColi Inactivation'!$C$6:$C$17</c:f>
              <c:numCache>
                <c:formatCode>0.00</c:formatCode>
                <c:ptCount val="12"/>
                <c:pt idx="0">
                  <c:v>0</c:v>
                </c:pt>
                <c:pt idx="1">
                  <c:v>0.68477620608950218</c:v>
                </c:pt>
                <c:pt idx="2">
                  <c:v>2.0277823050229209</c:v>
                </c:pt>
                <c:pt idx="3">
                  <c:v>3.3361547931803117</c:v>
                </c:pt>
                <c:pt idx="4">
                  <c:v>6.4613686363711409</c:v>
                </c:pt>
                <c:pt idx="5">
                  <c:v>17.107232048065356</c:v>
                </c:pt>
                <c:pt idx="6">
                  <c:v>0</c:v>
                </c:pt>
                <c:pt idx="7">
                  <c:v>2.0826639796112403</c:v>
                </c:pt>
                <c:pt idx="8">
                  <c:v>6.0290229911464595</c:v>
                </c:pt>
                <c:pt idx="9">
                  <c:v>9.7004260896074399</c:v>
                </c:pt>
                <c:pt idx="10">
                  <c:v>17.798458432026855</c:v>
                </c:pt>
                <c:pt idx="11">
                  <c:v>38.846848099474983</c:v>
                </c:pt>
              </c:numCache>
            </c:numRef>
          </c:xVal>
          <c:yVal>
            <c:numRef>
              <c:f>'Cl2 EColi Inactivation'!$B$6:$B$17</c:f>
              <c:numCache>
                <c:formatCode>0</c:formatCode>
                <c:ptCount val="12"/>
                <c:pt idx="0">
                  <c:v>1975</c:v>
                </c:pt>
                <c:pt idx="1">
                  <c:v>68</c:v>
                </c:pt>
                <c:pt idx="2">
                  <c:v>64</c:v>
                </c:pt>
                <c:pt idx="3">
                  <c:v>56</c:v>
                </c:pt>
                <c:pt idx="4">
                  <c:v>25</c:v>
                </c:pt>
                <c:pt idx="5">
                  <c:v>5</c:v>
                </c:pt>
                <c:pt idx="6">
                  <c:v>2250</c:v>
                </c:pt>
                <c:pt idx="7">
                  <c:v>24</c:v>
                </c:pt>
                <c:pt idx="8">
                  <c:v>12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0A-417F-B03C-48C3AFE1FE8D}"/>
            </c:ext>
          </c:extLst>
        </c:ser>
        <c:ser>
          <c:idx val="1"/>
          <c:order val="1"/>
          <c:spPr>
            <a:ln w="9525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'Cl2 EColi Inactivation'!$I$3:$I$42</c:f>
              <c:numCache>
                <c:formatCode>General</c:formatCode>
                <c:ptCount val="4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</c:numCache>
            </c:numRef>
          </c:xVal>
          <c:yVal>
            <c:numRef>
              <c:f>'Cl2 EColi Inactivation'!$J$3:$J$42</c:f>
              <c:numCache>
                <c:formatCode>0.0</c:formatCode>
                <c:ptCount val="40"/>
                <c:pt idx="0">
                  <c:v>2112.5</c:v>
                </c:pt>
                <c:pt idx="1">
                  <c:v>68.411805715156319</c:v>
                </c:pt>
                <c:pt idx="2">
                  <c:v>40.921639326212876</c:v>
                </c:pt>
                <c:pt idx="3">
                  <c:v>29.255507595781786</c:v>
                </c:pt>
                <c:pt idx="4">
                  <c:v>22.664127859899999</c:v>
                </c:pt>
                <c:pt idx="5">
                  <c:v>18.399589549015207</c:v>
                </c:pt>
                <c:pt idx="6">
                  <c:v>15.408430802486212</c:v>
                </c:pt>
                <c:pt idx="7">
                  <c:v>13.193794775976151</c:v>
                </c:pt>
                <c:pt idx="8">
                  <c:v>11.488933680552366</c:v>
                </c:pt>
                <c:pt idx="9">
                  <c:v>10.137209625417274</c:v>
                </c:pt>
                <c:pt idx="10">
                  <c:v>9.0403601785861163</c:v>
                </c:pt>
                <c:pt idx="11">
                  <c:v>8.1335251743045003</c:v>
                </c:pt>
                <c:pt idx="12">
                  <c:v>7.3721236651986102</c:v>
                </c:pt>
                <c:pt idx="13">
                  <c:v>6.72448476945371</c:v>
                </c:pt>
                <c:pt idx="14">
                  <c:v>6.1674823768134646</c:v>
                </c:pt>
                <c:pt idx="15">
                  <c:v>5.6838328120089301</c:v>
                </c:pt>
                <c:pt idx="16">
                  <c:v>5.2603589433875406</c:v>
                </c:pt>
                <c:pt idx="17">
                  <c:v>4.8868394147447933</c:v>
                </c:pt>
                <c:pt idx="18">
                  <c:v>4.5552247480186514</c:v>
                </c:pt>
                <c:pt idx="19">
                  <c:v>4.2590905450806682</c:v>
                </c:pt>
                <c:pt idx="20">
                  <c:v>3.9932480319936201</c:v>
                </c:pt>
                <c:pt idx="21">
                  <c:v>3.7534614859731068</c:v>
                </c:pt>
                <c:pt idx="22">
                  <c:v>3.5362397916026254</c:v>
                </c:pt>
                <c:pt idx="23">
                  <c:v>3.3386803748823808</c:v>
                </c:pt>
                <c:pt idx="24">
                  <c:v>3.1583507711698653</c:v>
                </c:pt>
                <c:pt idx="25">
                  <c:v>2.9931976466162094</c:v>
                </c:pt>
                <c:pt idx="26">
                  <c:v>2.8414761249449527</c:v>
                </c:pt>
                <c:pt idx="27">
                  <c:v>2.701694323270551</c:v>
                </c:pt>
                <c:pt idx="28">
                  <c:v>2.5725694123921641</c:v>
                </c:pt>
                <c:pt idx="29">
                  <c:v>2.4529925032419793</c:v>
                </c:pt>
                <c:pt idx="30">
                  <c:v>2.3420003598898038</c:v>
                </c:pt>
                <c:pt idx="31">
                  <c:v>2.2387524409773656</c:v>
                </c:pt>
                <c:pt idx="32">
                  <c:v>2.1425121357010073</c:v>
                </c:pt>
                <c:pt idx="33">
                  <c:v>2.0526313279927026</c:v>
                </c:pt>
                <c:pt idx="34">
                  <c:v>1.9685376210940322</c:v>
                </c:pt>
                <c:pt idx="35">
                  <c:v>1.8897237034972292</c:v>
                </c:pt>
                <c:pt idx="36">
                  <c:v>1.8157384497301579</c:v>
                </c:pt>
                <c:pt idx="37">
                  <c:v>1.7461794352586233</c:v>
                </c:pt>
                <c:pt idx="38">
                  <c:v>1.6806866107338372</c:v>
                </c:pt>
                <c:pt idx="39">
                  <c:v>1.6189369318966327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0A-417F-B03C-48C3AFE1FE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8417280"/>
        <c:axId val="288419200"/>
      </c:scatterChart>
      <c:valAx>
        <c:axId val="288417280"/>
        <c:scaling>
          <c:orientation val="minMax"/>
          <c:max val="45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400"/>
                </a:pPr>
                <a:r>
                  <a:rPr lang="en-US" sz="1400"/>
                  <a:t>Cl2</a:t>
                </a:r>
                <a:r>
                  <a:rPr lang="en-US" sz="1400" baseline="0"/>
                  <a:t> ICT (mg</a:t>
                </a:r>
                <a:r>
                  <a:rPr lang="en-US" sz="1400" baseline="0">
                    <a:latin typeface="Calibri"/>
                  </a:rPr>
                  <a:t>·min/L)</a:t>
                </a:r>
                <a:endParaRPr lang="en-US" sz="1400"/>
              </a:p>
            </c:rich>
          </c:tx>
          <c:overlay val="0"/>
        </c:title>
        <c:numFmt formatCode="#,##0" sourceLinked="0"/>
        <c:majorTickMark val="out"/>
        <c:minorTickMark val="out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288419200"/>
        <c:crosses val="autoZero"/>
        <c:crossBetween val="midCat"/>
        <c:majorUnit val="10"/>
        <c:minorUnit val="2"/>
      </c:valAx>
      <c:valAx>
        <c:axId val="288419200"/>
        <c:scaling>
          <c:logBase val="10"/>
          <c:orientation val="minMax"/>
          <c:max val="100000"/>
          <c:min val="1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400"/>
                </a:pPr>
                <a:r>
                  <a:rPr lang="en-US" sz="1400"/>
                  <a:t>Viable</a:t>
                </a:r>
                <a:r>
                  <a:rPr lang="en-US" sz="1400" baseline="0"/>
                  <a:t> Microbes (CFU/100 mL)</a:t>
                </a:r>
                <a:endParaRPr lang="en-US" sz="1400"/>
              </a:p>
            </c:rich>
          </c:tx>
          <c:overlay val="0"/>
        </c:title>
        <c:numFmt formatCode="0" sourceLinked="1"/>
        <c:majorTickMark val="out"/>
        <c:minorTickMark val="out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288417280"/>
        <c:crosses val="autoZero"/>
        <c:crossBetween val="midCat"/>
        <c:majorUnit val="10"/>
        <c:minorUnit val="10"/>
      </c:valAx>
      <c:spPr>
        <a:ln>
          <a:solidFill>
            <a:schemeClr val="tx1"/>
          </a:solidFill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Cl2 Fecal coliforms inactivation</a:t>
            </a:r>
          </a:p>
        </c:rich>
      </c:tx>
      <c:layout>
        <c:manualLayout>
          <c:xMode val="edge"/>
          <c:yMode val="edge"/>
          <c:x val="0.22024656904281056"/>
          <c:y val="2.3703700016922326E-2"/>
        </c:manualLayout>
      </c:layout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Exp N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'Cl2 Fecal Coli Inactivation'!$C$6:$C$17</c:f>
              <c:numCache>
                <c:formatCode>0.00</c:formatCode>
                <c:ptCount val="12"/>
                <c:pt idx="0">
                  <c:v>0</c:v>
                </c:pt>
                <c:pt idx="1">
                  <c:v>0.68477620608950218</c:v>
                </c:pt>
                <c:pt idx="2">
                  <c:v>2.0277823050229209</c:v>
                </c:pt>
                <c:pt idx="3">
                  <c:v>3.3361547931803117</c:v>
                </c:pt>
                <c:pt idx="4">
                  <c:v>6.4613686363711409</c:v>
                </c:pt>
                <c:pt idx="5">
                  <c:v>17.107232048065356</c:v>
                </c:pt>
                <c:pt idx="6">
                  <c:v>0</c:v>
                </c:pt>
                <c:pt idx="7">
                  <c:v>2.0826639796112403</c:v>
                </c:pt>
                <c:pt idx="8">
                  <c:v>6.0290229911464595</c:v>
                </c:pt>
                <c:pt idx="9">
                  <c:v>9.7004260896074399</c:v>
                </c:pt>
                <c:pt idx="10">
                  <c:v>17.798458432026855</c:v>
                </c:pt>
                <c:pt idx="11">
                  <c:v>38.846848099474983</c:v>
                </c:pt>
              </c:numCache>
            </c:numRef>
          </c:xVal>
          <c:yVal>
            <c:numRef>
              <c:f>'Cl2 Fecal Coli Inactivation'!$B$6:$B$17</c:f>
              <c:numCache>
                <c:formatCode>0</c:formatCode>
                <c:ptCount val="12"/>
                <c:pt idx="0">
                  <c:v>6200</c:v>
                </c:pt>
                <c:pt idx="1">
                  <c:v>330</c:v>
                </c:pt>
                <c:pt idx="2">
                  <c:v>310</c:v>
                </c:pt>
                <c:pt idx="3">
                  <c:v>250</c:v>
                </c:pt>
                <c:pt idx="4">
                  <c:v>104</c:v>
                </c:pt>
                <c:pt idx="5">
                  <c:v>28</c:v>
                </c:pt>
                <c:pt idx="6">
                  <c:v>5900</c:v>
                </c:pt>
                <c:pt idx="7">
                  <c:v>100</c:v>
                </c:pt>
                <c:pt idx="8">
                  <c:v>68</c:v>
                </c:pt>
                <c:pt idx="9">
                  <c:v>18</c:v>
                </c:pt>
                <c:pt idx="10">
                  <c:v>17</c:v>
                </c:pt>
                <c:pt idx="1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09-481A-AD01-92DA9B187765}"/>
            </c:ext>
          </c:extLst>
        </c:ser>
        <c:ser>
          <c:idx val="1"/>
          <c:order val="1"/>
          <c:spPr>
            <a:ln w="9525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'Cl2 Fecal Coli Inactivation'!$I$3:$I$42</c:f>
              <c:numCache>
                <c:formatCode>General</c:formatCode>
                <c:ptCount val="4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</c:numCache>
            </c:numRef>
          </c:xVal>
          <c:yVal>
            <c:numRef>
              <c:f>'Cl2 Fecal Coli Inactivation'!$J$3:$J$42</c:f>
              <c:numCache>
                <c:formatCode>0.0</c:formatCode>
                <c:ptCount val="40"/>
                <c:pt idx="0">
                  <c:v>6050.0000000000009</c:v>
                </c:pt>
                <c:pt idx="1">
                  <c:v>319.72536766588382</c:v>
                </c:pt>
                <c:pt idx="2">
                  <c:v>214.54644566206596</c:v>
                </c:pt>
                <c:pt idx="3">
                  <c:v>157.43286912256519</c:v>
                </c:pt>
                <c:pt idx="4">
                  <c:v>120.14507421367964</c:v>
                </c:pt>
                <c:pt idx="5">
                  <c:v>94.080337928462484</c:v>
                </c:pt>
                <c:pt idx="6">
                  <c:v>75.21413893084187</c:v>
                </c:pt>
                <c:pt idx="7">
                  <c:v>61.253689582040408</c:v>
                </c:pt>
                <c:pt idx="8">
                  <c:v>50.751714988408928</c:v>
                </c:pt>
                <c:pt idx="9">
                  <c:v>42.740527791655666</c:v>
                </c:pt>
                <c:pt idx="10">
                  <c:v>36.550326440824954</c:v>
                </c:pt>
                <c:pt idx="11">
                  <c:v>31.707059168757045</c:v>
                </c:pt>
                <c:pt idx="12">
                  <c:v>27.870028966453457</c:v>
                </c:pt>
                <c:pt idx="13">
                  <c:v>24.791587571490695</c:v>
                </c:pt>
                <c:pt idx="14">
                  <c:v>22.290096747448668</c:v>
                </c:pt>
                <c:pt idx="15">
                  <c:v>20.231312648652544</c:v>
                </c:pt>
                <c:pt idx="16">
                  <c:v>18.515332841721353</c:v>
                </c:pt>
                <c:pt idx="17">
                  <c:v>17.067321669152914</c:v>
                </c:pt>
                <c:pt idx="18">
                  <c:v>15.830854498590504</c:v>
                </c:pt>
                <c:pt idx="19">
                  <c:v>14.763104336163249</c:v>
                </c:pt>
                <c:pt idx="20">
                  <c:v>13.831338996822115</c:v>
                </c:pt>
                <c:pt idx="21">
                  <c:v>13.010358508975344</c:v>
                </c:pt>
                <c:pt idx="22">
                  <c:v>12.280611625420018</c:v>
                </c:pt>
                <c:pt idx="23">
                  <c:v>11.626805531955949</c:v>
                </c:pt>
                <c:pt idx="24">
                  <c:v>11.03687539968926</c:v>
                </c:pt>
                <c:pt idx="25">
                  <c:v>10.501217549182753</c:v>
                </c:pt>
                <c:pt idx="26">
                  <c:v>10.012116440299989</c:v>
                </c:pt>
                <c:pt idx="27">
                  <c:v>9.5633146690530708</c:v>
                </c:pt>
                <c:pt idx="28">
                  <c:v>9.1496888310459585</c:v>
                </c:pt>
                <c:pt idx="29">
                  <c:v>8.7670040195793515</c:v>
                </c:pt>
                <c:pt idx="30">
                  <c:v>8.4117269314342522</c:v>
                </c:pt>
                <c:pt idx="31">
                  <c:v>8.0808828096977958</c:v>
                </c:pt>
                <c:pt idx="32">
                  <c:v>7.7719452989935798</c:v>
                </c:pt>
                <c:pt idx="33">
                  <c:v>7.482751110101904</c:v>
                </c:pt>
                <c:pt idx="34">
                  <c:v>7.211433466279658</c:v>
                </c:pt>
                <c:pt idx="35">
                  <c:v>6.9563698337367033</c:v>
                </c:pt>
                <c:pt idx="36">
                  <c:v>6.7161405696448773</c:v>
                </c:pt>
                <c:pt idx="37">
                  <c:v>6.4894959589572023</c:v>
                </c:pt>
                <c:pt idx="38">
                  <c:v>6.2753297336876139</c:v>
                </c:pt>
                <c:pt idx="39">
                  <c:v>6.0726576318063916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209-481A-AD01-92DA9B1877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8196096"/>
        <c:axId val="288198016"/>
      </c:scatterChart>
      <c:valAx>
        <c:axId val="288196096"/>
        <c:scaling>
          <c:orientation val="minMax"/>
          <c:max val="45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400"/>
                </a:pPr>
                <a:r>
                  <a:rPr lang="en-US" sz="1400" baseline="0"/>
                  <a:t>Cl2 ICT (mg</a:t>
                </a:r>
                <a:r>
                  <a:rPr lang="en-US" sz="1400" baseline="0">
                    <a:latin typeface="Calibri"/>
                  </a:rPr>
                  <a:t>·min/L)</a:t>
                </a:r>
                <a:endParaRPr lang="en-US" sz="1400"/>
              </a:p>
            </c:rich>
          </c:tx>
          <c:overlay val="0"/>
        </c:title>
        <c:numFmt formatCode="#,##0" sourceLinked="0"/>
        <c:majorTickMark val="out"/>
        <c:minorTickMark val="out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288198016"/>
        <c:crosses val="autoZero"/>
        <c:crossBetween val="midCat"/>
        <c:majorUnit val="10"/>
        <c:minorUnit val="2"/>
      </c:valAx>
      <c:valAx>
        <c:axId val="288198016"/>
        <c:scaling>
          <c:logBase val="10"/>
          <c:orientation val="minMax"/>
          <c:max val="100000"/>
          <c:min val="1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400"/>
                </a:pPr>
                <a:r>
                  <a:rPr lang="en-US" sz="1400"/>
                  <a:t>Viable</a:t>
                </a:r>
                <a:r>
                  <a:rPr lang="en-US" sz="1400" baseline="0"/>
                  <a:t> Microbes (CFU/100 mL)</a:t>
                </a:r>
                <a:endParaRPr lang="en-US" sz="1400"/>
              </a:p>
            </c:rich>
          </c:tx>
          <c:overlay val="0"/>
        </c:title>
        <c:numFmt formatCode="0" sourceLinked="1"/>
        <c:majorTickMark val="out"/>
        <c:minorTickMark val="out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288196096"/>
        <c:crosses val="autoZero"/>
        <c:crossBetween val="midCat"/>
        <c:majorUnit val="10"/>
        <c:minorUnit val="10"/>
      </c:valAx>
      <c:spPr>
        <a:ln>
          <a:solidFill>
            <a:schemeClr val="tx1"/>
          </a:solidFill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Cl2 Total coliforms inactivation</a:t>
            </a:r>
          </a:p>
        </c:rich>
      </c:tx>
      <c:layout>
        <c:manualLayout>
          <c:xMode val="edge"/>
          <c:yMode val="edge"/>
          <c:x val="0.24162024709411398"/>
          <c:y val="2.3616227013306599E-2"/>
        </c:manualLayout>
      </c:layout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Exp N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'Cl2 Total Coli Inactivation'!$C$6:$C$17</c:f>
              <c:numCache>
                <c:formatCode>0.00</c:formatCode>
                <c:ptCount val="12"/>
                <c:pt idx="0">
                  <c:v>0</c:v>
                </c:pt>
                <c:pt idx="1">
                  <c:v>0.68477620608950218</c:v>
                </c:pt>
                <c:pt idx="2">
                  <c:v>2.0277823050229209</c:v>
                </c:pt>
                <c:pt idx="3">
                  <c:v>3.3361547931803117</c:v>
                </c:pt>
                <c:pt idx="4">
                  <c:v>6.4613686363711409</c:v>
                </c:pt>
                <c:pt idx="5">
                  <c:v>17.107232048065356</c:v>
                </c:pt>
                <c:pt idx="6">
                  <c:v>0</c:v>
                </c:pt>
                <c:pt idx="7">
                  <c:v>2.0826639796112403</c:v>
                </c:pt>
                <c:pt idx="8">
                  <c:v>6.0290229911464595</c:v>
                </c:pt>
                <c:pt idx="9">
                  <c:v>9.7004260896074399</c:v>
                </c:pt>
                <c:pt idx="10">
                  <c:v>17.798458432026855</c:v>
                </c:pt>
                <c:pt idx="11">
                  <c:v>38.846848099474983</c:v>
                </c:pt>
              </c:numCache>
            </c:numRef>
          </c:xVal>
          <c:yVal>
            <c:numRef>
              <c:f>'Cl2 Total Coli Inactivation'!$B$6:$B$17</c:f>
              <c:numCache>
                <c:formatCode>0</c:formatCode>
                <c:ptCount val="12"/>
                <c:pt idx="0">
                  <c:v>98000</c:v>
                </c:pt>
                <c:pt idx="1">
                  <c:v>50000</c:v>
                </c:pt>
                <c:pt idx="2">
                  <c:v>60000</c:v>
                </c:pt>
                <c:pt idx="3">
                  <c:v>64000</c:v>
                </c:pt>
                <c:pt idx="4">
                  <c:v>3500</c:v>
                </c:pt>
                <c:pt idx="5">
                  <c:v>940</c:v>
                </c:pt>
                <c:pt idx="6">
                  <c:v>116000</c:v>
                </c:pt>
                <c:pt idx="7">
                  <c:v>1800</c:v>
                </c:pt>
                <c:pt idx="8">
                  <c:v>960</c:v>
                </c:pt>
                <c:pt idx="9">
                  <c:v>625</c:v>
                </c:pt>
                <c:pt idx="10">
                  <c:v>376</c:v>
                </c:pt>
                <c:pt idx="11">
                  <c:v>1890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6D-44C8-8E3B-709D2967FC07}"/>
            </c:ext>
          </c:extLst>
        </c:ser>
        <c:ser>
          <c:idx val="1"/>
          <c:order val="1"/>
          <c:spPr>
            <a:ln w="9525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'Cl2 Total Coli Inactivation'!$I$3:$I$42</c:f>
              <c:numCache>
                <c:formatCode>General</c:formatCode>
                <c:ptCount val="4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</c:numCache>
            </c:numRef>
          </c:xVal>
          <c:yVal>
            <c:numRef>
              <c:f>'Cl2 Total Coli Inactivation'!$J$3:$J$42</c:f>
              <c:numCache>
                <c:formatCode>0.0</c:formatCode>
                <c:ptCount val="40"/>
                <c:pt idx="0">
                  <c:v>107000</c:v>
                </c:pt>
                <c:pt idx="1">
                  <c:v>45947.108087510758</c:v>
                </c:pt>
                <c:pt idx="2">
                  <c:v>22816.124697170271</c:v>
                </c:pt>
                <c:pt idx="3">
                  <c:v>12014.785490368227</c:v>
                </c:pt>
                <c:pt idx="4">
                  <c:v>6664.3274617656725</c:v>
                </c:pt>
                <c:pt idx="5">
                  <c:v>3921.4136913019852</c:v>
                </c:pt>
                <c:pt idx="6">
                  <c:v>2481.4733624176647</c:v>
                </c:pt>
                <c:pt idx="7">
                  <c:v>1711.8681672573446</c:v>
                </c:pt>
                <c:pt idx="8">
                  <c:v>1294.6083626841305</c:v>
                </c:pt>
                <c:pt idx="9">
                  <c:v>1065.6859010170733</c:v>
                </c:pt>
                <c:pt idx="10">
                  <c:v>938.82111818756755</c:v>
                </c:pt>
                <c:pt idx="11">
                  <c:v>867.8987231965408</c:v>
                </c:pt>
                <c:pt idx="12">
                  <c:v>827.94443126385192</c:v>
                </c:pt>
                <c:pt idx="13">
                  <c:v>805.28126847327735</c:v>
                </c:pt>
                <c:pt idx="14">
                  <c:v>792.34644364751136</c:v>
                </c:pt>
                <c:pt idx="15">
                  <c:v>784.92241714812735</c:v>
                </c:pt>
                <c:pt idx="16">
                  <c:v>780.63937950342881</c:v>
                </c:pt>
                <c:pt idx="17">
                  <c:v>778.15669002481593</c:v>
                </c:pt>
                <c:pt idx="18">
                  <c:v>776.71125055773348</c:v>
                </c:pt>
                <c:pt idx="19">
                  <c:v>775.8662580981179</c:v>
                </c:pt>
                <c:pt idx="20">
                  <c:v>775.37039056358935</c:v>
                </c:pt>
                <c:pt idx="21">
                  <c:v>775.07835463745255</c:v>
                </c:pt>
                <c:pt idx="22">
                  <c:v>774.90578129656433</c:v>
                </c:pt>
                <c:pt idx="23">
                  <c:v>774.80347638175522</c:v>
                </c:pt>
                <c:pt idx="24">
                  <c:v>774.74264449164093</c:v>
                </c:pt>
                <c:pt idx="25">
                  <c:v>774.7063691277184</c:v>
                </c:pt>
                <c:pt idx="26">
                  <c:v>774.68467822733089</c:v>
                </c:pt>
                <c:pt idx="27">
                  <c:v>774.67167432593919</c:v>
                </c:pt>
                <c:pt idx="28">
                  <c:v>774.66385895464964</c:v>
                </c:pt>
                <c:pt idx="29">
                  <c:v>774.65915070945857</c:v>
                </c:pt>
                <c:pt idx="30">
                  <c:v>774.65630782443816</c:v>
                </c:pt>
                <c:pt idx="31">
                  <c:v>774.65458749842526</c:v>
                </c:pt>
                <c:pt idx="32">
                  <c:v>774.65354427628642</c:v>
                </c:pt>
                <c:pt idx="33">
                  <c:v>774.65291037253064</c:v>
                </c:pt>
                <c:pt idx="34">
                  <c:v>774.65252443361021</c:v>
                </c:pt>
                <c:pt idx="35">
                  <c:v>774.6522890192897</c:v>
                </c:pt>
                <c:pt idx="36">
                  <c:v>774.65214515982257</c:v>
                </c:pt>
                <c:pt idx="37">
                  <c:v>774.65205709362783</c:v>
                </c:pt>
                <c:pt idx="38">
                  <c:v>774.65200309027216</c:v>
                </c:pt>
                <c:pt idx="39">
                  <c:v>774.65196991993025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D6D-44C8-8E3B-709D2967F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8241152"/>
        <c:axId val="288243072"/>
      </c:scatterChart>
      <c:valAx>
        <c:axId val="288241152"/>
        <c:scaling>
          <c:orientation val="minMax"/>
          <c:max val="45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400"/>
                </a:pPr>
                <a:r>
                  <a:rPr lang="en-US" sz="1400"/>
                  <a:t>Cl2</a:t>
                </a:r>
                <a:r>
                  <a:rPr lang="en-US" sz="1400" baseline="0"/>
                  <a:t> ICT (mg</a:t>
                </a:r>
                <a:r>
                  <a:rPr lang="en-US" sz="1400" baseline="0">
                    <a:latin typeface="Calibri"/>
                  </a:rPr>
                  <a:t>·min/L)</a:t>
                </a:r>
                <a:endParaRPr lang="en-US" sz="1400"/>
              </a:p>
            </c:rich>
          </c:tx>
          <c:overlay val="0"/>
        </c:title>
        <c:numFmt formatCode="#,##0" sourceLinked="0"/>
        <c:majorTickMark val="out"/>
        <c:minorTickMark val="out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288243072"/>
        <c:crosses val="autoZero"/>
        <c:crossBetween val="midCat"/>
        <c:majorUnit val="10"/>
        <c:minorUnit val="2"/>
      </c:valAx>
      <c:valAx>
        <c:axId val="288243072"/>
        <c:scaling>
          <c:logBase val="10"/>
          <c:orientation val="minMax"/>
          <c:max val="100000"/>
          <c:min val="1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400"/>
                </a:pPr>
                <a:r>
                  <a:rPr lang="en-US" sz="1400"/>
                  <a:t>Viable</a:t>
                </a:r>
                <a:r>
                  <a:rPr lang="en-US" sz="1400" baseline="0"/>
                  <a:t> Microbes (CFU/100 mL)</a:t>
                </a:r>
                <a:endParaRPr lang="en-US" sz="1400"/>
              </a:p>
            </c:rich>
          </c:tx>
          <c:overlay val="0"/>
        </c:title>
        <c:numFmt formatCode="0" sourceLinked="1"/>
        <c:majorTickMark val="out"/>
        <c:minorTickMark val="out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288241152"/>
        <c:crosses val="autoZero"/>
        <c:crossBetween val="midCat"/>
        <c:majorUnit val="10"/>
        <c:minorUnit val="10"/>
      </c:valAx>
      <c:spPr>
        <a:ln>
          <a:solidFill>
            <a:schemeClr val="tx1"/>
          </a:solidFill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Cl2 Enterococci inactivation</a:t>
            </a:r>
          </a:p>
        </c:rich>
      </c:tx>
      <c:layout>
        <c:manualLayout>
          <c:xMode val="edge"/>
          <c:yMode val="edge"/>
          <c:x val="0.25391500716831528"/>
          <c:y val="2.3616227013306599E-2"/>
        </c:manualLayout>
      </c:layout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Exp N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'Cl2 Enterococci Inactivation'!$C$6:$C$17</c:f>
              <c:numCache>
                <c:formatCode>0.00</c:formatCode>
                <c:ptCount val="12"/>
                <c:pt idx="0">
                  <c:v>0</c:v>
                </c:pt>
                <c:pt idx="1">
                  <c:v>0.68477620608950218</c:v>
                </c:pt>
                <c:pt idx="2">
                  <c:v>2.0277823050229209</c:v>
                </c:pt>
                <c:pt idx="3">
                  <c:v>3.3361547931803117</c:v>
                </c:pt>
                <c:pt idx="4">
                  <c:v>6.4613686363711409</c:v>
                </c:pt>
                <c:pt idx="5">
                  <c:v>17.107232048065356</c:v>
                </c:pt>
                <c:pt idx="6">
                  <c:v>0</c:v>
                </c:pt>
                <c:pt idx="7">
                  <c:v>2.0826639796112403</c:v>
                </c:pt>
                <c:pt idx="8">
                  <c:v>6.0290229911464595</c:v>
                </c:pt>
                <c:pt idx="9">
                  <c:v>9.7004260896074399</c:v>
                </c:pt>
                <c:pt idx="10">
                  <c:v>17.798458432026855</c:v>
                </c:pt>
                <c:pt idx="11">
                  <c:v>38.846848099474983</c:v>
                </c:pt>
              </c:numCache>
            </c:numRef>
          </c:xVal>
          <c:yVal>
            <c:numRef>
              <c:f>'Cl2 Enterococci Inactivation'!$B$6:$B$17</c:f>
              <c:numCache>
                <c:formatCode>0</c:formatCode>
                <c:ptCount val="12"/>
                <c:pt idx="0">
                  <c:v>860</c:v>
                </c:pt>
                <c:pt idx="1">
                  <c:v>240</c:v>
                </c:pt>
                <c:pt idx="2">
                  <c:v>164</c:v>
                </c:pt>
                <c:pt idx="3">
                  <c:v>164</c:v>
                </c:pt>
                <c:pt idx="4">
                  <c:v>75</c:v>
                </c:pt>
                <c:pt idx="5">
                  <c:v>16</c:v>
                </c:pt>
                <c:pt idx="6">
                  <c:v>660</c:v>
                </c:pt>
                <c:pt idx="7">
                  <c:v>140</c:v>
                </c:pt>
                <c:pt idx="8">
                  <c:v>44</c:v>
                </c:pt>
                <c:pt idx="9">
                  <c:v>24</c:v>
                </c:pt>
                <c:pt idx="10">
                  <c:v>9</c:v>
                </c:pt>
                <c:pt idx="1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BB-4EB7-B8B6-3B44DB753E37}"/>
            </c:ext>
          </c:extLst>
        </c:ser>
        <c:ser>
          <c:idx val="1"/>
          <c:order val="1"/>
          <c:spPr>
            <a:ln w="9525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'Cl2 Enterococci Inactivation'!$I$3:$I$42</c:f>
              <c:numCache>
                <c:formatCode>General</c:formatCode>
                <c:ptCount val="4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</c:numCache>
            </c:numRef>
          </c:xVal>
          <c:yVal>
            <c:numRef>
              <c:f>'Cl2 Enterococci Inactivation'!$J$3:$J$42</c:f>
              <c:numCache>
                <c:formatCode>0.0</c:formatCode>
                <c:ptCount val="40"/>
                <c:pt idx="0">
                  <c:v>760</c:v>
                </c:pt>
                <c:pt idx="1">
                  <c:v>258.76884446286772</c:v>
                </c:pt>
                <c:pt idx="2">
                  <c:v>166.54397030441206</c:v>
                </c:pt>
                <c:pt idx="3">
                  <c:v>119.15636875440762</c:v>
                </c:pt>
                <c:pt idx="4">
                  <c:v>90.127223600151098</c:v>
                </c:pt>
                <c:pt idx="5">
                  <c:v>70.684822400909624</c:v>
                </c:pt>
                <c:pt idx="6">
                  <c:v>56.916212069502123</c:v>
                </c:pt>
                <c:pt idx="7">
                  <c:v>46.779603467980358</c:v>
                </c:pt>
                <c:pt idx="8">
                  <c:v>39.098158767702003</c:v>
                </c:pt>
                <c:pt idx="9">
                  <c:v>33.144723591431749</c:v>
                </c:pt>
                <c:pt idx="10">
                  <c:v>28.446153937735772</c:v>
                </c:pt>
                <c:pt idx="11">
                  <c:v>24.681979003690273</c:v>
                </c:pt>
                <c:pt idx="12">
                  <c:v>21.628044379773424</c:v>
                </c:pt>
                <c:pt idx="13">
                  <c:v>19.123369623499656</c:v>
                </c:pt>
                <c:pt idx="14">
                  <c:v>17.049758687507037</c:v>
                </c:pt>
                <c:pt idx="15">
                  <c:v>15.318780051438916</c:v>
                </c:pt>
                <c:pt idx="16">
                  <c:v>13.863188289728834</c:v>
                </c:pt>
                <c:pt idx="17">
                  <c:v>12.631118811654959</c:v>
                </c:pt>
                <c:pt idx="18">
                  <c:v>11.58206742024394</c:v>
                </c:pt>
                <c:pt idx="19">
                  <c:v>10.68404914772889</c:v>
                </c:pt>
                <c:pt idx="20">
                  <c:v>9.9115543867909004</c:v>
                </c:pt>
                <c:pt idx="21">
                  <c:v>9.2440551185495572</c:v>
                </c:pt>
                <c:pt idx="22">
                  <c:v>8.6648976010295353</c:v>
                </c:pt>
                <c:pt idx="23">
                  <c:v>8.1604709899996095</c:v>
                </c:pt>
                <c:pt idx="24">
                  <c:v>7.7195758723406236</c:v>
                </c:pt>
                <c:pt idx="25">
                  <c:v>7.3329395651266092</c:v>
                </c:pt>
                <c:pt idx="26">
                  <c:v>6.9928404695193391</c:v>
                </c:pt>
                <c:pt idx="27">
                  <c:v>6.6928143570886753</c:v>
                </c:pt>
                <c:pt idx="28">
                  <c:v>6.4274228386263657</c:v>
                </c:pt>
                <c:pt idx="29">
                  <c:v>6.1920694693633269</c:v>
                </c:pt>
                <c:pt idx="30">
                  <c:v>5.9828526641025066</c:v>
                </c:pt>
                <c:pt idx="31">
                  <c:v>5.7964472855233504</c:v>
                </c:pt>
                <c:pt idx="32">
                  <c:v>5.6300087349682233</c:v>
                </c:pt>
                <c:pt idx="33">
                  <c:v>5.4810948265295707</c:v>
                </c:pt>
                <c:pt idx="34">
                  <c:v>5.3476018069037607</c:v>
                </c:pt>
                <c:pt idx="35">
                  <c:v>5.2277116965471251</c:v>
                </c:pt>
                <c:pt idx="36">
                  <c:v>5.1198487438450266</c:v>
                </c:pt>
                <c:pt idx="37">
                  <c:v>5.0226432545460167</c:v>
                </c:pt>
                <c:pt idx="38">
                  <c:v>4.9349014206304522</c:v>
                </c:pt>
                <c:pt idx="39">
                  <c:v>4.8555800530417299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BB-4EB7-B8B6-3B44DB753E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8462336"/>
        <c:axId val="288464256"/>
      </c:scatterChart>
      <c:valAx>
        <c:axId val="288462336"/>
        <c:scaling>
          <c:orientation val="minMax"/>
          <c:max val="45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400"/>
                </a:pPr>
                <a:r>
                  <a:rPr lang="en-US" sz="1400"/>
                  <a:t>Cl2</a:t>
                </a:r>
                <a:r>
                  <a:rPr lang="en-US" sz="1400" baseline="0"/>
                  <a:t> ICT (mg</a:t>
                </a:r>
                <a:r>
                  <a:rPr lang="en-US" sz="1400" baseline="0">
                    <a:latin typeface="Calibri"/>
                  </a:rPr>
                  <a:t>·min/L)</a:t>
                </a:r>
                <a:endParaRPr lang="en-US" sz="1400"/>
              </a:p>
            </c:rich>
          </c:tx>
          <c:overlay val="0"/>
        </c:title>
        <c:numFmt formatCode="#,##0" sourceLinked="0"/>
        <c:majorTickMark val="out"/>
        <c:minorTickMark val="none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288464256"/>
        <c:crosses val="autoZero"/>
        <c:crossBetween val="midCat"/>
        <c:majorUnit val="10"/>
        <c:minorUnit val="2"/>
      </c:valAx>
      <c:valAx>
        <c:axId val="288464256"/>
        <c:scaling>
          <c:logBase val="10"/>
          <c:orientation val="minMax"/>
          <c:max val="100000"/>
          <c:min val="1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400"/>
                </a:pPr>
                <a:r>
                  <a:rPr lang="en-US" sz="1400"/>
                  <a:t>Viable</a:t>
                </a:r>
                <a:r>
                  <a:rPr lang="en-US" sz="1400" baseline="0"/>
                  <a:t> Microbes (CFU/100 mL)</a:t>
                </a:r>
                <a:endParaRPr lang="en-US" sz="1400"/>
              </a:p>
            </c:rich>
          </c:tx>
          <c:layout>
            <c:manualLayout>
              <c:xMode val="edge"/>
              <c:yMode val="edge"/>
              <c:x val="3.0563517311705653E-2"/>
              <c:y val="0.18480782372748983"/>
            </c:manualLayout>
          </c:layout>
          <c:overlay val="0"/>
        </c:title>
        <c:numFmt formatCode="0" sourceLinked="1"/>
        <c:majorTickMark val="out"/>
        <c:minorTickMark val="none"/>
        <c:tickLblPos val="nextTo"/>
        <c:txPr>
          <a:bodyPr/>
          <a:lstStyle/>
          <a:p>
            <a:pPr>
              <a:defRPr b="1"/>
            </a:pPr>
            <a:endParaRPr lang="en-US"/>
          </a:p>
        </c:txPr>
        <c:crossAx val="288462336"/>
        <c:crosses val="autoZero"/>
        <c:crossBetween val="midCat"/>
        <c:majorUnit val="10"/>
        <c:minorUnit val="10"/>
      </c:valAx>
      <c:spPr>
        <a:ln>
          <a:solidFill>
            <a:schemeClr val="tx1"/>
          </a:solidFill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57150</xdr:colOff>
      <xdr:row>6</xdr:row>
      <xdr:rowOff>14287</xdr:rowOff>
    </xdr:from>
    <xdr:to>
      <xdr:col>18</xdr:col>
      <xdr:colOff>85725</xdr:colOff>
      <xdr:row>23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AF516A-2B31-41E5-BE32-6BEEB0EF68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57150</xdr:colOff>
      <xdr:row>6</xdr:row>
      <xdr:rowOff>14287</xdr:rowOff>
    </xdr:from>
    <xdr:to>
      <xdr:col>18</xdr:col>
      <xdr:colOff>85725</xdr:colOff>
      <xdr:row>23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30376F-960D-4043-800D-98028A0391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57150</xdr:colOff>
      <xdr:row>6</xdr:row>
      <xdr:rowOff>14287</xdr:rowOff>
    </xdr:from>
    <xdr:to>
      <xdr:col>18</xdr:col>
      <xdr:colOff>85725</xdr:colOff>
      <xdr:row>23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5D9BCC-3B3E-49EF-B96A-9F64581393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57150</xdr:colOff>
      <xdr:row>6</xdr:row>
      <xdr:rowOff>14287</xdr:rowOff>
    </xdr:from>
    <xdr:to>
      <xdr:col>18</xdr:col>
      <xdr:colOff>85725</xdr:colOff>
      <xdr:row>23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707EEC-0F11-4C7D-B5ED-A34F8F4B82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57150</xdr:colOff>
      <xdr:row>6</xdr:row>
      <xdr:rowOff>14287</xdr:rowOff>
    </xdr:from>
    <xdr:to>
      <xdr:col>18</xdr:col>
      <xdr:colOff>85725</xdr:colOff>
      <xdr:row>23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EF2F67-4F81-4730-B3DF-1FCB2D2D39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57150</xdr:colOff>
      <xdr:row>6</xdr:row>
      <xdr:rowOff>14287</xdr:rowOff>
    </xdr:from>
    <xdr:to>
      <xdr:col>18</xdr:col>
      <xdr:colOff>85725</xdr:colOff>
      <xdr:row>23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ED25E3-1733-44E4-AC68-B374C9B83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57150</xdr:colOff>
      <xdr:row>6</xdr:row>
      <xdr:rowOff>14287</xdr:rowOff>
    </xdr:from>
    <xdr:to>
      <xdr:col>18</xdr:col>
      <xdr:colOff>85725</xdr:colOff>
      <xdr:row>23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B6FEFC-7A17-4039-8CBD-4A253A484B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57150</xdr:colOff>
      <xdr:row>6</xdr:row>
      <xdr:rowOff>14287</xdr:rowOff>
    </xdr:from>
    <xdr:to>
      <xdr:col>18</xdr:col>
      <xdr:colOff>85725</xdr:colOff>
      <xdr:row>23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93979F-9D22-48B2-A153-DFCB0F5A25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57150</xdr:colOff>
      <xdr:row>6</xdr:row>
      <xdr:rowOff>14287</xdr:rowOff>
    </xdr:from>
    <xdr:to>
      <xdr:col>18</xdr:col>
      <xdr:colOff>85725</xdr:colOff>
      <xdr:row>23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BDAE3B-46A6-47D9-9FFD-D6BC2F2F42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57150</xdr:colOff>
      <xdr:row>6</xdr:row>
      <xdr:rowOff>14287</xdr:rowOff>
    </xdr:from>
    <xdr:to>
      <xdr:col>18</xdr:col>
      <xdr:colOff>85725</xdr:colOff>
      <xdr:row>23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08B11A-6758-4631-ADCD-747C735A29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57150</xdr:colOff>
      <xdr:row>6</xdr:row>
      <xdr:rowOff>14287</xdr:rowOff>
    </xdr:from>
    <xdr:to>
      <xdr:col>18</xdr:col>
      <xdr:colOff>85725</xdr:colOff>
      <xdr:row>23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CFBBD7-3DC3-45BA-823F-D5645269C5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57150</xdr:colOff>
      <xdr:row>6</xdr:row>
      <xdr:rowOff>14287</xdr:rowOff>
    </xdr:from>
    <xdr:to>
      <xdr:col>18</xdr:col>
      <xdr:colOff>85725</xdr:colOff>
      <xdr:row>23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2F9083-6B2F-4052-B408-5B5453E863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75"/>
  <sheetViews>
    <sheetView zoomScale="70" zoomScaleNormal="70" workbookViewId="0">
      <selection activeCell="I3" sqref="I3:J63"/>
    </sheetView>
  </sheetViews>
  <sheetFormatPr defaultRowHeight="15" x14ac:dyDescent="0.25"/>
  <cols>
    <col min="3" max="3" width="23.5703125" bestFit="1" customWidth="1"/>
    <col min="4" max="4" width="24.42578125" bestFit="1" customWidth="1"/>
  </cols>
  <sheetData>
    <row r="1" spans="2:10" ht="15.75" thickBot="1" x14ac:dyDescent="0.3"/>
    <row r="2" spans="2:10" x14ac:dyDescent="0.25">
      <c r="B2" s="9" t="s">
        <v>8</v>
      </c>
      <c r="C2" s="19">
        <v>2.175412956662871E-2</v>
      </c>
      <c r="D2" s="10" t="s">
        <v>0</v>
      </c>
      <c r="E2" s="11">
        <v>2.5725816975011973</v>
      </c>
      <c r="F2" s="10" t="s">
        <v>1</v>
      </c>
      <c r="G2" s="12">
        <v>4.7654485141457092</v>
      </c>
      <c r="I2" s="6" t="s">
        <v>2</v>
      </c>
      <c r="J2" s="6" t="s">
        <v>3</v>
      </c>
    </row>
    <row r="3" spans="2:10" ht="15.75" thickBot="1" x14ac:dyDescent="0.3">
      <c r="B3" s="13" t="s">
        <v>9</v>
      </c>
      <c r="C3" s="20">
        <f>(B6+B12)/2</f>
        <v>1400</v>
      </c>
      <c r="D3" s="14" t="s">
        <v>7</v>
      </c>
      <c r="E3" s="15">
        <v>0.15104495259741837</v>
      </c>
      <c r="F3" s="14"/>
      <c r="G3" s="16"/>
      <c r="I3" s="6">
        <v>0</v>
      </c>
      <c r="J3" s="17">
        <f>((1-C$2)*C$3*EXP(-$E$2*(I3^$G$2)))+(C$2*C$3*EXP(-$E$3*I3))</f>
        <v>1400</v>
      </c>
    </row>
    <row r="4" spans="2:10" x14ac:dyDescent="0.25">
      <c r="I4" s="6">
        <v>1</v>
      </c>
      <c r="J4" s="17">
        <f t="shared" ref="J4:J63" si="0">((1-C$2)*C$3*EXP(-$E$2*(I4^$G$2)))+(C$2*C$3*EXP(-$E$3*I4))</f>
        <v>130.73470868013089</v>
      </c>
    </row>
    <row r="5" spans="2:10" x14ac:dyDescent="0.25">
      <c r="B5" s="4" t="s">
        <v>4</v>
      </c>
      <c r="C5" s="5" t="s">
        <v>5</v>
      </c>
      <c r="D5" s="5" t="s">
        <v>6</v>
      </c>
      <c r="E5" s="2"/>
      <c r="I5" s="6">
        <v>2</v>
      </c>
      <c r="J5" s="17">
        <f t="shared" si="0"/>
        <v>22.515094165081859</v>
      </c>
    </row>
    <row r="6" spans="2:10" x14ac:dyDescent="0.25">
      <c r="B6" s="7">
        <v>1450</v>
      </c>
      <c r="C6" s="8">
        <v>0</v>
      </c>
      <c r="D6" s="7">
        <v>1400</v>
      </c>
      <c r="E6" s="2"/>
      <c r="I6" s="6">
        <v>3</v>
      </c>
      <c r="J6" s="17">
        <f t="shared" si="0"/>
        <v>19.358681660358027</v>
      </c>
    </row>
    <row r="7" spans="2:10" x14ac:dyDescent="0.25">
      <c r="B7" s="7">
        <v>920</v>
      </c>
      <c r="C7" s="8">
        <v>0.68640643631053111</v>
      </c>
      <c r="D7" s="7">
        <v>919.99817201973144</v>
      </c>
      <c r="E7" s="2"/>
      <c r="I7" s="6">
        <v>4</v>
      </c>
      <c r="J7" s="17">
        <f t="shared" si="0"/>
        <v>16.64476963228902</v>
      </c>
    </row>
    <row r="8" spans="2:10" x14ac:dyDescent="0.25">
      <c r="B8" s="7">
        <v>40</v>
      </c>
      <c r="C8" s="8">
        <v>1.9930539796808626</v>
      </c>
      <c r="D8" s="7">
        <v>22.538728526728345</v>
      </c>
      <c r="E8" s="2"/>
      <c r="I8" s="6">
        <v>5</v>
      </c>
      <c r="J8" s="17">
        <f t="shared" si="0"/>
        <v>14.311323517411823</v>
      </c>
    </row>
    <row r="9" spans="2:10" x14ac:dyDescent="0.25">
      <c r="B9" s="7">
        <v>24</v>
      </c>
      <c r="C9" s="8">
        <v>3.2161926032190369</v>
      </c>
      <c r="D9" s="7">
        <v>18.736737746649162</v>
      </c>
      <c r="E9" s="2"/>
      <c r="I9" s="6">
        <v>6</v>
      </c>
      <c r="J9" s="17">
        <f t="shared" si="0"/>
        <v>12.305005436825518</v>
      </c>
    </row>
    <row r="10" spans="2:10" x14ac:dyDescent="0.25">
      <c r="B10" s="7">
        <v>5</v>
      </c>
      <c r="C10" s="8">
        <v>5.9428784807779014</v>
      </c>
      <c r="D10" s="7">
        <v>12.411631322638655</v>
      </c>
      <c r="E10" s="2"/>
      <c r="I10" s="6">
        <v>7</v>
      </c>
      <c r="J10" s="17">
        <f t="shared" si="0"/>
        <v>10.57995499969582</v>
      </c>
    </row>
    <row r="11" spans="2:10" x14ac:dyDescent="0.25">
      <c r="B11" s="7">
        <v>5</v>
      </c>
      <c r="C11" s="8">
        <v>13.284620778797283</v>
      </c>
      <c r="D11" s="7">
        <v>4.0947305912491219</v>
      </c>
      <c r="E11" s="2"/>
      <c r="I11" s="6">
        <v>8</v>
      </c>
      <c r="J11" s="17">
        <f t="shared" si="0"/>
        <v>9.0967410270780018</v>
      </c>
    </row>
    <row r="12" spans="2:10" x14ac:dyDescent="0.25">
      <c r="B12" s="7">
        <v>1350</v>
      </c>
      <c r="C12" s="8">
        <v>0</v>
      </c>
      <c r="D12" s="7">
        <v>1400</v>
      </c>
      <c r="E12" s="2"/>
      <c r="I12" s="6">
        <v>9</v>
      </c>
      <c r="J12" s="17">
        <f t="shared" si="0"/>
        <v>7.8214602345759756</v>
      </c>
    </row>
    <row r="13" spans="2:10" x14ac:dyDescent="0.25">
      <c r="B13" s="7">
        <v>20</v>
      </c>
      <c r="C13" s="8">
        <v>1.5225667500561915</v>
      </c>
      <c r="D13" s="7">
        <v>24.198729053689412</v>
      </c>
      <c r="I13" s="6">
        <v>10</v>
      </c>
      <c r="J13" s="17">
        <f t="shared" si="0"/>
        <v>6.7249622715382094</v>
      </c>
    </row>
    <row r="14" spans="2:10" x14ac:dyDescent="0.25">
      <c r="B14" s="7" t="s">
        <v>10</v>
      </c>
      <c r="C14" s="8">
        <v>4.4795466455173285</v>
      </c>
      <c r="D14" s="7">
        <v>15.481765786260031</v>
      </c>
      <c r="I14" s="6">
        <v>11</v>
      </c>
      <c r="J14" s="17">
        <f t="shared" si="0"/>
        <v>5.7821834027471875</v>
      </c>
    </row>
    <row r="15" spans="2:10" x14ac:dyDescent="0.25">
      <c r="B15" s="7" t="s">
        <v>10</v>
      </c>
      <c r="C15" s="8">
        <v>7.3227629386573003</v>
      </c>
      <c r="D15" s="7">
        <v>10.076535068186756</v>
      </c>
      <c r="I15" s="6">
        <v>12</v>
      </c>
      <c r="J15" s="17">
        <f t="shared" si="0"/>
        <v>4.9715736019077665</v>
      </c>
    </row>
    <row r="16" spans="2:10" x14ac:dyDescent="0.25">
      <c r="B16" s="7">
        <v>4</v>
      </c>
      <c r="C16" s="8">
        <v>13.961397972085532</v>
      </c>
      <c r="D16" s="7">
        <v>3.6968353630366386</v>
      </c>
      <c r="I16" s="6">
        <v>13</v>
      </c>
      <c r="J16" s="17">
        <f t="shared" si="0"/>
        <v>4.2746039614452611</v>
      </c>
    </row>
    <row r="17" spans="2:10" x14ac:dyDescent="0.25">
      <c r="B17" s="7" t="s">
        <v>11</v>
      </c>
      <c r="C17" s="8">
        <v>34.866676723589912</v>
      </c>
      <c r="D17" s="7">
        <v>0.15721205885147613</v>
      </c>
      <c r="I17" s="6">
        <v>14</v>
      </c>
      <c r="J17" s="17">
        <f t="shared" si="0"/>
        <v>3.6753431589933259</v>
      </c>
    </row>
    <row r="18" spans="2:10" x14ac:dyDescent="0.25">
      <c r="B18" s="2"/>
      <c r="C18" s="3"/>
      <c r="D18" s="2"/>
      <c r="I18" s="6">
        <v>15</v>
      </c>
      <c r="J18" s="17">
        <f t="shared" si="0"/>
        <v>3.1600932994484658</v>
      </c>
    </row>
    <row r="19" spans="2:10" x14ac:dyDescent="0.25">
      <c r="B19" s="2"/>
      <c r="C19" s="3"/>
      <c r="D19" s="2"/>
      <c r="I19" s="6">
        <v>16</v>
      </c>
      <c r="J19" s="17">
        <f t="shared" si="0"/>
        <v>2.717076808673915</v>
      </c>
    </row>
    <row r="20" spans="2:10" x14ac:dyDescent="0.25">
      <c r="I20" s="6">
        <v>17</v>
      </c>
      <c r="J20" s="17">
        <f t="shared" si="0"/>
        <v>2.336167221873513</v>
      </c>
    </row>
    <row r="21" spans="2:10" x14ac:dyDescent="0.25">
      <c r="I21" s="6">
        <v>18</v>
      </c>
      <c r="J21" s="17">
        <f t="shared" si="0"/>
        <v>2.0086577129999719</v>
      </c>
    </row>
    <row r="22" spans="2:10" x14ac:dyDescent="0.25">
      <c r="I22" s="6">
        <v>19</v>
      </c>
      <c r="J22" s="17">
        <f t="shared" si="0"/>
        <v>1.7270620742459548</v>
      </c>
    </row>
    <row r="23" spans="2:10" x14ac:dyDescent="0.25">
      <c r="I23" s="6">
        <v>20</v>
      </c>
      <c r="J23" s="17">
        <f t="shared" si="0"/>
        <v>1.4849435964099376</v>
      </c>
    </row>
    <row r="24" spans="2:10" x14ac:dyDescent="0.25">
      <c r="I24" s="6">
        <v>21</v>
      </c>
      <c r="J24" s="17">
        <f t="shared" si="0"/>
        <v>1.2767679386866393</v>
      </c>
    </row>
    <row r="25" spans="2:10" x14ac:dyDescent="0.25">
      <c r="I25" s="6">
        <v>22</v>
      </c>
      <c r="J25" s="17">
        <f t="shared" si="0"/>
        <v>1.0977766247817202</v>
      </c>
    </row>
    <row r="26" spans="2:10" x14ac:dyDescent="0.25">
      <c r="I26" s="6">
        <v>23</v>
      </c>
      <c r="J26" s="17">
        <f t="shared" si="0"/>
        <v>0.94387827372670274</v>
      </c>
    </row>
    <row r="27" spans="2:10" x14ac:dyDescent="0.25">
      <c r="I27" s="6">
        <v>24</v>
      </c>
      <c r="J27" s="17">
        <f t="shared" si="0"/>
        <v>0.81155507914959157</v>
      </c>
    </row>
    <row r="28" spans="2:10" x14ac:dyDescent="0.25">
      <c r="I28" s="6">
        <v>25</v>
      </c>
      <c r="J28" s="17">
        <f t="shared" si="0"/>
        <v>0.69778239930565666</v>
      </c>
    </row>
    <row r="29" spans="2:10" x14ac:dyDescent="0.25">
      <c r="I29" s="6">
        <v>26</v>
      </c>
      <c r="J29" s="17">
        <f t="shared" si="0"/>
        <v>0.59995961985841972</v>
      </c>
    </row>
    <row r="30" spans="2:10" x14ac:dyDescent="0.25">
      <c r="I30" s="6">
        <v>27</v>
      </c>
      <c r="J30" s="17">
        <f t="shared" si="0"/>
        <v>0.51585070907325437</v>
      </c>
    </row>
    <row r="31" spans="2:10" x14ac:dyDescent="0.25">
      <c r="E31" s="1"/>
      <c r="F31" s="1"/>
      <c r="I31" s="6">
        <v>28</v>
      </c>
      <c r="J31" s="17">
        <f t="shared" si="0"/>
        <v>0.44353310663503442</v>
      </c>
    </row>
    <row r="32" spans="2:10" x14ac:dyDescent="0.25">
      <c r="E32" s="1"/>
      <c r="F32" s="1"/>
      <c r="I32" s="6">
        <v>29</v>
      </c>
      <c r="J32" s="17">
        <f t="shared" si="0"/>
        <v>0.38135377779114182</v>
      </c>
    </row>
    <row r="33" spans="2:10" x14ac:dyDescent="0.25">
      <c r="E33" s="1"/>
      <c r="F33" s="1"/>
      <c r="I33" s="6">
        <v>30</v>
      </c>
      <c r="J33" s="17">
        <f t="shared" si="0"/>
        <v>0.32789142830603774</v>
      </c>
    </row>
    <row r="34" spans="2:10" x14ac:dyDescent="0.25">
      <c r="E34" s="1"/>
      <c r="F34" s="1"/>
      <c r="I34" s="6">
        <v>31</v>
      </c>
      <c r="J34" s="17">
        <f t="shared" si="0"/>
        <v>0.2819240165373571</v>
      </c>
    </row>
    <row r="35" spans="2:10" x14ac:dyDescent="0.25">
      <c r="B35" s="1"/>
      <c r="C35" s="1"/>
      <c r="D35" s="1"/>
      <c r="E35" s="1"/>
      <c r="F35" s="1"/>
      <c r="I35" s="6">
        <v>32</v>
      </c>
      <c r="J35" s="17">
        <f t="shared" si="0"/>
        <v>0.24240082002501212</v>
      </c>
    </row>
    <row r="36" spans="2:10" x14ac:dyDescent="0.25">
      <c r="B36" s="1"/>
      <c r="C36" s="1"/>
      <c r="D36" s="1"/>
      <c r="E36" s="1"/>
      <c r="F36" s="1"/>
      <c r="I36" s="6">
        <v>33</v>
      </c>
      <c r="J36" s="17">
        <f t="shared" si="0"/>
        <v>0.20841841809178541</v>
      </c>
    </row>
    <row r="37" spans="2:10" x14ac:dyDescent="0.25">
      <c r="B37" s="1"/>
      <c r="C37" s="1"/>
      <c r="D37" s="1"/>
      <c r="E37" s="1"/>
      <c r="F37" s="1"/>
      <c r="I37" s="6">
        <v>34</v>
      </c>
      <c r="J37" s="17">
        <f t="shared" si="0"/>
        <v>0.17920004146603172</v>
      </c>
    </row>
    <row r="38" spans="2:10" x14ac:dyDescent="0.25">
      <c r="B38" s="1"/>
      <c r="C38" s="1"/>
      <c r="D38" s="1"/>
      <c r="E38" s="1"/>
      <c r="F38" s="1"/>
      <c r="I38" s="6">
        <v>35</v>
      </c>
      <c r="J38" s="17">
        <f t="shared" si="0"/>
        <v>0.15407781690044969</v>
      </c>
    </row>
    <row r="39" spans="2:10" x14ac:dyDescent="0.25">
      <c r="B39" s="1"/>
      <c r="C39" s="1"/>
      <c r="D39" s="1"/>
      <c r="E39" s="1"/>
      <c r="F39" s="1"/>
      <c r="I39" s="6">
        <v>36</v>
      </c>
      <c r="J39" s="17">
        <f t="shared" si="0"/>
        <v>0.13247750093466654</v>
      </c>
    </row>
    <row r="40" spans="2:10" x14ac:dyDescent="0.25">
      <c r="B40" s="1"/>
      <c r="C40" s="1"/>
      <c r="D40" s="1"/>
      <c r="E40" s="1"/>
      <c r="F40" s="1"/>
      <c r="I40" s="6">
        <v>37</v>
      </c>
      <c r="J40" s="17">
        <f t="shared" si="0"/>
        <v>0.11390535384619248</v>
      </c>
    </row>
    <row r="41" spans="2:10" x14ac:dyDescent="0.25">
      <c r="B41" s="1"/>
      <c r="C41" s="1"/>
      <c r="D41" s="1"/>
      <c r="E41" s="1"/>
      <c r="F41" s="1"/>
      <c r="I41" s="6">
        <v>38</v>
      </c>
      <c r="J41" s="17">
        <f t="shared" si="0"/>
        <v>9.7936853754698142E-2</v>
      </c>
    </row>
    <row r="42" spans="2:10" x14ac:dyDescent="0.25">
      <c r="B42" s="1"/>
      <c r="C42" s="1"/>
      <c r="D42" s="1"/>
      <c r="E42" s="1"/>
      <c r="F42" s="1"/>
      <c r="I42" s="6">
        <v>39</v>
      </c>
      <c r="J42" s="17">
        <f t="shared" si="0"/>
        <v>8.42069929067671E-2</v>
      </c>
    </row>
    <row r="43" spans="2:10" x14ac:dyDescent="0.25">
      <c r="B43" s="1"/>
      <c r="C43" s="1"/>
      <c r="D43" s="1"/>
      <c r="E43" s="1"/>
      <c r="F43" s="1"/>
      <c r="I43" s="6">
        <v>40</v>
      </c>
      <c r="J43" s="17">
        <f t="shared" si="0"/>
        <v>7.240193433373561E-2</v>
      </c>
    </row>
    <row r="44" spans="2:10" x14ac:dyDescent="0.25">
      <c r="B44" s="1"/>
      <c r="C44" s="1"/>
      <c r="D44" s="1"/>
      <c r="E44" s="1"/>
      <c r="F44" s="1"/>
      <c r="I44" s="6">
        <v>41</v>
      </c>
      <c r="J44" s="17">
        <f t="shared" si="0"/>
        <v>6.2251838170619425E-2</v>
      </c>
    </row>
    <row r="45" spans="2:10" x14ac:dyDescent="0.25">
      <c r="B45" s="1"/>
      <c r="C45" s="1"/>
      <c r="D45" s="1"/>
      <c r="E45" s="1"/>
      <c r="F45" s="1"/>
      <c r="I45" s="6">
        <v>42</v>
      </c>
      <c r="J45" s="17">
        <f t="shared" si="0"/>
        <v>5.3524693660225893E-2</v>
      </c>
    </row>
    <row r="46" spans="2:10" x14ac:dyDescent="0.25">
      <c r="B46" s="1"/>
      <c r="C46" s="1"/>
      <c r="D46" s="1"/>
      <c r="E46" s="1"/>
      <c r="F46" s="1"/>
      <c r="I46" s="6">
        <v>43</v>
      </c>
      <c r="J46" s="17">
        <f t="shared" si="0"/>
        <v>4.6021015854486848E-2</v>
      </c>
    </row>
    <row r="47" spans="2:10" x14ac:dyDescent="0.25">
      <c r="B47" s="1"/>
      <c r="C47" s="1"/>
      <c r="D47" s="1"/>
      <c r="E47" s="1"/>
      <c r="F47" s="1"/>
      <c r="I47" s="6">
        <v>44</v>
      </c>
      <c r="J47" s="17">
        <f t="shared" si="0"/>
        <v>3.9569285790284923E-2</v>
      </c>
    </row>
    <row r="48" spans="2:10" x14ac:dyDescent="0.25">
      <c r="B48" s="1"/>
      <c r="C48" s="1"/>
      <c r="D48" s="1"/>
      <c r="E48" s="1"/>
      <c r="F48" s="1"/>
      <c r="I48" s="6">
        <v>45</v>
      </c>
      <c r="J48" s="17">
        <f t="shared" si="0"/>
        <v>3.4022029911375637E-2</v>
      </c>
    </row>
    <row r="49" spans="2:10" x14ac:dyDescent="0.25">
      <c r="B49" s="1"/>
      <c r="C49" s="1"/>
      <c r="D49" s="1"/>
      <c r="E49" s="1"/>
      <c r="F49" s="1"/>
      <c r="G49" s="1"/>
      <c r="H49" s="1"/>
      <c r="I49" s="6">
        <v>46</v>
      </c>
      <c r="J49" s="17">
        <f t="shared" si="0"/>
        <v>2.9252449119886025E-2</v>
      </c>
    </row>
    <row r="50" spans="2:10" x14ac:dyDescent="0.25">
      <c r="B50" s="1"/>
      <c r="C50" s="1"/>
      <c r="D50" s="1"/>
      <c r="E50" s="1"/>
      <c r="F50" s="1"/>
      <c r="G50" s="1"/>
      <c r="H50" s="1"/>
      <c r="I50" s="6">
        <v>47</v>
      </c>
      <c r="J50" s="17">
        <f t="shared" si="0"/>
        <v>2.5151520404295632E-2</v>
      </c>
    </row>
    <row r="51" spans="2:10" x14ac:dyDescent="0.25">
      <c r="B51" s="1"/>
      <c r="C51" s="1"/>
      <c r="D51" s="1"/>
      <c r="E51" s="1"/>
      <c r="F51" s="1"/>
      <c r="G51" s="1"/>
      <c r="H51" s="1"/>
      <c r="I51" s="6">
        <v>48</v>
      </c>
      <c r="J51" s="17">
        <f t="shared" si="0"/>
        <v>2.1625504792952673E-2</v>
      </c>
    </row>
    <row r="52" spans="2:10" x14ac:dyDescent="0.25">
      <c r="B52" s="1"/>
      <c r="C52" s="1"/>
      <c r="D52" s="1"/>
      <c r="E52" s="1"/>
      <c r="F52" s="1"/>
      <c r="G52" s="1"/>
      <c r="H52" s="1"/>
      <c r="I52" s="6">
        <v>49</v>
      </c>
      <c r="J52" s="17">
        <f t="shared" si="0"/>
        <v>1.8593804669961318E-2</v>
      </c>
    </row>
    <row r="53" spans="2:10" x14ac:dyDescent="0.25">
      <c r="B53" s="1"/>
      <c r="C53" s="1"/>
      <c r="D53" s="1"/>
      <c r="E53" s="1"/>
      <c r="F53" s="1"/>
      <c r="G53" s="1"/>
      <c r="H53" s="1"/>
      <c r="I53" s="6">
        <v>50</v>
      </c>
      <c r="J53" s="17">
        <f t="shared" si="0"/>
        <v>1.5987121475996319E-2</v>
      </c>
    </row>
    <row r="54" spans="2:10" x14ac:dyDescent="0.25">
      <c r="B54" s="1"/>
      <c r="C54" s="1"/>
      <c r="D54" s="1"/>
      <c r="E54" s="1"/>
      <c r="F54" s="1"/>
      <c r="G54" s="1"/>
      <c r="H54" s="1"/>
      <c r="I54" s="6">
        <v>51</v>
      </c>
      <c r="J54" s="17">
        <f t="shared" si="0"/>
        <v>1.3745871682796075E-2</v>
      </c>
    </row>
    <row r="55" spans="2:10" x14ac:dyDescent="0.25">
      <c r="B55" s="1"/>
      <c r="C55" s="1"/>
      <c r="D55" s="1"/>
      <c r="E55" s="1"/>
      <c r="F55" s="1"/>
      <c r="G55" s="1"/>
      <c r="H55" s="1"/>
      <c r="I55" s="6">
        <v>52</v>
      </c>
      <c r="J55" s="17">
        <f t="shared" si="0"/>
        <v>1.1818824833700696E-2</v>
      </c>
    </row>
    <row r="56" spans="2:10" x14ac:dyDescent="0.25">
      <c r="B56" s="1"/>
      <c r="C56" s="1"/>
      <c r="D56" s="1"/>
      <c r="E56" s="1"/>
      <c r="F56" s="1"/>
      <c r="G56" s="1"/>
      <c r="H56" s="1"/>
      <c r="I56" s="6">
        <v>53</v>
      </c>
      <c r="J56" s="17">
        <f t="shared" si="0"/>
        <v>1.0161932518584854E-2</v>
      </c>
    </row>
    <row r="57" spans="2:10" x14ac:dyDescent="0.25">
      <c r="B57" s="1"/>
      <c r="C57" s="1"/>
      <c r="D57" s="1"/>
      <c r="E57" s="1"/>
      <c r="F57" s="1"/>
      <c r="G57" s="1"/>
      <c r="H57" s="1"/>
      <c r="I57" s="6">
        <v>54</v>
      </c>
      <c r="J57" s="17">
        <f t="shared" si="0"/>
        <v>8.7373215159106832E-3</v>
      </c>
    </row>
    <row r="58" spans="2:10" x14ac:dyDescent="0.25">
      <c r="B58" s="1"/>
      <c r="C58" s="1"/>
      <c r="D58" s="1"/>
      <c r="G58" s="1"/>
      <c r="H58" s="1"/>
      <c r="I58" s="6">
        <v>55</v>
      </c>
      <c r="J58" s="17">
        <f t="shared" si="0"/>
        <v>7.5124280871554944E-3</v>
      </c>
    </row>
    <row r="59" spans="2:10" x14ac:dyDescent="0.25">
      <c r="B59" s="1"/>
      <c r="C59" s="1"/>
      <c r="D59" s="1"/>
      <c r="G59" s="1"/>
      <c r="H59" s="1"/>
      <c r="I59" s="6">
        <v>56</v>
      </c>
      <c r="J59" s="17">
        <f t="shared" si="0"/>
        <v>6.4592536353288155E-3</v>
      </c>
    </row>
    <row r="60" spans="2:10" x14ac:dyDescent="0.25">
      <c r="B60" s="1"/>
      <c r="C60" s="1"/>
      <c r="D60" s="1"/>
      <c r="G60" s="1"/>
      <c r="H60" s="1"/>
      <c r="I60" s="6">
        <v>57</v>
      </c>
      <c r="J60" s="17">
        <f t="shared" si="0"/>
        <v>5.553724713430983E-3</v>
      </c>
    </row>
    <row r="61" spans="2:10" x14ac:dyDescent="0.25">
      <c r="B61" s="1"/>
      <c r="C61" s="1"/>
      <c r="D61" s="1"/>
      <c r="G61" s="1"/>
      <c r="H61" s="1"/>
      <c r="I61" s="6">
        <v>58</v>
      </c>
      <c r="J61" s="17">
        <f t="shared" si="0"/>
        <v>4.7751427539358291E-3</v>
      </c>
    </row>
    <row r="62" spans="2:10" x14ac:dyDescent="0.25">
      <c r="G62" s="1"/>
      <c r="H62" s="1"/>
      <c r="I62" s="6">
        <v>59</v>
      </c>
      <c r="J62" s="17">
        <f t="shared" si="0"/>
        <v>4.1057109412215055E-3</v>
      </c>
    </row>
    <row r="63" spans="2:10" x14ac:dyDescent="0.25">
      <c r="G63" s="1"/>
      <c r="H63" s="1"/>
      <c r="I63" s="6">
        <v>60</v>
      </c>
      <c r="J63" s="17">
        <f t="shared" si="0"/>
        <v>3.5301274122060537E-3</v>
      </c>
    </row>
    <row r="64" spans="2:10" x14ac:dyDescent="0.25">
      <c r="G64" s="1"/>
      <c r="H64" s="1"/>
      <c r="I64" s="1"/>
    </row>
    <row r="65" spans="7:9" x14ac:dyDescent="0.25">
      <c r="G65" s="1"/>
      <c r="H65" s="1"/>
      <c r="I65" s="1"/>
    </row>
    <row r="66" spans="7:9" x14ac:dyDescent="0.25">
      <c r="G66" s="1"/>
      <c r="H66" s="1"/>
      <c r="I66" s="1"/>
    </row>
    <row r="67" spans="7:9" x14ac:dyDescent="0.25">
      <c r="G67" s="1"/>
      <c r="H67" s="1"/>
      <c r="I67" s="1"/>
    </row>
    <row r="68" spans="7:9" x14ac:dyDescent="0.25">
      <c r="G68" s="1"/>
      <c r="H68" s="1"/>
      <c r="I68" s="1"/>
    </row>
    <row r="69" spans="7:9" x14ac:dyDescent="0.25">
      <c r="G69" s="1"/>
      <c r="H69" s="1"/>
      <c r="I69" s="1"/>
    </row>
    <row r="70" spans="7:9" x14ac:dyDescent="0.25">
      <c r="G70" s="1"/>
      <c r="H70" s="1"/>
      <c r="I70" s="1"/>
    </row>
    <row r="71" spans="7:9" x14ac:dyDescent="0.25">
      <c r="G71" s="1"/>
      <c r="H71" s="1"/>
      <c r="I71" s="1"/>
    </row>
    <row r="72" spans="7:9" x14ac:dyDescent="0.25">
      <c r="G72" s="1"/>
      <c r="H72" s="1"/>
      <c r="I72" s="1"/>
    </row>
    <row r="73" spans="7:9" x14ac:dyDescent="0.25">
      <c r="G73" s="1"/>
      <c r="H73" s="1"/>
      <c r="I73" s="1"/>
    </row>
    <row r="74" spans="7:9" x14ac:dyDescent="0.25">
      <c r="G74" s="1"/>
      <c r="H74" s="1"/>
      <c r="I74" s="1"/>
    </row>
    <row r="75" spans="7:9" x14ac:dyDescent="0.25">
      <c r="G75" s="1"/>
      <c r="H75" s="1"/>
      <c r="I75" s="1"/>
    </row>
  </sheetData>
  <pageMargins left="0.7" right="0.7" top="0.75" bottom="0.75" header="0.3" footer="0.3"/>
  <headerFooter>
    <oddFooter>&amp;C_x000D_&amp;1#&amp;"Default"&amp;10&amp;KD89B2B Confidential - Company Proprietary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75"/>
  <sheetViews>
    <sheetView zoomScale="80" zoomScaleNormal="80" workbookViewId="0">
      <selection activeCell="I3" sqref="I3:J63"/>
    </sheetView>
  </sheetViews>
  <sheetFormatPr defaultRowHeight="15" x14ac:dyDescent="0.25"/>
  <cols>
    <col min="3" max="3" width="23.5703125" bestFit="1" customWidth="1"/>
    <col min="4" max="4" width="24.42578125" bestFit="1" customWidth="1"/>
  </cols>
  <sheetData>
    <row r="1" spans="2:10" ht="15.75" thickBot="1" x14ac:dyDescent="0.3"/>
    <row r="2" spans="2:10" x14ac:dyDescent="0.25">
      <c r="B2" s="9" t="s">
        <v>8</v>
      </c>
      <c r="C2" s="19">
        <v>2.2407586658787066E-3</v>
      </c>
      <c r="D2" s="10" t="s">
        <v>0</v>
      </c>
      <c r="E2" s="11">
        <v>1.0633061923088909</v>
      </c>
      <c r="F2" s="10" t="s">
        <v>1</v>
      </c>
      <c r="G2" s="12">
        <v>1.2990315311039162</v>
      </c>
      <c r="I2" s="6" t="s">
        <v>2</v>
      </c>
      <c r="J2" s="6" t="s">
        <v>3</v>
      </c>
    </row>
    <row r="3" spans="2:10" ht="15.75" thickBot="1" x14ac:dyDescent="0.3">
      <c r="B3" s="13" t="s">
        <v>9</v>
      </c>
      <c r="C3" s="20">
        <f>(B6+B12)/2</f>
        <v>5350</v>
      </c>
      <c r="D3" s="14" t="s">
        <v>7</v>
      </c>
      <c r="E3" s="15">
        <v>1.258577546237764E-2</v>
      </c>
      <c r="F3" s="14"/>
      <c r="G3" s="16"/>
      <c r="I3" s="6">
        <v>0</v>
      </c>
      <c r="J3" s="17">
        <f>((1-C$2)*C$3*EXP(-$E$2*(I3^$G$2)))+(C$2*C$3*EXP(-$E$3*I3))</f>
        <v>5350</v>
      </c>
    </row>
    <row r="4" spans="2:10" x14ac:dyDescent="0.25">
      <c r="I4" s="6">
        <v>1</v>
      </c>
      <c r="J4" s="17">
        <f t="shared" ref="J4:J63" si="0">((1-C$2)*C$3*EXP(-$E$2*(I4^$G$2)))+(C$2*C$3*EXP(-$E$3*I4))</f>
        <v>1855.1190512587714</v>
      </c>
    </row>
    <row r="5" spans="2:10" x14ac:dyDescent="0.25">
      <c r="B5" s="4" t="s">
        <v>4</v>
      </c>
      <c r="C5" s="5" t="s">
        <v>5</v>
      </c>
      <c r="D5" s="5" t="s">
        <v>6</v>
      </c>
      <c r="E5" s="2"/>
      <c r="I5" s="6">
        <v>2</v>
      </c>
      <c r="J5" s="17">
        <f t="shared" si="0"/>
        <v>401.71028302785885</v>
      </c>
    </row>
    <row r="6" spans="2:10" x14ac:dyDescent="0.25">
      <c r="B6" s="7">
        <v>5600</v>
      </c>
      <c r="C6" s="8">
        <v>0</v>
      </c>
      <c r="D6" s="7">
        <v>5350</v>
      </c>
      <c r="E6" s="2"/>
      <c r="I6" s="6">
        <v>3</v>
      </c>
      <c r="J6" s="17">
        <f t="shared" si="0"/>
        <v>75.111006914572044</v>
      </c>
    </row>
    <row r="7" spans="2:10" x14ac:dyDescent="0.25">
      <c r="B7" s="7">
        <v>3900</v>
      </c>
      <c r="C7" s="8">
        <v>0.68640643631053111</v>
      </c>
      <c r="D7" s="7">
        <v>2792.4827777469254</v>
      </c>
      <c r="E7" s="2"/>
      <c r="I7" s="6">
        <v>4</v>
      </c>
      <c r="J7" s="17">
        <f t="shared" si="0"/>
        <v>19.937891751548968</v>
      </c>
    </row>
    <row r="8" spans="2:10" x14ac:dyDescent="0.25">
      <c r="B8" s="7">
        <v>500</v>
      </c>
      <c r="C8" s="8">
        <v>1.9930539796808626</v>
      </c>
      <c r="D8" s="7">
        <v>406.33998668864319</v>
      </c>
      <c r="E8" s="2"/>
      <c r="I8" s="6">
        <v>5</v>
      </c>
      <c r="J8" s="17">
        <f t="shared" si="0"/>
        <v>12.236870965256331</v>
      </c>
    </row>
    <row r="9" spans="2:10" x14ac:dyDescent="0.25">
      <c r="B9" s="7">
        <v>58</v>
      </c>
      <c r="C9" s="8">
        <v>3.2161926032190369</v>
      </c>
      <c r="D9" s="7">
        <v>53.314503622141331</v>
      </c>
      <c r="E9" s="2"/>
      <c r="I9" s="6">
        <v>6</v>
      </c>
      <c r="J9" s="17">
        <f t="shared" si="0"/>
        <v>11.214466427708146</v>
      </c>
    </row>
    <row r="10" spans="2:10" x14ac:dyDescent="0.25">
      <c r="B10" s="7">
        <v>24</v>
      </c>
      <c r="C10" s="8">
        <v>5.9428784807779014</v>
      </c>
      <c r="D10" s="7">
        <v>11.236634032423789</v>
      </c>
      <c r="E10" s="2"/>
      <c r="I10" s="6">
        <v>7</v>
      </c>
      <c r="J10" s="17">
        <f t="shared" si="0"/>
        <v>10.985864215699753</v>
      </c>
    </row>
    <row r="11" spans="2:10" x14ac:dyDescent="0.25">
      <c r="B11" s="7">
        <v>8</v>
      </c>
      <c r="C11" s="8">
        <v>13.284620778797283</v>
      </c>
      <c r="D11" s="7">
        <v>10.142289943496134</v>
      </c>
      <c r="E11" s="2"/>
      <c r="I11" s="6">
        <v>8</v>
      </c>
      <c r="J11" s="17">
        <f t="shared" si="0"/>
        <v>10.840507137209464</v>
      </c>
    </row>
    <row r="12" spans="2:10" x14ac:dyDescent="0.25">
      <c r="B12" s="7">
        <v>5100</v>
      </c>
      <c r="C12" s="8">
        <v>0</v>
      </c>
      <c r="D12" s="7">
        <v>5350</v>
      </c>
      <c r="E12" s="2"/>
      <c r="I12" s="6">
        <v>9</v>
      </c>
      <c r="J12" s="17">
        <f t="shared" si="0"/>
        <v>10.704282246064128</v>
      </c>
    </row>
    <row r="13" spans="2:10" x14ac:dyDescent="0.25">
      <c r="B13" s="7">
        <v>540</v>
      </c>
      <c r="C13" s="8">
        <v>1.5225667500561915</v>
      </c>
      <c r="D13" s="7">
        <v>863.07851910291186</v>
      </c>
      <c r="E13" s="2"/>
      <c r="I13" s="6">
        <v>10</v>
      </c>
      <c r="J13" s="17">
        <f t="shared" si="0"/>
        <v>10.570357574281882</v>
      </c>
    </row>
    <row r="14" spans="2:10" x14ac:dyDescent="0.25">
      <c r="B14" s="7">
        <v>12</v>
      </c>
      <c r="C14" s="8">
        <v>4.4795466455173285</v>
      </c>
      <c r="D14" s="7">
        <v>14.409395151921633</v>
      </c>
      <c r="E14" s="2"/>
      <c r="I14" s="6">
        <v>11</v>
      </c>
      <c r="J14" s="17">
        <f t="shared" si="0"/>
        <v>10.43815194052207</v>
      </c>
    </row>
    <row r="15" spans="2:10" x14ac:dyDescent="0.25">
      <c r="B15" s="7">
        <v>6</v>
      </c>
      <c r="C15" s="8">
        <v>7.3227629386573003</v>
      </c>
      <c r="D15" s="7">
        <v>10.936520526632487</v>
      </c>
      <c r="I15" s="6">
        <v>12</v>
      </c>
      <c r="J15" s="17">
        <f t="shared" si="0"/>
        <v>10.307602761835826</v>
      </c>
    </row>
    <row r="16" spans="2:10" x14ac:dyDescent="0.25">
      <c r="B16" s="7">
        <v>12</v>
      </c>
      <c r="C16" s="8">
        <v>13.961397972085532</v>
      </c>
      <c r="D16" s="7">
        <v>10.05626717391856</v>
      </c>
      <c r="I16" s="6">
        <v>13</v>
      </c>
      <c r="J16" s="17">
        <f t="shared" si="0"/>
        <v>10.17868653374436</v>
      </c>
    </row>
    <row r="17" spans="2:10" x14ac:dyDescent="0.25">
      <c r="B17" s="7">
        <v>8</v>
      </c>
      <c r="C17" s="8">
        <v>34.866676723589912</v>
      </c>
      <c r="D17" s="7">
        <v>7.7298301938243883</v>
      </c>
      <c r="I17" s="6">
        <v>14</v>
      </c>
      <c r="J17" s="17">
        <f t="shared" si="0"/>
        <v>10.051382659346801</v>
      </c>
    </row>
    <row r="18" spans="2:10" x14ac:dyDescent="0.25">
      <c r="B18" s="2"/>
      <c r="C18" s="3"/>
      <c r="D18" s="2"/>
      <c r="I18" s="6">
        <v>15</v>
      </c>
      <c r="J18" s="17">
        <f t="shared" si="0"/>
        <v>9.9256709630796518</v>
      </c>
    </row>
    <row r="19" spans="2:10" x14ac:dyDescent="0.25">
      <c r="B19" s="2"/>
      <c r="C19" s="3"/>
      <c r="D19" s="2"/>
      <c r="I19" s="6">
        <v>16</v>
      </c>
      <c r="J19" s="17">
        <f t="shared" si="0"/>
        <v>9.8015315311856561</v>
      </c>
    </row>
    <row r="20" spans="2:10" x14ac:dyDescent="0.25">
      <c r="C20" s="3"/>
      <c r="D20" s="2"/>
      <c r="I20" s="6">
        <v>17</v>
      </c>
      <c r="J20" s="17">
        <f t="shared" si="0"/>
        <v>9.6789446994756734</v>
      </c>
    </row>
    <row r="21" spans="2:10" x14ac:dyDescent="0.25">
      <c r="I21" s="6">
        <v>18</v>
      </c>
      <c r="J21" s="17">
        <f t="shared" si="0"/>
        <v>9.5578910497241889</v>
      </c>
    </row>
    <row r="22" spans="2:10" x14ac:dyDescent="0.25">
      <c r="I22" s="6">
        <v>19</v>
      </c>
      <c r="J22" s="17">
        <f t="shared" si="0"/>
        <v>9.4383514065687919</v>
      </c>
    </row>
    <row r="23" spans="2:10" x14ac:dyDescent="0.25">
      <c r="I23" s="6">
        <v>20</v>
      </c>
      <c r="J23" s="17">
        <f t="shared" si="0"/>
        <v>9.3203068344715785</v>
      </c>
    </row>
    <row r="24" spans="2:10" x14ac:dyDescent="0.25">
      <c r="I24" s="6">
        <v>21</v>
      </c>
      <c r="J24" s="17">
        <f t="shared" si="0"/>
        <v>9.2037386347196364</v>
      </c>
    </row>
    <row r="25" spans="2:10" x14ac:dyDescent="0.25">
      <c r="I25" s="6">
        <v>22</v>
      </c>
      <c r="J25" s="17">
        <f t="shared" si="0"/>
        <v>9.0886283424630943</v>
      </c>
    </row>
    <row r="26" spans="2:10" x14ac:dyDescent="0.25">
      <c r="I26" s="6">
        <v>23</v>
      </c>
      <c r="J26" s="17">
        <f t="shared" si="0"/>
        <v>8.9749577237902223</v>
      </c>
    </row>
    <row r="27" spans="2:10" x14ac:dyDescent="0.25">
      <c r="I27" s="6">
        <v>24</v>
      </c>
      <c r="J27" s="17">
        <f t="shared" si="0"/>
        <v>8.862708772839099</v>
      </c>
    </row>
    <row r="28" spans="2:10" x14ac:dyDescent="0.25">
      <c r="I28" s="6">
        <v>25</v>
      </c>
      <c r="J28" s="17">
        <f t="shared" si="0"/>
        <v>8.7518637089454305</v>
      </c>
    </row>
    <row r="29" spans="2:10" x14ac:dyDescent="0.25">
      <c r="I29" s="6">
        <v>26</v>
      </c>
      <c r="J29" s="17">
        <f t="shared" si="0"/>
        <v>8.6424049738260145</v>
      </c>
    </row>
    <row r="30" spans="2:10" x14ac:dyDescent="0.25">
      <c r="I30" s="6">
        <v>27</v>
      </c>
      <c r="J30" s="17">
        <f t="shared" si="0"/>
        <v>8.5343152287974391</v>
      </c>
    </row>
    <row r="31" spans="2:10" x14ac:dyDescent="0.25">
      <c r="I31" s="6">
        <v>28</v>
      </c>
      <c r="J31" s="17">
        <f t="shared" si="0"/>
        <v>8.4275773520295747</v>
      </c>
    </row>
    <row r="32" spans="2:10" x14ac:dyDescent="0.25">
      <c r="E32" s="1"/>
      <c r="F32" s="1"/>
      <c r="I32" s="6">
        <v>29</v>
      </c>
      <c r="J32" s="17">
        <f t="shared" si="0"/>
        <v>8.3221744358334124</v>
      </c>
    </row>
    <row r="33" spans="2:10" x14ac:dyDescent="0.25">
      <c r="E33" s="1"/>
      <c r="F33" s="1"/>
      <c r="I33" s="6">
        <v>30</v>
      </c>
      <c r="J33" s="17">
        <f t="shared" si="0"/>
        <v>8.2180897839828138</v>
      </c>
    </row>
    <row r="34" spans="2:10" x14ac:dyDescent="0.25">
      <c r="B34" s="1"/>
      <c r="C34" s="1"/>
      <c r="D34" s="1"/>
      <c r="E34" s="1"/>
      <c r="F34" s="1"/>
      <c r="I34" s="6">
        <v>31</v>
      </c>
      <c r="J34" s="17">
        <f t="shared" si="0"/>
        <v>8.1153069090697691</v>
      </c>
    </row>
    <row r="35" spans="2:10" x14ac:dyDescent="0.25">
      <c r="B35" s="1"/>
      <c r="C35" s="1"/>
      <c r="D35" s="1"/>
      <c r="E35" s="1"/>
      <c r="F35" s="1"/>
      <c r="I35" s="6">
        <v>32</v>
      </c>
      <c r="J35" s="17">
        <f t="shared" si="0"/>
        <v>8.0138095298927254</v>
      </c>
    </row>
    <row r="36" spans="2:10" x14ac:dyDescent="0.25">
      <c r="B36" s="1"/>
      <c r="C36" s="1"/>
      <c r="D36" s="1"/>
      <c r="E36" s="1"/>
      <c r="F36" s="1"/>
      <c r="I36" s="6">
        <v>33</v>
      </c>
      <c r="J36" s="17">
        <f t="shared" si="0"/>
        <v>7.9135815688775857</v>
      </c>
    </row>
    <row r="37" spans="2:10" x14ac:dyDescent="0.25">
      <c r="B37" s="1"/>
      <c r="C37" s="1"/>
      <c r="D37" s="1"/>
      <c r="E37" s="1"/>
      <c r="F37" s="1"/>
      <c r="I37" s="6">
        <v>34</v>
      </c>
      <c r="J37" s="17">
        <f t="shared" si="0"/>
        <v>7.8146071495309615</v>
      </c>
    </row>
    <row r="38" spans="2:10" x14ac:dyDescent="0.25">
      <c r="B38" s="1"/>
      <c r="C38" s="1"/>
      <c r="D38" s="1"/>
      <c r="E38" s="1"/>
      <c r="F38" s="1"/>
      <c r="I38" s="6">
        <v>35</v>
      </c>
      <c r="J38" s="17">
        <f t="shared" si="0"/>
        <v>7.7168705939252655</v>
      </c>
    </row>
    <row r="39" spans="2:10" x14ac:dyDescent="0.25">
      <c r="B39" s="1"/>
      <c r="C39" s="1"/>
      <c r="D39" s="1"/>
      <c r="E39" s="1"/>
      <c r="F39" s="1"/>
      <c r="I39" s="6">
        <v>36</v>
      </c>
      <c r="J39" s="17">
        <f t="shared" si="0"/>
        <v>7.6203564202152796</v>
      </c>
    </row>
    <row r="40" spans="2:10" x14ac:dyDescent="0.25">
      <c r="B40" s="1"/>
      <c r="C40" s="1"/>
      <c r="D40" s="1"/>
      <c r="E40" s="1"/>
      <c r="F40" s="1"/>
      <c r="I40" s="6">
        <v>37</v>
      </c>
      <c r="J40" s="17">
        <f t="shared" si="0"/>
        <v>7.5250493401857605</v>
      </c>
    </row>
    <row r="41" spans="2:10" x14ac:dyDescent="0.25">
      <c r="B41" s="1"/>
      <c r="C41" s="1"/>
      <c r="D41" s="1"/>
      <c r="E41" s="1"/>
      <c r="F41" s="1"/>
      <c r="I41" s="6">
        <v>38</v>
      </c>
      <c r="J41" s="17">
        <f t="shared" si="0"/>
        <v>7.4309342568297403</v>
      </c>
    </row>
    <row r="42" spans="2:10" x14ac:dyDescent="0.25">
      <c r="B42" s="1"/>
      <c r="C42" s="1"/>
      <c r="D42" s="1"/>
      <c r="E42" s="1"/>
      <c r="F42" s="1"/>
      <c r="I42" s="6">
        <v>39</v>
      </c>
      <c r="J42" s="17">
        <f t="shared" si="0"/>
        <v>7.3379962619570858</v>
      </c>
    </row>
    <row r="43" spans="2:10" x14ac:dyDescent="0.25">
      <c r="B43" s="1"/>
      <c r="C43" s="1"/>
      <c r="D43" s="1"/>
      <c r="E43" s="1"/>
      <c r="F43" s="1"/>
      <c r="I43" s="6">
        <v>40</v>
      </c>
      <c r="J43" s="17">
        <f t="shared" si="0"/>
        <v>7.2462206338330031</v>
      </c>
    </row>
    <row r="44" spans="2:10" x14ac:dyDescent="0.25">
      <c r="B44" s="1"/>
      <c r="C44" s="1"/>
      <c r="D44" s="1"/>
      <c r="E44" s="1"/>
      <c r="F44" s="1"/>
      <c r="I44" s="6">
        <v>41</v>
      </c>
      <c r="J44" s="17">
        <f t="shared" si="0"/>
        <v>7.1555928348460425</v>
      </c>
    </row>
    <row r="45" spans="2:10" x14ac:dyDescent="0.25">
      <c r="B45" s="1"/>
      <c r="C45" s="1"/>
      <c r="D45" s="1"/>
      <c r="E45" s="1"/>
      <c r="F45" s="1"/>
      <c r="I45" s="6">
        <v>42</v>
      </c>
      <c r="J45" s="17">
        <f t="shared" si="0"/>
        <v>7.0660985092052941</v>
      </c>
    </row>
    <row r="46" spans="2:10" x14ac:dyDescent="0.25">
      <c r="B46" s="1"/>
      <c r="C46" s="1"/>
      <c r="D46" s="1"/>
      <c r="E46" s="1"/>
      <c r="F46" s="1"/>
      <c r="I46" s="6">
        <v>43</v>
      </c>
      <c r="J46" s="17">
        <f t="shared" si="0"/>
        <v>6.9777234806663708</v>
      </c>
    </row>
    <row r="47" spans="2:10" x14ac:dyDescent="0.25">
      <c r="B47" s="1"/>
      <c r="C47" s="1"/>
      <c r="D47" s="1"/>
      <c r="E47" s="1"/>
      <c r="F47" s="1"/>
      <c r="I47" s="6">
        <v>44</v>
      </c>
      <c r="J47" s="17">
        <f t="shared" si="0"/>
        <v>6.8904537502858423</v>
      </c>
    </row>
    <row r="48" spans="2:10" x14ac:dyDescent="0.25">
      <c r="B48" s="1"/>
      <c r="C48" s="1"/>
      <c r="D48" s="1"/>
      <c r="E48" s="1"/>
      <c r="F48" s="1"/>
      <c r="I48" s="6">
        <v>45</v>
      </c>
      <c r="J48" s="17">
        <f t="shared" si="0"/>
        <v>6.8042754942037424</v>
      </c>
    </row>
    <row r="49" spans="2:10" x14ac:dyDescent="0.25">
      <c r="B49" s="1"/>
      <c r="C49" s="1"/>
      <c r="D49" s="1"/>
      <c r="E49" s="1"/>
      <c r="F49" s="1"/>
      <c r="G49" s="1"/>
      <c r="H49" s="1"/>
      <c r="I49" s="6">
        <v>46</v>
      </c>
      <c r="J49" s="17">
        <f t="shared" si="0"/>
        <v>6.7191750614538206</v>
      </c>
    </row>
    <row r="50" spans="2:10" x14ac:dyDescent="0.25">
      <c r="B50" s="1"/>
      <c r="C50" s="1"/>
      <c r="D50" s="1"/>
      <c r="E50" s="1"/>
      <c r="F50" s="1"/>
      <c r="G50" s="1"/>
      <c r="H50" s="1"/>
      <c r="I50" s="6">
        <v>47</v>
      </c>
      <c r="J50" s="17">
        <f t="shared" si="0"/>
        <v>6.6351389718011768</v>
      </c>
    </row>
    <row r="51" spans="2:10" x14ac:dyDescent="0.25">
      <c r="B51" s="1"/>
      <c r="C51" s="1"/>
      <c r="D51" s="1"/>
      <c r="E51" s="1"/>
      <c r="F51" s="1"/>
      <c r="G51" s="1"/>
      <c r="H51" s="1"/>
      <c r="I51" s="6">
        <v>48</v>
      </c>
      <c r="J51" s="17">
        <f t="shared" si="0"/>
        <v>6.5521539136069347</v>
      </c>
    </row>
    <row r="52" spans="2:10" x14ac:dyDescent="0.25">
      <c r="B52" s="1"/>
      <c r="C52" s="1"/>
      <c r="D52" s="1"/>
      <c r="E52" s="1"/>
      <c r="F52" s="1"/>
      <c r="G52" s="1"/>
      <c r="H52" s="1"/>
      <c r="I52" s="6">
        <v>49</v>
      </c>
      <c r="J52" s="17">
        <f t="shared" si="0"/>
        <v>6.4702067417196369</v>
      </c>
    </row>
    <row r="53" spans="2:10" x14ac:dyDescent="0.25">
      <c r="B53" s="1"/>
      <c r="C53" s="1"/>
      <c r="D53" s="1"/>
      <c r="E53" s="1"/>
      <c r="F53" s="1"/>
      <c r="G53" s="1"/>
      <c r="H53" s="1"/>
      <c r="I53" s="6">
        <v>50</v>
      </c>
      <c r="J53" s="17">
        <f t="shared" si="0"/>
        <v>6.3892844753929952</v>
      </c>
    </row>
    <row r="54" spans="2:10" x14ac:dyDescent="0.25">
      <c r="B54" s="1"/>
      <c r="C54" s="1"/>
      <c r="D54" s="1"/>
      <c r="E54" s="1"/>
      <c r="F54" s="1"/>
      <c r="G54" s="1"/>
      <c r="H54" s="1"/>
      <c r="I54" s="6">
        <v>51</v>
      </c>
      <c r="J54" s="17">
        <f t="shared" si="0"/>
        <v>6.3093742962296906</v>
      </c>
    </row>
    <row r="55" spans="2:10" x14ac:dyDescent="0.25">
      <c r="B55" s="1"/>
      <c r="C55" s="1"/>
      <c r="D55" s="1"/>
      <c r="E55" s="1"/>
      <c r="F55" s="1"/>
      <c r="G55" s="1"/>
      <c r="H55" s="1"/>
      <c r="I55" s="6">
        <v>52</v>
      </c>
      <c r="J55" s="17">
        <f t="shared" si="0"/>
        <v>6.2304635461508955</v>
      </c>
    </row>
    <row r="56" spans="2:10" x14ac:dyDescent="0.25">
      <c r="B56" s="1"/>
      <c r="C56" s="1"/>
      <c r="D56" s="1"/>
      <c r="E56" s="1"/>
      <c r="F56" s="1"/>
      <c r="G56" s="1"/>
      <c r="H56" s="1"/>
      <c r="I56" s="6">
        <v>53</v>
      </c>
      <c r="J56" s="17">
        <f t="shared" si="0"/>
        <v>6.1525397253911818</v>
      </c>
    </row>
    <row r="57" spans="2:10" x14ac:dyDescent="0.25">
      <c r="B57" s="1"/>
      <c r="C57" s="1"/>
      <c r="D57" s="1"/>
      <c r="E57" s="1"/>
      <c r="F57" s="1"/>
      <c r="G57" s="1"/>
      <c r="H57" s="1"/>
      <c r="I57" s="6">
        <v>54</v>
      </c>
      <c r="J57" s="17">
        <f t="shared" si="0"/>
        <v>6.075590490518505</v>
      </c>
    </row>
    <row r="58" spans="2:10" x14ac:dyDescent="0.25">
      <c r="B58" s="1"/>
      <c r="C58" s="1"/>
      <c r="D58" s="1"/>
      <c r="E58" s="1"/>
      <c r="F58" s="1"/>
      <c r="G58" s="1"/>
      <c r="H58" s="1"/>
      <c r="I58" s="6">
        <v>55</v>
      </c>
      <c r="J58" s="17">
        <f t="shared" si="0"/>
        <v>5.9996036524789709</v>
      </c>
    </row>
    <row r="59" spans="2:10" x14ac:dyDescent="0.25">
      <c r="B59" s="1"/>
      <c r="C59" s="1"/>
      <c r="D59" s="1"/>
      <c r="G59" s="1"/>
      <c r="H59" s="1"/>
      <c r="I59" s="6">
        <v>56</v>
      </c>
      <c r="J59" s="17">
        <f t="shared" si="0"/>
        <v>5.924567174666028</v>
      </c>
    </row>
    <row r="60" spans="2:10" x14ac:dyDescent="0.25">
      <c r="B60" s="1"/>
      <c r="C60" s="1"/>
      <c r="D60" s="1"/>
      <c r="G60" s="1"/>
      <c r="H60" s="1"/>
      <c r="I60" s="6">
        <v>57</v>
      </c>
      <c r="J60" s="17">
        <f t="shared" si="0"/>
        <v>5.850469171013831</v>
      </c>
    </row>
    <row r="61" spans="2:10" x14ac:dyDescent="0.25">
      <c r="G61" s="1"/>
      <c r="H61" s="1"/>
      <c r="I61" s="6">
        <v>58</v>
      </c>
      <c r="J61" s="17">
        <f t="shared" si="0"/>
        <v>5.7772979041144428</v>
      </c>
    </row>
    <row r="62" spans="2:10" x14ac:dyDescent="0.25">
      <c r="G62" s="1"/>
      <c r="H62" s="1"/>
      <c r="I62" s="6">
        <v>59</v>
      </c>
      <c r="J62" s="17">
        <f t="shared" si="0"/>
        <v>5.7050417833585785</v>
      </c>
    </row>
    <row r="63" spans="2:10" x14ac:dyDescent="0.25">
      <c r="G63" s="1"/>
      <c r="H63" s="1"/>
      <c r="I63" s="6">
        <v>60</v>
      </c>
      <c r="J63" s="17">
        <f t="shared" si="0"/>
        <v>5.6336893630996139</v>
      </c>
    </row>
    <row r="64" spans="2:10" x14ac:dyDescent="0.25">
      <c r="G64" s="1"/>
      <c r="H64" s="1"/>
      <c r="I64" s="1"/>
    </row>
    <row r="65" spans="7:9" x14ac:dyDescent="0.25">
      <c r="G65" s="1"/>
      <c r="H65" s="1"/>
      <c r="I65" s="1"/>
    </row>
    <row r="66" spans="7:9" x14ac:dyDescent="0.25">
      <c r="G66" s="1"/>
      <c r="H66" s="1"/>
      <c r="I66" s="1"/>
    </row>
    <row r="67" spans="7:9" x14ac:dyDescent="0.25">
      <c r="G67" s="1"/>
      <c r="H67" s="1"/>
      <c r="I67" s="1"/>
    </row>
    <row r="68" spans="7:9" x14ac:dyDescent="0.25">
      <c r="G68" s="1"/>
      <c r="H68" s="1"/>
      <c r="I68" s="1"/>
    </row>
    <row r="69" spans="7:9" x14ac:dyDescent="0.25">
      <c r="G69" s="1"/>
      <c r="H69" s="1"/>
      <c r="I69" s="1"/>
    </row>
    <row r="70" spans="7:9" x14ac:dyDescent="0.25">
      <c r="G70" s="1"/>
      <c r="H70" s="1"/>
      <c r="I70" s="1"/>
    </row>
    <row r="71" spans="7:9" x14ac:dyDescent="0.25">
      <c r="G71" s="1"/>
      <c r="H71" s="1"/>
      <c r="I71" s="1"/>
    </row>
    <row r="72" spans="7:9" x14ac:dyDescent="0.25">
      <c r="G72" s="1"/>
      <c r="H72" s="1"/>
      <c r="I72" s="1"/>
    </row>
    <row r="73" spans="7:9" x14ac:dyDescent="0.25">
      <c r="G73" s="1"/>
      <c r="H73" s="1"/>
      <c r="I73" s="1"/>
    </row>
    <row r="74" spans="7:9" x14ac:dyDescent="0.25">
      <c r="G74" s="1"/>
      <c r="H74" s="1"/>
      <c r="I74" s="1"/>
    </row>
    <row r="75" spans="7:9" x14ac:dyDescent="0.25">
      <c r="G75" s="1"/>
      <c r="H75" s="1"/>
      <c r="I75" s="1"/>
    </row>
  </sheetData>
  <pageMargins left="0.7" right="0.7" top="0.75" bottom="0.75" header="0.3" footer="0.3"/>
  <headerFooter>
    <oddFooter>&amp;C_x000D_&amp;1#&amp;"Default"&amp;10&amp;KD89B2B Confidential - Company Proprietary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J75"/>
  <sheetViews>
    <sheetView zoomScale="70" zoomScaleNormal="70" workbookViewId="0">
      <selection activeCell="I3" sqref="I3:J63"/>
    </sheetView>
  </sheetViews>
  <sheetFormatPr defaultRowHeight="15" x14ac:dyDescent="0.25"/>
  <cols>
    <col min="3" max="3" width="23.5703125" bestFit="1" customWidth="1"/>
    <col min="4" max="4" width="24.42578125" bestFit="1" customWidth="1"/>
  </cols>
  <sheetData>
    <row r="1" spans="2:10" ht="15.75" thickBot="1" x14ac:dyDescent="0.3"/>
    <row r="2" spans="2:10" x14ac:dyDescent="0.25">
      <c r="B2" s="9" t="s">
        <v>8</v>
      </c>
      <c r="C2" s="19">
        <v>4.8127554657381453E-3</v>
      </c>
      <c r="D2" s="10" t="s">
        <v>0</v>
      </c>
      <c r="E2" s="11">
        <v>1.1417229181532031</v>
      </c>
      <c r="F2" s="10" t="s">
        <v>1</v>
      </c>
      <c r="G2" s="12">
        <v>1.1378520200197948</v>
      </c>
      <c r="I2" s="6" t="s">
        <v>2</v>
      </c>
      <c r="J2" s="6" t="s">
        <v>3</v>
      </c>
    </row>
    <row r="3" spans="2:10" ht="15.75" thickBot="1" x14ac:dyDescent="0.3">
      <c r="B3" s="13" t="s">
        <v>9</v>
      </c>
      <c r="C3" s="20">
        <f>(B6+B12)/2</f>
        <v>99000</v>
      </c>
      <c r="D3" s="14" t="s">
        <v>7</v>
      </c>
      <c r="E3" s="15">
        <v>3.1343135506189786E-2</v>
      </c>
      <c r="F3" s="14"/>
      <c r="G3" s="16"/>
      <c r="I3" s="6">
        <v>0</v>
      </c>
      <c r="J3" s="17">
        <f>((1-C$2)*C$3*EXP(-$E$2*(I3^$G$2)))+(C$2*C$3*EXP(-$E$3*I3))</f>
        <v>99000</v>
      </c>
    </row>
    <row r="4" spans="2:10" x14ac:dyDescent="0.25">
      <c r="I4" s="6">
        <v>1</v>
      </c>
      <c r="J4" s="17">
        <f t="shared" ref="J4:J63" si="0">((1-C$2)*C$3*EXP(-$E$2*(I4^$G$2)))+(C$2*C$3*EXP(-$E$3*I4))</f>
        <v>31917.219964083077</v>
      </c>
    </row>
    <row r="5" spans="2:10" x14ac:dyDescent="0.25">
      <c r="B5" s="4" t="s">
        <v>4</v>
      </c>
      <c r="C5" s="5" t="s">
        <v>5</v>
      </c>
      <c r="D5" s="5" t="s">
        <v>6</v>
      </c>
      <c r="I5" s="6">
        <v>2</v>
      </c>
      <c r="J5" s="17">
        <f t="shared" si="0"/>
        <v>8435.1750863819598</v>
      </c>
    </row>
    <row r="6" spans="2:10" x14ac:dyDescent="0.25">
      <c r="B6" s="7">
        <v>100000</v>
      </c>
      <c r="C6" s="8">
        <v>0</v>
      </c>
      <c r="D6" s="7">
        <v>99000</v>
      </c>
      <c r="I6" s="6">
        <v>3</v>
      </c>
      <c r="J6" s="17">
        <f t="shared" si="0"/>
        <v>2265.0632723624876</v>
      </c>
    </row>
    <row r="7" spans="2:10" x14ac:dyDescent="0.25">
      <c r="B7" s="7">
        <v>66000</v>
      </c>
      <c r="C7" s="8">
        <v>0.68640643631053111</v>
      </c>
      <c r="D7" s="7">
        <v>47282.288174953152</v>
      </c>
      <c r="I7" s="6">
        <v>4</v>
      </c>
      <c r="J7" s="17">
        <f t="shared" si="0"/>
        <v>811.60739838711163</v>
      </c>
    </row>
    <row r="8" spans="2:10" x14ac:dyDescent="0.25">
      <c r="B8" s="7">
        <v>12400</v>
      </c>
      <c r="C8" s="8">
        <v>1.9930539796808626</v>
      </c>
      <c r="D8" s="7">
        <v>8514.9531993025576</v>
      </c>
      <c r="I8" s="6">
        <v>5</v>
      </c>
      <c r="J8" s="17">
        <f t="shared" si="0"/>
        <v>486.50527794832806</v>
      </c>
    </row>
    <row r="9" spans="2:10" x14ac:dyDescent="0.25">
      <c r="B9" s="7">
        <v>1275</v>
      </c>
      <c r="C9" s="8">
        <v>3.2161926032190369</v>
      </c>
      <c r="D9" s="7">
        <v>1749.525516627212</v>
      </c>
      <c r="I9" s="6">
        <v>6</v>
      </c>
      <c r="J9" s="17">
        <f t="shared" si="0"/>
        <v>410.08941894810988</v>
      </c>
    </row>
    <row r="10" spans="2:10" x14ac:dyDescent="0.25">
      <c r="B10" s="7">
        <v>440</v>
      </c>
      <c r="C10" s="8">
        <v>5.9428784807779014</v>
      </c>
      <c r="D10" s="7">
        <v>412.32140825908925</v>
      </c>
      <c r="I10" s="6">
        <v>7</v>
      </c>
      <c r="J10" s="17">
        <f t="shared" si="0"/>
        <v>385.44836985103103</v>
      </c>
    </row>
    <row r="11" spans="2:10" x14ac:dyDescent="0.25">
      <c r="B11" s="7">
        <v>370</v>
      </c>
      <c r="C11" s="8">
        <v>13.284620778797283</v>
      </c>
      <c r="D11" s="7">
        <v>314.19320057364314</v>
      </c>
      <c r="I11" s="6">
        <v>8</v>
      </c>
      <c r="J11" s="17">
        <f t="shared" si="0"/>
        <v>371.30604096160721</v>
      </c>
    </row>
    <row r="12" spans="2:10" x14ac:dyDescent="0.25">
      <c r="B12" s="7">
        <v>98000</v>
      </c>
      <c r="C12" s="8">
        <v>0</v>
      </c>
      <c r="D12" s="7">
        <v>99000</v>
      </c>
      <c r="I12" s="6">
        <v>9</v>
      </c>
      <c r="J12" s="17">
        <f t="shared" si="0"/>
        <v>359.44122371879894</v>
      </c>
    </row>
    <row r="13" spans="2:10" x14ac:dyDescent="0.25">
      <c r="B13" s="7">
        <v>10400</v>
      </c>
      <c r="C13" s="8">
        <v>1.5225667500561915</v>
      </c>
      <c r="D13" s="7">
        <v>16069.193873186665</v>
      </c>
      <c r="I13" s="6">
        <v>10</v>
      </c>
      <c r="J13" s="17">
        <f t="shared" si="0"/>
        <v>348.27834887543747</v>
      </c>
    </row>
    <row r="14" spans="2:10" x14ac:dyDescent="0.25">
      <c r="B14" s="7">
        <v>840</v>
      </c>
      <c r="C14" s="8">
        <v>4.4795466455173285</v>
      </c>
      <c r="D14" s="7">
        <v>597.00440349015776</v>
      </c>
      <c r="I14" s="6">
        <v>11</v>
      </c>
      <c r="J14" s="17">
        <f t="shared" si="0"/>
        <v>337.51927790698016</v>
      </c>
    </row>
    <row r="15" spans="2:10" x14ac:dyDescent="0.25">
      <c r="B15" s="7">
        <v>305</v>
      </c>
      <c r="C15" s="8">
        <v>7.3227629386573003</v>
      </c>
      <c r="D15" s="7">
        <v>380.39191348974231</v>
      </c>
      <c r="I15" s="6">
        <v>12</v>
      </c>
      <c r="J15" s="17">
        <f t="shared" si="0"/>
        <v>327.10239580799782</v>
      </c>
    </row>
    <row r="16" spans="2:10" x14ac:dyDescent="0.25">
      <c r="B16" s="7">
        <v>250</v>
      </c>
      <c r="C16" s="8">
        <v>13.961397972085532</v>
      </c>
      <c r="D16" s="7">
        <v>307.59859778120091</v>
      </c>
      <c r="I16" s="6">
        <v>13</v>
      </c>
      <c r="J16" s="17">
        <f t="shared" si="0"/>
        <v>317.00865483915334</v>
      </c>
    </row>
    <row r="17" spans="2:10" x14ac:dyDescent="0.25">
      <c r="B17" s="7">
        <v>165</v>
      </c>
      <c r="C17" s="8">
        <v>34.866676723589912</v>
      </c>
      <c r="D17" s="7">
        <v>159.74178357767948</v>
      </c>
      <c r="E17" s="1"/>
      <c r="I17" s="6">
        <v>14</v>
      </c>
      <c r="J17" s="17">
        <f t="shared" si="0"/>
        <v>307.22665590284049</v>
      </c>
    </row>
    <row r="18" spans="2:10" x14ac:dyDescent="0.25">
      <c r="B18" s="2"/>
      <c r="C18" s="3"/>
      <c r="D18" s="2"/>
      <c r="E18" s="1"/>
      <c r="I18" s="6">
        <v>15</v>
      </c>
      <c r="J18" s="17">
        <f t="shared" si="0"/>
        <v>297.74654507906507</v>
      </c>
    </row>
    <row r="19" spans="2:10" x14ac:dyDescent="0.25">
      <c r="B19" s="2"/>
      <c r="C19" s="3"/>
      <c r="D19" s="2"/>
      <c r="E19" s="1"/>
      <c r="I19" s="6">
        <v>16</v>
      </c>
      <c r="J19" s="17">
        <f t="shared" si="0"/>
        <v>288.55896933523042</v>
      </c>
    </row>
    <row r="20" spans="2:10" x14ac:dyDescent="0.25">
      <c r="C20" s="3"/>
      <c r="D20" s="2"/>
      <c r="E20" s="1"/>
      <c r="I20" s="6">
        <v>17</v>
      </c>
      <c r="J20" s="17">
        <f t="shared" si="0"/>
        <v>279.65489598154045</v>
      </c>
    </row>
    <row r="21" spans="2:10" x14ac:dyDescent="0.25">
      <c r="E21" s="1"/>
      <c r="I21" s="6">
        <v>18</v>
      </c>
      <c r="J21" s="17">
        <f t="shared" si="0"/>
        <v>271.02557606127891</v>
      </c>
    </row>
    <row r="22" spans="2:10" x14ac:dyDescent="0.25">
      <c r="E22" s="1"/>
      <c r="I22" s="6">
        <v>19</v>
      </c>
      <c r="J22" s="17">
        <f t="shared" si="0"/>
        <v>262.66253136050682</v>
      </c>
    </row>
    <row r="23" spans="2:10" x14ac:dyDescent="0.25">
      <c r="E23" s="1"/>
      <c r="I23" s="6">
        <v>20</v>
      </c>
      <c r="J23" s="17">
        <f t="shared" si="0"/>
        <v>254.55754539577063</v>
      </c>
    </row>
    <row r="24" spans="2:10" x14ac:dyDescent="0.25">
      <c r="E24" s="1"/>
      <c r="I24" s="6">
        <v>21</v>
      </c>
      <c r="J24" s="17">
        <f t="shared" si="0"/>
        <v>246.70265523753341</v>
      </c>
    </row>
    <row r="25" spans="2:10" x14ac:dyDescent="0.25">
      <c r="E25" s="1"/>
      <c r="I25" s="6">
        <v>22</v>
      </c>
      <c r="J25" s="17">
        <f t="shared" si="0"/>
        <v>239.09014367121654</v>
      </c>
    </row>
    <row r="26" spans="2:10" x14ac:dyDescent="0.25">
      <c r="E26" s="1"/>
      <c r="I26" s="6">
        <v>23</v>
      </c>
      <c r="J26" s="17">
        <f t="shared" si="0"/>
        <v>231.71253161294888</v>
      </c>
    </row>
    <row r="27" spans="2:10" x14ac:dyDescent="0.25">
      <c r="E27" s="1"/>
      <c r="I27" s="6">
        <v>24</v>
      </c>
      <c r="J27" s="17">
        <f t="shared" si="0"/>
        <v>224.56257076123811</v>
      </c>
    </row>
    <row r="28" spans="2:10" x14ac:dyDescent="0.25">
      <c r="E28" s="1"/>
      <c r="I28" s="6">
        <v>25</v>
      </c>
      <c r="J28" s="17">
        <f t="shared" si="0"/>
        <v>217.63323647566594</v>
      </c>
    </row>
    <row r="29" spans="2:10" x14ac:dyDescent="0.25">
      <c r="E29" s="1"/>
      <c r="I29" s="6">
        <v>26</v>
      </c>
      <c r="J29" s="17">
        <f t="shared" si="0"/>
        <v>210.91772087536461</v>
      </c>
    </row>
    <row r="30" spans="2:10" x14ac:dyDescent="0.25">
      <c r="E30" s="1"/>
      <c r="I30" s="6">
        <v>27</v>
      </c>
      <c r="J30" s="17">
        <f t="shared" si="0"/>
        <v>204.40942615045995</v>
      </c>
    </row>
    <row r="31" spans="2:10" x14ac:dyDescent="0.25">
      <c r="E31" s="1"/>
      <c r="I31" s="6">
        <v>28</v>
      </c>
      <c r="J31" s="17">
        <f t="shared" si="0"/>
        <v>198.10195807990382</v>
      </c>
    </row>
    <row r="32" spans="2:10" x14ac:dyDescent="0.25">
      <c r="E32" s="1"/>
      <c r="F32" s="1"/>
      <c r="I32" s="6">
        <v>29</v>
      </c>
      <c r="J32" s="17">
        <f t="shared" si="0"/>
        <v>191.9891197493275</v>
      </c>
    </row>
    <row r="33" spans="2:10" x14ac:dyDescent="0.25">
      <c r="E33" s="1"/>
      <c r="F33" s="1"/>
      <c r="I33" s="6">
        <v>30</v>
      </c>
      <c r="J33" s="17">
        <f t="shared" si="0"/>
        <v>186.06490546274316</v>
      </c>
    </row>
    <row r="34" spans="2:10" x14ac:dyDescent="0.25">
      <c r="B34" s="1"/>
      <c r="C34" s="1"/>
      <c r="D34" s="1"/>
      <c r="E34" s="1"/>
      <c r="F34" s="1"/>
      <c r="I34" s="6">
        <v>31</v>
      </c>
      <c r="J34" s="17">
        <f t="shared" si="0"/>
        <v>180.32349484211238</v>
      </c>
    </row>
    <row r="35" spans="2:10" x14ac:dyDescent="0.25">
      <c r="B35" s="1"/>
      <c r="C35" s="1"/>
      <c r="D35" s="1"/>
      <c r="E35" s="1"/>
      <c r="F35" s="1"/>
      <c r="I35" s="6">
        <v>32</v>
      </c>
      <c r="J35" s="17">
        <f t="shared" si="0"/>
        <v>174.75924710898425</v>
      </c>
    </row>
    <row r="36" spans="2:10" x14ac:dyDescent="0.25">
      <c r="B36" s="1"/>
      <c r="C36" s="1"/>
      <c r="D36" s="1"/>
      <c r="E36" s="1"/>
      <c r="F36" s="1"/>
      <c r="I36" s="6">
        <v>33</v>
      </c>
      <c r="J36" s="17">
        <f t="shared" si="0"/>
        <v>169.36669554258543</v>
      </c>
    </row>
    <row r="37" spans="2:10" x14ac:dyDescent="0.25">
      <c r="B37" s="1"/>
      <c r="C37" s="1"/>
      <c r="D37" s="1"/>
      <c r="E37" s="1"/>
      <c r="F37" s="1"/>
      <c r="I37" s="6">
        <v>34</v>
      </c>
      <c r="J37" s="17">
        <f t="shared" si="0"/>
        <v>164.14054210891678</v>
      </c>
    </row>
    <row r="38" spans="2:10" x14ac:dyDescent="0.25">
      <c r="B38" s="1"/>
      <c r="C38" s="1"/>
      <c r="D38" s="1"/>
      <c r="E38" s="1"/>
      <c r="F38" s="1"/>
      <c r="I38" s="6">
        <v>35</v>
      </c>
      <c r="J38" s="17">
        <f t="shared" si="0"/>
        <v>159.07565225558045</v>
      </c>
    </row>
    <row r="39" spans="2:10" x14ac:dyDescent="0.25">
      <c r="B39" s="1"/>
      <c r="C39" s="1"/>
      <c r="D39" s="1"/>
      <c r="E39" s="1"/>
      <c r="F39" s="1"/>
      <c r="I39" s="6">
        <v>36</v>
      </c>
      <c r="J39" s="17">
        <f t="shared" si="0"/>
        <v>154.16704986722283</v>
      </c>
    </row>
    <row r="40" spans="2:10" x14ac:dyDescent="0.25">
      <c r="B40" s="1"/>
      <c r="C40" s="1"/>
      <c r="D40" s="1"/>
      <c r="E40" s="1"/>
      <c r="F40" s="1"/>
      <c r="I40" s="6">
        <v>37</v>
      </c>
      <c r="J40" s="17">
        <f t="shared" si="0"/>
        <v>149.40991237663772</v>
      </c>
    </row>
    <row r="41" spans="2:10" x14ac:dyDescent="0.25">
      <c r="B41" s="1"/>
      <c r="C41" s="1"/>
      <c r="D41" s="1"/>
      <c r="E41" s="1"/>
      <c r="F41" s="1"/>
      <c r="I41" s="6">
        <v>38</v>
      </c>
      <c r="J41" s="17">
        <f t="shared" si="0"/>
        <v>144.79956602672644</v>
      </c>
    </row>
    <row r="42" spans="2:10" x14ac:dyDescent="0.25">
      <c r="B42" s="1"/>
      <c r="C42" s="1"/>
      <c r="D42" s="1"/>
      <c r="E42" s="1"/>
      <c r="F42" s="1"/>
      <c r="I42" s="6">
        <v>39</v>
      </c>
      <c r="J42" s="17">
        <f t="shared" si="0"/>
        <v>140.33148127865962</v>
      </c>
    </row>
    <row r="43" spans="2:10" x14ac:dyDescent="0.25">
      <c r="B43" s="1"/>
      <c r="C43" s="1"/>
      <c r="D43" s="1"/>
      <c r="E43" s="1"/>
      <c r="F43" s="1"/>
      <c r="I43" s="6">
        <v>40</v>
      </c>
      <c r="J43" s="17">
        <f t="shared" si="0"/>
        <v>136.00126836172953</v>
      </c>
    </row>
    <row r="44" spans="2:10" x14ac:dyDescent="0.25">
      <c r="B44" s="1"/>
      <c r="C44" s="1"/>
      <c r="D44" s="1"/>
      <c r="F44" s="1"/>
      <c r="I44" s="6">
        <v>41</v>
      </c>
      <c r="J44" s="17">
        <f t="shared" si="0"/>
        <v>131.80467296052075</v>
      </c>
    </row>
    <row r="45" spans="2:10" x14ac:dyDescent="0.25">
      <c r="B45" s="1"/>
      <c r="C45" s="1"/>
      <c r="D45" s="1"/>
      <c r="F45" s="1"/>
      <c r="I45" s="6">
        <v>42</v>
      </c>
      <c r="J45" s="17">
        <f t="shared" si="0"/>
        <v>127.73757203516206</v>
      </c>
    </row>
    <row r="46" spans="2:10" x14ac:dyDescent="0.25">
      <c r="B46" s="1"/>
      <c r="C46" s="1"/>
      <c r="D46" s="1"/>
      <c r="F46" s="1"/>
      <c r="I46" s="6">
        <v>43</v>
      </c>
      <c r="J46" s="17">
        <f t="shared" si="0"/>
        <v>123.79596977055272</v>
      </c>
    </row>
    <row r="47" spans="2:10" x14ac:dyDescent="0.25">
      <c r="B47" s="1"/>
      <c r="C47" s="1"/>
      <c r="D47" s="1"/>
      <c r="F47" s="1"/>
      <c r="I47" s="6">
        <v>44</v>
      </c>
      <c r="J47" s="17">
        <f t="shared" si="0"/>
        <v>119.97599365058387</v>
      </c>
    </row>
    <row r="48" spans="2:10" x14ac:dyDescent="0.25">
      <c r="B48" s="1"/>
      <c r="C48" s="1"/>
      <c r="D48" s="1"/>
      <c r="F48" s="1"/>
      <c r="I48" s="6">
        <v>45</v>
      </c>
      <c r="J48" s="17">
        <f t="shared" si="0"/>
        <v>116.27389065349759</v>
      </c>
    </row>
    <row r="49" spans="2:10" x14ac:dyDescent="0.25">
      <c r="B49" s="1"/>
      <c r="C49" s="1"/>
      <c r="D49" s="1"/>
      <c r="F49" s="1"/>
      <c r="G49" s="1"/>
      <c r="H49" s="1"/>
      <c r="I49" s="6">
        <v>46</v>
      </c>
      <c r="J49" s="17">
        <f t="shared" si="0"/>
        <v>112.68602356464602</v>
      </c>
    </row>
    <row r="50" spans="2:10" x14ac:dyDescent="0.25">
      <c r="B50" s="1"/>
      <c r="C50" s="1"/>
      <c r="D50" s="1"/>
      <c r="F50" s="1"/>
      <c r="G50" s="1"/>
      <c r="H50" s="1"/>
      <c r="I50" s="6">
        <v>47</v>
      </c>
      <c r="J50" s="17">
        <f t="shared" si="0"/>
        <v>109.2088674030277</v>
      </c>
    </row>
    <row r="51" spans="2:10" x14ac:dyDescent="0.25">
      <c r="B51" s="1"/>
      <c r="C51" s="1"/>
      <c r="D51" s="1"/>
      <c r="F51" s="1"/>
      <c r="G51" s="1"/>
      <c r="H51" s="1"/>
      <c r="I51" s="6">
        <v>48</v>
      </c>
      <c r="J51" s="17">
        <f t="shared" si="0"/>
        <v>105.83900595809035</v>
      </c>
    </row>
    <row r="52" spans="2:10" x14ac:dyDescent="0.25">
      <c r="B52" s="1"/>
      <c r="C52" s="1"/>
      <c r="D52" s="1"/>
      <c r="F52" s="1"/>
      <c r="G52" s="1"/>
      <c r="H52" s="1"/>
      <c r="I52" s="6">
        <v>49</v>
      </c>
      <c r="J52" s="17">
        <f t="shared" si="0"/>
        <v>102.57312843339798</v>
      </c>
    </row>
    <row r="53" spans="2:10" x14ac:dyDescent="0.25">
      <c r="B53" s="1"/>
      <c r="C53" s="1"/>
      <c r="D53" s="1"/>
      <c r="F53" s="1"/>
      <c r="G53" s="1"/>
      <c r="H53" s="1"/>
      <c r="I53" s="6">
        <v>50</v>
      </c>
      <c r="J53" s="17">
        <f t="shared" si="0"/>
        <v>99.408026193863847</v>
      </c>
    </row>
    <row r="54" spans="2:10" x14ac:dyDescent="0.25">
      <c r="B54" s="1"/>
      <c r="C54" s="1"/>
      <c r="D54" s="1"/>
      <c r="F54" s="1"/>
      <c r="G54" s="1"/>
      <c r="H54" s="1"/>
      <c r="I54" s="6">
        <v>51</v>
      </c>
      <c r="J54" s="17">
        <f t="shared" si="0"/>
        <v>96.340589613354709</v>
      </c>
    </row>
    <row r="55" spans="2:10" x14ac:dyDescent="0.25">
      <c r="B55" s="1"/>
      <c r="C55" s="1"/>
      <c r="D55" s="1"/>
      <c r="F55" s="1"/>
      <c r="G55" s="1"/>
      <c r="H55" s="1"/>
      <c r="I55" s="6">
        <v>52</v>
      </c>
      <c r="J55" s="17">
        <f t="shared" si="0"/>
        <v>93.367805019568394</v>
      </c>
    </row>
    <row r="56" spans="2:10" x14ac:dyDescent="0.25">
      <c r="B56" s="1"/>
      <c r="C56" s="1"/>
      <c r="D56" s="1"/>
      <c r="F56" s="1"/>
      <c r="G56" s="1"/>
      <c r="H56" s="1"/>
      <c r="I56" s="6">
        <v>53</v>
      </c>
      <c r="J56" s="17">
        <f t="shared" si="0"/>
        <v>90.486751733183482</v>
      </c>
    </row>
    <row r="57" spans="2:10" x14ac:dyDescent="0.25">
      <c r="B57" s="1"/>
      <c r="C57" s="1"/>
      <c r="D57" s="1"/>
      <c r="F57" s="1"/>
      <c r="G57" s="1"/>
      <c r="H57" s="1"/>
      <c r="I57" s="6">
        <v>54</v>
      </c>
      <c r="J57" s="17">
        <f t="shared" si="0"/>
        <v>87.694599198371876</v>
      </c>
    </row>
    <row r="58" spans="2:10" x14ac:dyDescent="0.25">
      <c r="B58" s="1"/>
      <c r="C58" s="1"/>
      <c r="D58" s="1"/>
      <c r="F58" s="1"/>
      <c r="G58" s="1"/>
      <c r="H58" s="1"/>
      <c r="I58" s="6">
        <v>55</v>
      </c>
      <c r="J58" s="17">
        <f t="shared" si="0"/>
        <v>84.988604201855395</v>
      </c>
    </row>
    <row r="59" spans="2:10" x14ac:dyDescent="0.25">
      <c r="B59" s="1"/>
      <c r="C59" s="1"/>
      <c r="D59" s="1"/>
      <c r="G59" s="1"/>
      <c r="H59" s="1"/>
      <c r="I59" s="6">
        <v>56</v>
      </c>
      <c r="J59" s="17">
        <f t="shared" si="0"/>
        <v>82.366108177774024</v>
      </c>
    </row>
    <row r="60" spans="2:10" x14ac:dyDescent="0.25">
      <c r="B60" s="1"/>
      <c r="C60" s="1"/>
      <c r="D60" s="1"/>
      <c r="G60" s="1"/>
      <c r="H60" s="1"/>
      <c r="I60" s="6">
        <v>57</v>
      </c>
      <c r="J60" s="17">
        <f t="shared" si="0"/>
        <v>79.824534595717807</v>
      </c>
    </row>
    <row r="61" spans="2:10" x14ac:dyDescent="0.25">
      <c r="G61" s="1"/>
      <c r="H61" s="1"/>
      <c r="I61" s="6">
        <v>58</v>
      </c>
      <c r="J61" s="17">
        <f t="shared" si="0"/>
        <v>77.361386429356401</v>
      </c>
    </row>
    <row r="62" spans="2:10" x14ac:dyDescent="0.25">
      <c r="G62" s="1"/>
      <c r="H62" s="1"/>
      <c r="I62" s="6">
        <v>59</v>
      </c>
      <c r="J62" s="17">
        <f t="shared" si="0"/>
        <v>74.974243703179226</v>
      </c>
    </row>
    <row r="63" spans="2:10" x14ac:dyDescent="0.25">
      <c r="G63" s="1"/>
      <c r="H63" s="1"/>
      <c r="I63" s="6">
        <v>60</v>
      </c>
      <c r="J63" s="17">
        <f t="shared" si="0"/>
        <v>72.660761114935909</v>
      </c>
    </row>
    <row r="64" spans="2:10" x14ac:dyDescent="0.25">
      <c r="G64" s="1"/>
      <c r="H64" s="1"/>
      <c r="I64" s="1"/>
    </row>
    <row r="65" spans="7:9" x14ac:dyDescent="0.25">
      <c r="G65" s="1"/>
      <c r="H65" s="1"/>
      <c r="I65" s="1"/>
    </row>
    <row r="66" spans="7:9" x14ac:dyDescent="0.25">
      <c r="G66" s="1"/>
      <c r="H66" s="1"/>
      <c r="I66" s="1"/>
    </row>
    <row r="67" spans="7:9" x14ac:dyDescent="0.25">
      <c r="G67" s="1"/>
      <c r="H67" s="1"/>
      <c r="I67" s="1"/>
    </row>
    <row r="68" spans="7:9" x14ac:dyDescent="0.25">
      <c r="G68" s="1"/>
      <c r="H68" s="1"/>
      <c r="I68" s="1"/>
    </row>
    <row r="69" spans="7:9" x14ac:dyDescent="0.25">
      <c r="G69" s="1"/>
      <c r="H69" s="1"/>
      <c r="I69" s="1"/>
    </row>
    <row r="70" spans="7:9" x14ac:dyDescent="0.25">
      <c r="G70" s="1"/>
      <c r="H70" s="1"/>
      <c r="I70" s="1"/>
    </row>
    <row r="71" spans="7:9" x14ac:dyDescent="0.25">
      <c r="G71" s="1"/>
      <c r="H71" s="1"/>
      <c r="I71" s="1"/>
    </row>
    <row r="72" spans="7:9" x14ac:dyDescent="0.25">
      <c r="G72" s="1"/>
      <c r="H72" s="1"/>
      <c r="I72" s="1"/>
    </row>
    <row r="73" spans="7:9" x14ac:dyDescent="0.25">
      <c r="G73" s="1"/>
      <c r="H73" s="1"/>
      <c r="I73" s="1"/>
    </row>
    <row r="74" spans="7:9" x14ac:dyDescent="0.25">
      <c r="G74" s="1"/>
      <c r="H74" s="1"/>
      <c r="I74" s="1"/>
    </row>
    <row r="75" spans="7:9" x14ac:dyDescent="0.25">
      <c r="G75" s="1"/>
      <c r="H75" s="1"/>
      <c r="I75" s="1"/>
    </row>
  </sheetData>
  <pageMargins left="0.7" right="0.7" top="0.75" bottom="0.75" header="0.3" footer="0.3"/>
  <headerFooter>
    <oddFooter>&amp;C_x000D_&amp;1#&amp;"Default"&amp;10&amp;KD89B2B Confidential - Company Proprietary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J75"/>
  <sheetViews>
    <sheetView zoomScale="80" zoomScaleNormal="80" workbookViewId="0">
      <selection activeCell="I3" sqref="I3:J63"/>
    </sheetView>
  </sheetViews>
  <sheetFormatPr defaultRowHeight="15" x14ac:dyDescent="0.25"/>
  <cols>
    <col min="3" max="3" width="23.5703125" bestFit="1" customWidth="1"/>
    <col min="4" max="4" width="24.42578125" bestFit="1" customWidth="1"/>
  </cols>
  <sheetData>
    <row r="1" spans="2:10" ht="15.75" thickBot="1" x14ac:dyDescent="0.3"/>
    <row r="2" spans="2:10" x14ac:dyDescent="0.25">
      <c r="B2" s="9" t="s">
        <v>8</v>
      </c>
      <c r="C2" s="19">
        <v>1.2427623324654002E-3</v>
      </c>
      <c r="D2" s="10" t="s">
        <v>0</v>
      </c>
      <c r="E2" s="11">
        <v>0.68280636826270513</v>
      </c>
      <c r="F2" s="10" t="s">
        <v>1</v>
      </c>
      <c r="G2" s="12">
        <v>0.83643378553241676</v>
      </c>
      <c r="I2" s="6" t="s">
        <v>2</v>
      </c>
      <c r="J2" s="6" t="s">
        <v>3</v>
      </c>
    </row>
    <row r="3" spans="2:10" ht="15.75" thickBot="1" x14ac:dyDescent="0.3">
      <c r="B3" s="13" t="s">
        <v>9</v>
      </c>
      <c r="C3" s="20">
        <f>(B6+B12)/2</f>
        <v>787.5</v>
      </c>
      <c r="D3" s="14" t="s">
        <v>7</v>
      </c>
      <c r="E3" s="15">
        <v>0</v>
      </c>
      <c r="F3" s="14"/>
      <c r="G3" s="16"/>
      <c r="I3" s="6">
        <v>0</v>
      </c>
      <c r="J3" s="17">
        <f>((1-C$2)*C$3*EXP(-$E$2*(I3^$G$2)))+(C$2*C$3*EXP(-$E$3*I3))</f>
        <v>787.5</v>
      </c>
    </row>
    <row r="4" spans="2:10" x14ac:dyDescent="0.25">
      <c r="I4" s="6">
        <v>1</v>
      </c>
      <c r="J4" s="17">
        <f t="shared" ref="J4:J63" si="0">((1-C$2)*C$3*EXP(-$E$2*(I4^$G$2)))+(C$2*C$3*EXP(-$E$3*I4))</f>
        <v>398.32707117807553</v>
      </c>
    </row>
    <row r="5" spans="2:10" x14ac:dyDescent="0.25">
      <c r="B5" s="4" t="s">
        <v>4</v>
      </c>
      <c r="C5" s="5" t="s">
        <v>5</v>
      </c>
      <c r="D5" s="5" t="s">
        <v>6</v>
      </c>
      <c r="E5" s="2"/>
      <c r="I5" s="6">
        <v>2</v>
      </c>
      <c r="J5" s="17">
        <f t="shared" si="0"/>
        <v>233.36002731643822</v>
      </c>
    </row>
    <row r="6" spans="2:10" x14ac:dyDescent="0.25">
      <c r="B6" s="7">
        <v>775</v>
      </c>
      <c r="C6" s="8">
        <v>0</v>
      </c>
      <c r="D6" s="7">
        <v>787.5</v>
      </c>
      <c r="E6" s="2"/>
      <c r="I6" s="6">
        <v>3</v>
      </c>
      <c r="J6" s="17">
        <f t="shared" si="0"/>
        <v>143.01969795195754</v>
      </c>
    </row>
    <row r="7" spans="2:10" x14ac:dyDescent="0.25">
      <c r="B7" s="7">
        <v>620</v>
      </c>
      <c r="C7" s="8">
        <v>0.68640643631053111</v>
      </c>
      <c r="D7" s="7">
        <v>478.77505780537302</v>
      </c>
      <c r="E7" s="2"/>
      <c r="I7" s="6">
        <v>4</v>
      </c>
      <c r="J7" s="17">
        <f t="shared" si="0"/>
        <v>90.145343009531686</v>
      </c>
    </row>
    <row r="8" spans="2:10" x14ac:dyDescent="0.25">
      <c r="B8" s="7">
        <v>260</v>
      </c>
      <c r="C8" s="8">
        <v>1.9930539796808626</v>
      </c>
      <c r="D8" s="7">
        <v>234.18477510999637</v>
      </c>
      <c r="E8" s="2"/>
      <c r="I8" s="6">
        <v>5</v>
      </c>
      <c r="J8" s="17">
        <f t="shared" si="0"/>
        <v>58.019412022284776</v>
      </c>
    </row>
    <row r="9" spans="2:10" x14ac:dyDescent="0.25">
      <c r="B9" s="7">
        <v>158</v>
      </c>
      <c r="C9" s="8">
        <v>3.2161926032190369</v>
      </c>
      <c r="D9" s="7">
        <v>129.17249724810239</v>
      </c>
      <c r="E9" s="2"/>
      <c r="I9" s="6">
        <v>6</v>
      </c>
      <c r="J9" s="17">
        <f t="shared" si="0"/>
        <v>38.000432624503254</v>
      </c>
    </row>
    <row r="10" spans="2:10" x14ac:dyDescent="0.25">
      <c r="B10" s="7">
        <v>33</v>
      </c>
      <c r="C10" s="8">
        <v>5.9428784807779014</v>
      </c>
      <c r="D10" s="7">
        <v>38.913168835119237</v>
      </c>
      <c r="E10" s="2"/>
      <c r="I10" s="6">
        <v>7</v>
      </c>
      <c r="J10" s="17">
        <f t="shared" si="0"/>
        <v>25.289668860964738</v>
      </c>
    </row>
    <row r="11" spans="2:10" x14ac:dyDescent="0.25">
      <c r="B11" s="7">
        <v>9</v>
      </c>
      <c r="C11" s="8">
        <v>13.284620778797283</v>
      </c>
      <c r="D11" s="7">
        <v>3.0454752003848395</v>
      </c>
      <c r="E11" s="2"/>
      <c r="I11" s="6">
        <v>8</v>
      </c>
      <c r="J11" s="17">
        <f t="shared" si="0"/>
        <v>17.099319597375121</v>
      </c>
    </row>
    <row r="12" spans="2:10" x14ac:dyDescent="0.25">
      <c r="B12" s="7">
        <v>800</v>
      </c>
      <c r="C12" s="8">
        <v>0</v>
      </c>
      <c r="D12" s="7">
        <v>787.5</v>
      </c>
      <c r="E12" s="2"/>
      <c r="I12" s="6">
        <v>9</v>
      </c>
      <c r="J12" s="17">
        <f t="shared" si="0"/>
        <v>11.757790687589258</v>
      </c>
    </row>
    <row r="13" spans="2:10" x14ac:dyDescent="0.25">
      <c r="B13" s="7">
        <v>250</v>
      </c>
      <c r="C13" s="8">
        <v>1.5225667500561915</v>
      </c>
      <c r="D13" s="7">
        <v>298.97650920149334</v>
      </c>
      <c r="E13" s="2"/>
      <c r="I13" s="6">
        <v>10</v>
      </c>
      <c r="J13" s="17">
        <f t="shared" si="0"/>
        <v>8.2387140694251286</v>
      </c>
    </row>
    <row r="14" spans="2:10" x14ac:dyDescent="0.25">
      <c r="B14" s="7">
        <v>64</v>
      </c>
      <c r="C14" s="8">
        <v>4.4795466455173285</v>
      </c>
      <c r="D14" s="7">
        <v>72.804163735246604</v>
      </c>
      <c r="I14" s="6">
        <v>11</v>
      </c>
      <c r="J14" s="17">
        <f t="shared" si="0"/>
        <v>5.9000274574731009</v>
      </c>
    </row>
    <row r="15" spans="2:10" x14ac:dyDescent="0.25">
      <c r="B15" s="7">
        <v>20</v>
      </c>
      <c r="C15" s="8">
        <v>7.3227629386573003</v>
      </c>
      <c r="D15" s="7">
        <v>22.249566021327311</v>
      </c>
      <c r="I15" s="6">
        <v>12</v>
      </c>
      <c r="J15" s="17">
        <f t="shared" si="0"/>
        <v>4.3339329760835783</v>
      </c>
    </row>
    <row r="16" spans="2:10" x14ac:dyDescent="0.25">
      <c r="B16" s="7">
        <v>1</v>
      </c>
      <c r="C16" s="8">
        <v>13.961397972085532</v>
      </c>
      <c r="D16" s="7">
        <v>2.5848477931646943</v>
      </c>
      <c r="I16" s="6">
        <v>13</v>
      </c>
      <c r="J16" s="17">
        <f t="shared" si="0"/>
        <v>3.2781164193970986</v>
      </c>
    </row>
    <row r="17" spans="2:10" x14ac:dyDescent="0.25">
      <c r="B17" s="7">
        <v>1</v>
      </c>
      <c r="C17" s="8">
        <v>34.866676723589912</v>
      </c>
      <c r="D17" s="7">
        <v>0.97996954745926801</v>
      </c>
      <c r="I17" s="6">
        <v>14</v>
      </c>
      <c r="J17" s="17">
        <f t="shared" si="0"/>
        <v>2.5620099229535396</v>
      </c>
    </row>
    <row r="18" spans="2:10" x14ac:dyDescent="0.25">
      <c r="B18" s="2"/>
      <c r="C18" s="3"/>
      <c r="D18" s="2"/>
      <c r="I18" s="6">
        <v>15</v>
      </c>
      <c r="J18" s="17">
        <f t="shared" si="0"/>
        <v>2.0736576217847897</v>
      </c>
    </row>
    <row r="19" spans="2:10" x14ac:dyDescent="0.25">
      <c r="B19" s="2"/>
      <c r="C19" s="3"/>
      <c r="D19" s="2"/>
      <c r="I19" s="6">
        <v>16</v>
      </c>
      <c r="J19" s="17">
        <f t="shared" si="0"/>
        <v>1.7389664231179955</v>
      </c>
    </row>
    <row r="20" spans="2:10" x14ac:dyDescent="0.25">
      <c r="C20" s="3"/>
      <c r="D20" s="2"/>
      <c r="I20" s="6">
        <v>17</v>
      </c>
      <c r="J20" s="17">
        <f t="shared" si="0"/>
        <v>1.5085402580491092</v>
      </c>
    </row>
    <row r="21" spans="2:10" x14ac:dyDescent="0.25">
      <c r="I21" s="6">
        <v>18</v>
      </c>
      <c r="J21" s="17">
        <f t="shared" si="0"/>
        <v>1.3492305577367567</v>
      </c>
    </row>
    <row r="22" spans="2:10" x14ac:dyDescent="0.25">
      <c r="I22" s="6">
        <v>19</v>
      </c>
      <c r="J22" s="17">
        <f t="shared" si="0"/>
        <v>1.2386592132202114</v>
      </c>
    </row>
    <row r="23" spans="2:10" x14ac:dyDescent="0.25">
      <c r="I23" s="6">
        <v>20</v>
      </c>
      <c r="J23" s="17">
        <f t="shared" si="0"/>
        <v>1.1616368762330644</v>
      </c>
    </row>
    <row r="24" spans="2:10" x14ac:dyDescent="0.25">
      <c r="I24" s="6">
        <v>21</v>
      </c>
      <c r="J24" s="17">
        <f t="shared" si="0"/>
        <v>1.1078021898114354</v>
      </c>
    </row>
    <row r="25" spans="2:10" x14ac:dyDescent="0.25">
      <c r="I25" s="6">
        <v>22</v>
      </c>
      <c r="J25" s="17">
        <f t="shared" si="0"/>
        <v>1.0700546774695971</v>
      </c>
    </row>
    <row r="26" spans="2:10" x14ac:dyDescent="0.25">
      <c r="I26" s="6">
        <v>23</v>
      </c>
      <c r="J26" s="17">
        <f t="shared" si="0"/>
        <v>1.043507755460652</v>
      </c>
    </row>
    <row r="27" spans="2:10" x14ac:dyDescent="0.25">
      <c r="I27" s="6">
        <v>24</v>
      </c>
      <c r="J27" s="17">
        <f t="shared" si="0"/>
        <v>1.0247851165410098</v>
      </c>
    </row>
    <row r="28" spans="2:10" x14ac:dyDescent="0.25">
      <c r="I28" s="6">
        <v>25</v>
      </c>
      <c r="J28" s="17">
        <f t="shared" si="0"/>
        <v>1.0115453144446569</v>
      </c>
    </row>
    <row r="29" spans="2:10" x14ac:dyDescent="0.25">
      <c r="I29" s="6">
        <v>26</v>
      </c>
      <c r="J29" s="17">
        <f t="shared" si="0"/>
        <v>1.0021589346199187</v>
      </c>
    </row>
    <row r="30" spans="2:10" x14ac:dyDescent="0.25">
      <c r="I30" s="6">
        <v>27</v>
      </c>
      <c r="J30" s="17">
        <f t="shared" si="0"/>
        <v>0.99548836437583221</v>
      </c>
    </row>
    <row r="31" spans="2:10" x14ac:dyDescent="0.25">
      <c r="E31" s="1"/>
      <c r="F31" s="1"/>
      <c r="I31" s="6">
        <v>28</v>
      </c>
      <c r="J31" s="17">
        <f t="shared" si="0"/>
        <v>0.99073690857607455</v>
      </c>
    </row>
    <row r="32" spans="2:10" x14ac:dyDescent="0.25">
      <c r="E32" s="1"/>
      <c r="F32" s="1"/>
      <c r="I32" s="6">
        <v>29</v>
      </c>
      <c r="J32" s="17">
        <f t="shared" si="0"/>
        <v>0.98734500015063953</v>
      </c>
    </row>
    <row r="33" spans="2:10" x14ac:dyDescent="0.25">
      <c r="E33" s="1"/>
      <c r="F33" s="1"/>
      <c r="I33" s="6">
        <v>30</v>
      </c>
      <c r="J33" s="17">
        <f t="shared" si="0"/>
        <v>0.9849185371803677</v>
      </c>
    </row>
    <row r="34" spans="2:10" x14ac:dyDescent="0.25">
      <c r="E34" s="1"/>
      <c r="F34" s="1"/>
      <c r="I34" s="6">
        <v>31</v>
      </c>
      <c r="J34" s="17">
        <f t="shared" si="0"/>
        <v>0.98317922717578776</v>
      </c>
    </row>
    <row r="35" spans="2:10" x14ac:dyDescent="0.25">
      <c r="B35" s="1"/>
      <c r="C35" s="1"/>
      <c r="D35" s="1"/>
      <c r="E35" s="1"/>
      <c r="F35" s="1"/>
      <c r="I35" s="6">
        <v>32</v>
      </c>
      <c r="J35" s="17">
        <f t="shared" si="0"/>
        <v>0.98193006557758133</v>
      </c>
    </row>
    <row r="36" spans="2:10" x14ac:dyDescent="0.25">
      <c r="B36" s="1"/>
      <c r="C36" s="1"/>
      <c r="D36" s="1"/>
      <c r="E36" s="1"/>
      <c r="F36" s="1"/>
      <c r="I36" s="6">
        <v>33</v>
      </c>
      <c r="J36" s="17">
        <f t="shared" si="0"/>
        <v>0.98103126022337417</v>
      </c>
    </row>
    <row r="37" spans="2:10" x14ac:dyDescent="0.25">
      <c r="B37" s="1"/>
      <c r="C37" s="1"/>
      <c r="D37" s="1"/>
      <c r="E37" s="1"/>
      <c r="F37" s="1"/>
      <c r="I37" s="6">
        <v>34</v>
      </c>
      <c r="J37" s="17">
        <f t="shared" si="0"/>
        <v>0.98038339081333259</v>
      </c>
    </row>
    <row r="38" spans="2:10" x14ac:dyDescent="0.25">
      <c r="B38" s="1"/>
      <c r="C38" s="1"/>
      <c r="D38" s="1"/>
      <c r="E38" s="1"/>
      <c r="F38" s="1"/>
      <c r="I38" s="6">
        <v>35</v>
      </c>
      <c r="J38" s="17">
        <f t="shared" si="0"/>
        <v>0.97991559581272114</v>
      </c>
    </row>
    <row r="39" spans="2:10" x14ac:dyDescent="0.25">
      <c r="B39" s="1"/>
      <c r="C39" s="1"/>
      <c r="D39" s="1"/>
      <c r="E39" s="1"/>
      <c r="F39" s="1"/>
      <c r="I39" s="6">
        <v>36</v>
      </c>
      <c r="J39" s="17">
        <f t="shared" si="0"/>
        <v>0.97957726362665398</v>
      </c>
    </row>
    <row r="40" spans="2:10" x14ac:dyDescent="0.25">
      <c r="B40" s="1"/>
      <c r="C40" s="1"/>
      <c r="D40" s="1"/>
      <c r="E40" s="1"/>
      <c r="F40" s="1"/>
      <c r="I40" s="6">
        <v>37</v>
      </c>
      <c r="J40" s="17">
        <f t="shared" si="0"/>
        <v>0.97933217353452062</v>
      </c>
    </row>
    <row r="41" spans="2:10" x14ac:dyDescent="0.25">
      <c r="B41" s="1"/>
      <c r="C41" s="1"/>
      <c r="D41" s="1"/>
      <c r="E41" s="1"/>
      <c r="F41" s="1"/>
      <c r="I41" s="6">
        <v>38</v>
      </c>
      <c r="J41" s="17">
        <f t="shared" si="0"/>
        <v>0.97915435398269901</v>
      </c>
    </row>
    <row r="42" spans="2:10" x14ac:dyDescent="0.25">
      <c r="B42" s="1"/>
      <c r="C42" s="1"/>
      <c r="D42" s="1"/>
      <c r="E42" s="1"/>
      <c r="F42" s="1"/>
      <c r="I42" s="6">
        <v>39</v>
      </c>
      <c r="J42" s="17">
        <f t="shared" si="0"/>
        <v>0.97902514800343021</v>
      </c>
    </row>
    <row r="43" spans="2:10" x14ac:dyDescent="0.25">
      <c r="B43" s="1"/>
      <c r="C43" s="1"/>
      <c r="D43" s="1"/>
      <c r="E43" s="1"/>
      <c r="F43" s="1"/>
      <c r="I43" s="6">
        <v>40</v>
      </c>
      <c r="J43" s="17">
        <f t="shared" si="0"/>
        <v>0.97893112927390513</v>
      </c>
    </row>
    <row r="44" spans="2:10" x14ac:dyDescent="0.25">
      <c r="B44" s="1"/>
      <c r="C44" s="1"/>
      <c r="D44" s="1"/>
      <c r="E44" s="1"/>
      <c r="F44" s="1"/>
      <c r="I44" s="6">
        <v>41</v>
      </c>
      <c r="J44" s="17">
        <f t="shared" si="0"/>
        <v>0.97886261906114058</v>
      </c>
    </row>
    <row r="45" spans="2:10" x14ac:dyDescent="0.25">
      <c r="B45" s="1"/>
      <c r="C45" s="1"/>
      <c r="D45" s="1"/>
      <c r="E45" s="1"/>
      <c r="F45" s="1"/>
      <c r="I45" s="6">
        <v>42</v>
      </c>
      <c r="J45" s="17">
        <f t="shared" si="0"/>
        <v>0.97881262861408458</v>
      </c>
    </row>
    <row r="46" spans="2:10" x14ac:dyDescent="0.25">
      <c r="B46" s="1"/>
      <c r="C46" s="1"/>
      <c r="D46" s="1"/>
      <c r="E46" s="1"/>
      <c r="F46" s="1"/>
      <c r="I46" s="6">
        <v>43</v>
      </c>
      <c r="J46" s="17">
        <f t="shared" si="0"/>
        <v>0.97877610345735866</v>
      </c>
    </row>
    <row r="47" spans="2:10" x14ac:dyDescent="0.25">
      <c r="B47" s="1"/>
      <c r="C47" s="1"/>
      <c r="D47" s="1"/>
      <c r="E47" s="1"/>
      <c r="F47" s="1"/>
      <c r="I47" s="6">
        <v>44</v>
      </c>
      <c r="J47" s="17">
        <f t="shared" si="0"/>
        <v>0.97874938237531972</v>
      </c>
    </row>
    <row r="48" spans="2:10" x14ac:dyDescent="0.25">
      <c r="B48" s="1"/>
      <c r="C48" s="1"/>
      <c r="D48" s="1"/>
      <c r="E48" s="1"/>
      <c r="F48" s="1"/>
      <c r="I48" s="6">
        <v>45</v>
      </c>
      <c r="J48" s="17">
        <f t="shared" si="0"/>
        <v>0.97872980938173459</v>
      </c>
    </row>
    <row r="49" spans="2:10" x14ac:dyDescent="0.25">
      <c r="B49" s="1"/>
      <c r="C49" s="1"/>
      <c r="D49" s="1"/>
      <c r="E49" s="1"/>
      <c r="F49" s="1"/>
      <c r="G49" s="1"/>
      <c r="H49" s="1"/>
      <c r="I49" s="6">
        <v>46</v>
      </c>
      <c r="J49" s="17">
        <f t="shared" si="0"/>
        <v>0.97871545492051781</v>
      </c>
    </row>
    <row r="50" spans="2:10" x14ac:dyDescent="0.25">
      <c r="B50" s="1"/>
      <c r="C50" s="1"/>
      <c r="D50" s="1"/>
      <c r="E50" s="1"/>
      <c r="F50" s="1"/>
      <c r="G50" s="1"/>
      <c r="H50" s="1"/>
      <c r="I50" s="6">
        <v>47</v>
      </c>
      <c r="J50" s="17">
        <f t="shared" si="0"/>
        <v>0.978704915205445</v>
      </c>
    </row>
    <row r="51" spans="2:10" x14ac:dyDescent="0.25">
      <c r="B51" s="1"/>
      <c r="C51" s="1"/>
      <c r="D51" s="1"/>
      <c r="E51" s="1"/>
      <c r="F51" s="1"/>
      <c r="G51" s="1"/>
      <c r="H51" s="1"/>
      <c r="I51" s="6">
        <v>48</v>
      </c>
      <c r="J51" s="17">
        <f t="shared" si="0"/>
        <v>0.97869716755957459</v>
      </c>
    </row>
    <row r="52" spans="2:10" x14ac:dyDescent="0.25">
      <c r="B52" s="1"/>
      <c r="C52" s="1"/>
      <c r="D52" s="1"/>
      <c r="E52" s="1"/>
      <c r="F52" s="1"/>
      <c r="G52" s="1"/>
      <c r="H52" s="1"/>
      <c r="I52" s="6">
        <v>49</v>
      </c>
      <c r="J52" s="17">
        <f t="shared" si="0"/>
        <v>0.97869146595897938</v>
      </c>
    </row>
    <row r="53" spans="2:10" x14ac:dyDescent="0.25">
      <c r="B53" s="1"/>
      <c r="C53" s="1"/>
      <c r="D53" s="1"/>
      <c r="E53" s="1"/>
      <c r="F53" s="1"/>
      <c r="G53" s="1"/>
      <c r="H53" s="1"/>
      <c r="I53" s="6">
        <v>50</v>
      </c>
      <c r="J53" s="17">
        <f t="shared" si="0"/>
        <v>0.97868726549009299</v>
      </c>
    </row>
    <row r="54" spans="2:10" x14ac:dyDescent="0.25">
      <c r="B54" s="1"/>
      <c r="C54" s="1"/>
      <c r="D54" s="1"/>
      <c r="E54" s="1"/>
      <c r="F54" s="1"/>
      <c r="G54" s="1"/>
      <c r="H54" s="1"/>
      <c r="I54" s="6">
        <v>51</v>
      </c>
      <c r="J54" s="17">
        <f t="shared" si="0"/>
        <v>0.97868416763519395</v>
      </c>
    </row>
    <row r="55" spans="2:10" x14ac:dyDescent="0.25">
      <c r="B55" s="1"/>
      <c r="C55" s="1"/>
      <c r="D55" s="1"/>
      <c r="E55" s="1"/>
      <c r="F55" s="1"/>
      <c r="G55" s="1"/>
      <c r="H55" s="1"/>
      <c r="I55" s="6">
        <v>52</v>
      </c>
      <c r="J55" s="17">
        <f t="shared" si="0"/>
        <v>0.97868188058563832</v>
      </c>
    </row>
    <row r="56" spans="2:10" x14ac:dyDescent="0.25">
      <c r="B56" s="1"/>
      <c r="C56" s="1"/>
      <c r="D56" s="1"/>
      <c r="E56" s="1"/>
      <c r="F56" s="1"/>
      <c r="G56" s="1"/>
      <c r="H56" s="1"/>
      <c r="I56" s="6">
        <v>53</v>
      </c>
      <c r="J56" s="17">
        <f t="shared" si="0"/>
        <v>0.97868019041461962</v>
      </c>
    </row>
    <row r="57" spans="2:10" x14ac:dyDescent="0.25">
      <c r="B57" s="1"/>
      <c r="C57" s="1"/>
      <c r="D57" s="1"/>
      <c r="E57" s="1"/>
      <c r="F57" s="1"/>
      <c r="G57" s="1"/>
      <c r="H57" s="1"/>
      <c r="I57" s="6">
        <v>54</v>
      </c>
      <c r="J57" s="17">
        <f t="shared" si="0"/>
        <v>0.97867894010917467</v>
      </c>
    </row>
    <row r="58" spans="2:10" x14ac:dyDescent="0.25">
      <c r="B58" s="1"/>
      <c r="C58" s="1"/>
      <c r="D58" s="1"/>
      <c r="G58" s="1"/>
      <c r="H58" s="1"/>
      <c r="I58" s="6">
        <v>55</v>
      </c>
      <c r="J58" s="17">
        <f t="shared" si="0"/>
        <v>0.97867801429837842</v>
      </c>
    </row>
    <row r="59" spans="2:10" x14ac:dyDescent="0.25">
      <c r="B59" s="1"/>
      <c r="C59" s="1"/>
      <c r="D59" s="1"/>
      <c r="G59" s="1"/>
      <c r="H59" s="1"/>
      <c r="I59" s="6">
        <v>56</v>
      </c>
      <c r="J59" s="17">
        <f t="shared" si="0"/>
        <v>0.97867732811584729</v>
      </c>
    </row>
    <row r="60" spans="2:10" x14ac:dyDescent="0.25">
      <c r="B60" s="1"/>
      <c r="C60" s="1"/>
      <c r="D60" s="1"/>
      <c r="G60" s="1"/>
      <c r="H60" s="1"/>
      <c r="I60" s="6">
        <v>57</v>
      </c>
      <c r="J60" s="17">
        <f t="shared" si="0"/>
        <v>0.97867681906706694</v>
      </c>
    </row>
    <row r="61" spans="2:10" x14ac:dyDescent="0.25">
      <c r="B61" s="1"/>
      <c r="C61" s="1"/>
      <c r="D61" s="1"/>
      <c r="G61" s="1"/>
      <c r="H61" s="1"/>
      <c r="I61" s="6">
        <v>58</v>
      </c>
      <c r="J61" s="17">
        <f t="shared" si="0"/>
        <v>0.97867644108355423</v>
      </c>
    </row>
    <row r="62" spans="2:10" x14ac:dyDescent="0.25">
      <c r="G62" s="1"/>
      <c r="H62" s="1"/>
      <c r="I62" s="6">
        <v>59</v>
      </c>
      <c r="J62" s="17">
        <f t="shared" si="0"/>
        <v>0.97867616017061509</v>
      </c>
    </row>
    <row r="63" spans="2:10" x14ac:dyDescent="0.25">
      <c r="G63" s="1"/>
      <c r="H63" s="1"/>
      <c r="I63" s="6">
        <v>60</v>
      </c>
      <c r="J63" s="17">
        <f t="shared" si="0"/>
        <v>0.97867595121786122</v>
      </c>
    </row>
    <row r="64" spans="2:10" x14ac:dyDescent="0.25">
      <c r="G64" s="1"/>
      <c r="H64" s="1"/>
      <c r="I64" s="1"/>
    </row>
    <row r="65" spans="7:9" x14ac:dyDescent="0.25">
      <c r="G65" s="1"/>
      <c r="H65" s="1"/>
      <c r="I65" s="1"/>
    </row>
    <row r="66" spans="7:9" x14ac:dyDescent="0.25">
      <c r="G66" s="1"/>
      <c r="H66" s="1"/>
      <c r="I66" s="1"/>
    </row>
    <row r="67" spans="7:9" x14ac:dyDescent="0.25">
      <c r="G67" s="1"/>
      <c r="H67" s="1"/>
      <c r="I67" s="1"/>
    </row>
    <row r="68" spans="7:9" x14ac:dyDescent="0.25">
      <c r="G68" s="1"/>
      <c r="H68" s="1"/>
      <c r="I68" s="1"/>
    </row>
    <row r="69" spans="7:9" x14ac:dyDescent="0.25">
      <c r="G69" s="1"/>
      <c r="H69" s="1"/>
      <c r="I69" s="1"/>
    </row>
    <row r="70" spans="7:9" x14ac:dyDescent="0.25">
      <c r="G70" s="1"/>
      <c r="H70" s="1"/>
      <c r="I70" s="1"/>
    </row>
    <row r="71" spans="7:9" x14ac:dyDescent="0.25">
      <c r="G71" s="1"/>
      <c r="H71" s="1"/>
      <c r="I71" s="1"/>
    </row>
    <row r="72" spans="7:9" x14ac:dyDescent="0.25">
      <c r="G72" s="1"/>
      <c r="H72" s="1"/>
      <c r="I72" s="1"/>
    </row>
    <row r="73" spans="7:9" x14ac:dyDescent="0.25">
      <c r="G73" s="1"/>
      <c r="H73" s="1"/>
      <c r="I73" s="1"/>
    </row>
    <row r="74" spans="7:9" x14ac:dyDescent="0.25">
      <c r="G74" s="1"/>
      <c r="H74" s="1"/>
      <c r="I74" s="1"/>
    </row>
    <row r="75" spans="7:9" x14ac:dyDescent="0.25">
      <c r="G75" s="1"/>
      <c r="H75" s="1"/>
      <c r="I75" s="1"/>
    </row>
  </sheetData>
  <pageMargins left="0.7" right="0.7" top="0.75" bottom="0.75" header="0.3" footer="0.3"/>
  <headerFooter>
    <oddFooter>&amp;C_x000D_&amp;1#&amp;"Default"&amp;10&amp;KD89B2B Confidential - Company Proprietary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J100"/>
  <sheetViews>
    <sheetView zoomScale="80" zoomScaleNormal="80" workbookViewId="0">
      <selection activeCell="I3" sqref="I3:J100"/>
    </sheetView>
  </sheetViews>
  <sheetFormatPr defaultRowHeight="15" x14ac:dyDescent="0.25"/>
  <cols>
    <col min="3" max="3" width="23.5703125" bestFit="1" customWidth="1"/>
    <col min="4" max="4" width="24.42578125" bestFit="1" customWidth="1"/>
  </cols>
  <sheetData>
    <row r="1" spans="2:10" ht="15.75" thickBot="1" x14ac:dyDescent="0.3"/>
    <row r="2" spans="2:10" x14ac:dyDescent="0.25">
      <c r="B2" s="9" t="s">
        <v>8</v>
      </c>
      <c r="C2" s="19">
        <v>1.151545137359353E-3</v>
      </c>
      <c r="D2" s="10" t="s">
        <v>0</v>
      </c>
      <c r="E2" s="11">
        <v>1.9049600123770818E-3</v>
      </c>
      <c r="F2" s="10" t="s">
        <v>1</v>
      </c>
      <c r="G2" s="12">
        <v>2.7182716069762085</v>
      </c>
      <c r="I2" s="6" t="s">
        <v>2</v>
      </c>
      <c r="J2" s="6" t="s">
        <v>3</v>
      </c>
    </row>
    <row r="3" spans="2:10" ht="15.75" thickBot="1" x14ac:dyDescent="0.3">
      <c r="B3" s="13" t="s">
        <v>9</v>
      </c>
      <c r="C3" s="20">
        <f>(B6+B12)/2</f>
        <v>1575</v>
      </c>
      <c r="D3" s="14" t="s">
        <v>7</v>
      </c>
      <c r="E3" s="15">
        <v>0</v>
      </c>
      <c r="F3" s="14"/>
      <c r="G3" s="16"/>
      <c r="I3" s="6">
        <v>0</v>
      </c>
      <c r="J3" s="17">
        <f>((1-C$2)*C$3*EXP(-$E$2*(I3^$G$2)))+(C$2*C$3*EXP(-$E$3*I3))</f>
        <v>1575</v>
      </c>
    </row>
    <row r="4" spans="2:10" x14ac:dyDescent="0.25">
      <c r="I4" s="6">
        <v>1</v>
      </c>
      <c r="J4" s="17">
        <f t="shared" ref="J4:J67" si="0">((1-C$2)*C$3*EXP(-$E$2*(I4^$G$2)))+(C$2*C$3*EXP(-$E$3*I4))</f>
        <v>1572.0059956099476</v>
      </c>
    </row>
    <row r="5" spans="2:10" x14ac:dyDescent="0.25">
      <c r="B5" s="4" t="s">
        <v>4</v>
      </c>
      <c r="C5" s="5" t="s">
        <v>5</v>
      </c>
      <c r="D5" s="5" t="s">
        <v>6</v>
      </c>
      <c r="I5" s="6">
        <v>2</v>
      </c>
      <c r="J5" s="17">
        <f t="shared" si="0"/>
        <v>1555.4012691469738</v>
      </c>
    </row>
    <row r="6" spans="2:10" x14ac:dyDescent="0.25">
      <c r="B6" s="7">
        <v>1650</v>
      </c>
      <c r="C6" s="8">
        <v>0</v>
      </c>
      <c r="D6" s="7">
        <v>1575</v>
      </c>
      <c r="I6" s="6">
        <v>3</v>
      </c>
      <c r="J6" s="17">
        <f t="shared" si="0"/>
        <v>1516.7305023398058</v>
      </c>
    </row>
    <row r="7" spans="2:10" x14ac:dyDescent="0.25">
      <c r="B7" s="7">
        <v>1400</v>
      </c>
      <c r="C7" s="8">
        <v>1.600395890574754</v>
      </c>
      <c r="D7" s="7">
        <v>1564.2767289129606</v>
      </c>
      <c r="I7" s="6">
        <v>4</v>
      </c>
      <c r="J7" s="17">
        <f t="shared" si="0"/>
        <v>1450.4231524166566</v>
      </c>
    </row>
    <row r="8" spans="2:10" x14ac:dyDescent="0.25">
      <c r="B8" s="7">
        <v>1750</v>
      </c>
      <c r="C8" s="8">
        <v>4.7574163386178574</v>
      </c>
      <c r="D8" s="7">
        <v>1380.2136698059023</v>
      </c>
      <c r="I8" s="6">
        <v>5</v>
      </c>
      <c r="J8" s="17">
        <f t="shared" si="0"/>
        <v>1354.0910171392438</v>
      </c>
    </row>
    <row r="9" spans="2:10" x14ac:dyDescent="0.25">
      <c r="B9" s="7">
        <v>1000</v>
      </c>
      <c r="C9" s="8">
        <v>7.8569611171972307</v>
      </c>
      <c r="D9" s="7">
        <v>939.98181634596142</v>
      </c>
      <c r="I9" s="6">
        <v>6</v>
      </c>
      <c r="J9" s="17">
        <f t="shared" si="0"/>
        <v>1229.0018736424004</v>
      </c>
    </row>
    <row r="10" spans="2:10" x14ac:dyDescent="0.25">
      <c r="B10" s="7">
        <v>94</v>
      </c>
      <c r="C10" s="8">
        <v>15.361187102656741</v>
      </c>
      <c r="D10" s="7">
        <v>66.053374737436911</v>
      </c>
      <c r="I10" s="6">
        <v>7</v>
      </c>
      <c r="J10" s="17">
        <f t="shared" si="0"/>
        <v>1080.1840615931653</v>
      </c>
    </row>
    <row r="11" spans="2:10" x14ac:dyDescent="0.25">
      <c r="B11" s="7">
        <v>1</v>
      </c>
      <c r="C11" s="8">
        <v>42.156983659660334</v>
      </c>
      <c r="D11" s="7">
        <v>1.813683591340981</v>
      </c>
      <c r="I11" s="6">
        <v>8</v>
      </c>
      <c r="J11" s="17">
        <f t="shared" si="0"/>
        <v>915.9191698345611</v>
      </c>
    </row>
    <row r="12" spans="2:10" x14ac:dyDescent="0.25">
      <c r="B12" s="7">
        <v>1500</v>
      </c>
      <c r="C12" s="8">
        <v>0</v>
      </c>
      <c r="D12" s="7">
        <v>1575</v>
      </c>
      <c r="I12" s="6">
        <v>9</v>
      </c>
      <c r="J12" s="17">
        <f t="shared" si="0"/>
        <v>746.58284296220438</v>
      </c>
    </row>
    <row r="13" spans="2:10" x14ac:dyDescent="0.25">
      <c r="B13" s="7">
        <v>2375</v>
      </c>
      <c r="C13" s="8">
        <v>3.4447513770601823</v>
      </c>
      <c r="D13" s="7">
        <v>1490.874466721255</v>
      </c>
      <c r="I13" s="6">
        <v>10</v>
      </c>
      <c r="J13" s="17">
        <f t="shared" si="0"/>
        <v>583.01194256704787</v>
      </c>
    </row>
    <row r="14" spans="2:10" x14ac:dyDescent="0.25">
      <c r="B14" s="7">
        <v>360</v>
      </c>
      <c r="C14" s="8">
        <v>10.283959567463654</v>
      </c>
      <c r="D14" s="7">
        <v>538.99891337571682</v>
      </c>
      <c r="I14" s="6">
        <v>11</v>
      </c>
      <c r="J14" s="17">
        <f t="shared" si="0"/>
        <v>434.7574527343271</v>
      </c>
    </row>
    <row r="15" spans="2:10" x14ac:dyDescent="0.25">
      <c r="B15" s="7">
        <v>20</v>
      </c>
      <c r="C15" s="8">
        <v>17.056652057702326</v>
      </c>
      <c r="D15" s="7">
        <v>24.227894033371701</v>
      </c>
      <c r="I15" s="6">
        <v>12</v>
      </c>
      <c r="J15" s="17">
        <f t="shared" si="0"/>
        <v>308.65345047456663</v>
      </c>
    </row>
    <row r="16" spans="2:10" x14ac:dyDescent="0.25">
      <c r="B16" s="7">
        <v>2</v>
      </c>
      <c r="C16" s="8">
        <v>33.701606960554152</v>
      </c>
      <c r="D16" s="7">
        <v>1.8136835941036251</v>
      </c>
      <c r="I16" s="6">
        <v>13</v>
      </c>
      <c r="J16" s="17">
        <f t="shared" si="0"/>
        <v>208.05205427280467</v>
      </c>
    </row>
    <row r="17" spans="2:10" x14ac:dyDescent="0.25">
      <c r="B17" s="7">
        <v>3</v>
      </c>
      <c r="C17" s="8">
        <v>96.359634861460577</v>
      </c>
      <c r="D17" s="7">
        <v>1.813683591340981</v>
      </c>
      <c r="I17" s="6">
        <v>14</v>
      </c>
      <c r="J17" s="17">
        <f t="shared" si="0"/>
        <v>132.86522942064187</v>
      </c>
    </row>
    <row r="18" spans="2:10" x14ac:dyDescent="0.25">
      <c r="B18" s="2"/>
      <c r="C18" s="3"/>
      <c r="D18" s="2"/>
      <c r="I18" s="6">
        <v>15</v>
      </c>
      <c r="J18" s="17">
        <f t="shared" si="0"/>
        <v>80.300397598291156</v>
      </c>
    </row>
    <row r="19" spans="2:10" x14ac:dyDescent="0.25">
      <c r="B19" s="2"/>
      <c r="C19" s="3"/>
      <c r="D19" s="2"/>
      <c r="E19" s="1"/>
      <c r="I19" s="6">
        <v>16</v>
      </c>
      <c r="J19" s="17">
        <f t="shared" si="0"/>
        <v>45.983394090792991</v>
      </c>
    </row>
    <row r="20" spans="2:10" x14ac:dyDescent="0.25">
      <c r="B20" s="2"/>
      <c r="E20" s="1"/>
      <c r="I20" s="6">
        <v>17</v>
      </c>
      <c r="J20" s="17">
        <f t="shared" si="0"/>
        <v>25.102360378264066</v>
      </c>
    </row>
    <row r="21" spans="2:10" x14ac:dyDescent="0.25">
      <c r="E21" s="1"/>
      <c r="I21" s="6">
        <v>18</v>
      </c>
      <c r="J21" s="17">
        <f t="shared" si="0"/>
        <v>13.284565209353564</v>
      </c>
    </row>
    <row r="22" spans="2:10" x14ac:dyDescent="0.25">
      <c r="E22" s="1"/>
      <c r="I22" s="6">
        <v>19</v>
      </c>
      <c r="J22" s="17">
        <f t="shared" si="0"/>
        <v>7.0767774371134449</v>
      </c>
    </row>
    <row r="23" spans="2:10" x14ac:dyDescent="0.25">
      <c r="E23" s="1"/>
      <c r="I23" s="6">
        <v>20</v>
      </c>
      <c r="J23" s="17">
        <f t="shared" si="0"/>
        <v>4.0568301097942392</v>
      </c>
    </row>
    <row r="24" spans="2:10" x14ac:dyDescent="0.25">
      <c r="E24" s="1"/>
      <c r="I24" s="6">
        <v>21</v>
      </c>
      <c r="J24" s="17">
        <f t="shared" si="0"/>
        <v>2.6992971145689104</v>
      </c>
    </row>
    <row r="25" spans="2:10" x14ac:dyDescent="0.25">
      <c r="E25" s="1"/>
      <c r="I25" s="6">
        <v>22</v>
      </c>
      <c r="J25" s="17">
        <f t="shared" si="0"/>
        <v>2.1366933156314518</v>
      </c>
    </row>
    <row r="26" spans="2:10" x14ac:dyDescent="0.25">
      <c r="E26" s="1"/>
      <c r="I26" s="6">
        <v>23</v>
      </c>
      <c r="J26" s="17">
        <f t="shared" si="0"/>
        <v>1.9222266897188558</v>
      </c>
    </row>
    <row r="27" spans="2:10" x14ac:dyDescent="0.25">
      <c r="E27" s="1"/>
      <c r="I27" s="6">
        <v>24</v>
      </c>
      <c r="J27" s="17">
        <f t="shared" si="0"/>
        <v>1.8471993832136548</v>
      </c>
    </row>
    <row r="28" spans="2:10" x14ac:dyDescent="0.25">
      <c r="E28" s="1"/>
      <c r="I28" s="6">
        <v>25</v>
      </c>
      <c r="J28" s="17">
        <f t="shared" si="0"/>
        <v>1.8231681443678827</v>
      </c>
    </row>
    <row r="29" spans="2:10" x14ac:dyDescent="0.25">
      <c r="E29" s="1"/>
      <c r="I29" s="6">
        <v>26</v>
      </c>
      <c r="J29" s="17">
        <f t="shared" si="0"/>
        <v>1.8161370409737023</v>
      </c>
    </row>
    <row r="30" spans="2:10" x14ac:dyDescent="0.25">
      <c r="E30" s="1"/>
      <c r="I30" s="6">
        <v>27</v>
      </c>
      <c r="J30" s="17">
        <f t="shared" si="0"/>
        <v>1.8142622410481888</v>
      </c>
    </row>
    <row r="31" spans="2:10" x14ac:dyDescent="0.25">
      <c r="E31" s="1"/>
      <c r="I31" s="6">
        <v>28</v>
      </c>
      <c r="J31" s="17">
        <f t="shared" si="0"/>
        <v>1.8138077080011732</v>
      </c>
    </row>
    <row r="32" spans="2:10" x14ac:dyDescent="0.25">
      <c r="E32" s="1"/>
      <c r="F32" s="1"/>
      <c r="I32" s="6">
        <v>29</v>
      </c>
      <c r="J32" s="17">
        <f t="shared" si="0"/>
        <v>1.8137077420044303</v>
      </c>
    </row>
    <row r="33" spans="2:10" x14ac:dyDescent="0.25">
      <c r="E33" s="1"/>
      <c r="F33" s="1"/>
      <c r="I33" s="6">
        <v>30</v>
      </c>
      <c r="J33" s="17">
        <f t="shared" si="0"/>
        <v>1.8136878437253372</v>
      </c>
    </row>
    <row r="34" spans="2:10" x14ac:dyDescent="0.25">
      <c r="E34" s="1"/>
      <c r="F34" s="1"/>
      <c r="I34" s="6">
        <v>31</v>
      </c>
      <c r="J34" s="17">
        <f t="shared" si="0"/>
        <v>1.8136842672226774</v>
      </c>
    </row>
    <row r="35" spans="2:10" x14ac:dyDescent="0.25">
      <c r="E35" s="1"/>
      <c r="F35" s="1"/>
      <c r="I35" s="6">
        <v>32</v>
      </c>
      <c r="J35" s="17">
        <f t="shared" si="0"/>
        <v>1.8136836880760301</v>
      </c>
    </row>
    <row r="36" spans="2:10" x14ac:dyDescent="0.25">
      <c r="B36" s="1"/>
      <c r="C36" s="1"/>
      <c r="D36" s="1"/>
      <c r="E36" s="1"/>
      <c r="F36" s="1"/>
      <c r="I36" s="6">
        <v>33</v>
      </c>
      <c r="J36" s="17">
        <f t="shared" si="0"/>
        <v>1.8136836037781601</v>
      </c>
    </row>
    <row r="37" spans="2:10" x14ac:dyDescent="0.25">
      <c r="B37" s="1"/>
      <c r="C37" s="1"/>
      <c r="D37" s="1"/>
      <c r="E37" s="1"/>
      <c r="F37" s="1"/>
      <c r="I37" s="6">
        <v>34</v>
      </c>
      <c r="J37" s="17">
        <f t="shared" si="0"/>
        <v>1.8136835927739732</v>
      </c>
    </row>
    <row r="38" spans="2:10" x14ac:dyDescent="0.25">
      <c r="B38" s="1"/>
      <c r="C38" s="1"/>
      <c r="D38" s="1"/>
      <c r="E38" s="1"/>
      <c r="F38" s="1"/>
      <c r="I38" s="6">
        <v>35</v>
      </c>
      <c r="J38" s="17">
        <f t="shared" si="0"/>
        <v>1.8136835914885916</v>
      </c>
    </row>
    <row r="39" spans="2:10" x14ac:dyDescent="0.25">
      <c r="B39" s="1"/>
      <c r="C39" s="1"/>
      <c r="D39" s="1"/>
      <c r="E39" s="1"/>
      <c r="F39" s="1"/>
      <c r="I39" s="6">
        <v>36</v>
      </c>
      <c r="J39" s="17">
        <f t="shared" si="0"/>
        <v>1.8136835913545428</v>
      </c>
    </row>
    <row r="40" spans="2:10" x14ac:dyDescent="0.25">
      <c r="B40" s="1"/>
      <c r="C40" s="1"/>
      <c r="D40" s="1"/>
      <c r="E40" s="1"/>
      <c r="F40" s="1"/>
      <c r="I40" s="6">
        <v>37</v>
      </c>
      <c r="J40" s="17">
        <f t="shared" si="0"/>
        <v>1.8136835913420897</v>
      </c>
    </row>
    <row r="41" spans="2:10" x14ac:dyDescent="0.25">
      <c r="B41" s="1"/>
      <c r="C41" s="1"/>
      <c r="D41" s="1"/>
      <c r="E41" s="1"/>
      <c r="F41" s="1"/>
      <c r="I41" s="6">
        <v>38</v>
      </c>
      <c r="J41" s="17">
        <f t="shared" si="0"/>
        <v>1.8136835913410614</v>
      </c>
    </row>
    <row r="42" spans="2:10" x14ac:dyDescent="0.25">
      <c r="B42" s="1"/>
      <c r="C42" s="1"/>
      <c r="D42" s="1"/>
      <c r="E42" s="1"/>
      <c r="F42" s="1"/>
      <c r="I42" s="6">
        <v>39</v>
      </c>
      <c r="J42" s="17">
        <f t="shared" si="0"/>
        <v>1.8136835913409861</v>
      </c>
    </row>
    <row r="43" spans="2:10" x14ac:dyDescent="0.25">
      <c r="B43" s="1"/>
      <c r="C43" s="1"/>
      <c r="D43" s="1"/>
      <c r="E43" s="1"/>
      <c r="F43" s="1"/>
      <c r="I43" s="6">
        <v>40</v>
      </c>
      <c r="J43" s="17">
        <f t="shared" si="0"/>
        <v>1.8136835913409812</v>
      </c>
    </row>
    <row r="44" spans="2:10" x14ac:dyDescent="0.25">
      <c r="B44" s="1"/>
      <c r="C44" s="1"/>
      <c r="D44" s="1"/>
      <c r="E44" s="1"/>
      <c r="F44" s="1"/>
      <c r="I44" s="6">
        <v>41</v>
      </c>
      <c r="J44" s="17">
        <f t="shared" si="0"/>
        <v>1.813683591340981</v>
      </c>
    </row>
    <row r="45" spans="2:10" x14ac:dyDescent="0.25">
      <c r="B45" s="1"/>
      <c r="C45" s="1"/>
      <c r="D45" s="1"/>
      <c r="E45" s="1"/>
      <c r="F45" s="1"/>
      <c r="I45" s="6">
        <v>42</v>
      </c>
      <c r="J45" s="17">
        <f t="shared" si="0"/>
        <v>1.813683591340981</v>
      </c>
    </row>
    <row r="46" spans="2:10" x14ac:dyDescent="0.25">
      <c r="B46" s="1"/>
      <c r="C46" s="1"/>
      <c r="D46" s="1"/>
      <c r="F46" s="1"/>
      <c r="I46" s="6">
        <v>43</v>
      </c>
      <c r="J46" s="17">
        <f t="shared" si="0"/>
        <v>1.813683591340981</v>
      </c>
    </row>
    <row r="47" spans="2:10" x14ac:dyDescent="0.25">
      <c r="B47" s="1"/>
      <c r="C47" s="1"/>
      <c r="D47" s="1"/>
      <c r="F47" s="1"/>
      <c r="I47" s="6">
        <v>44</v>
      </c>
      <c r="J47" s="17">
        <f t="shared" si="0"/>
        <v>1.813683591340981</v>
      </c>
    </row>
    <row r="48" spans="2:10" x14ac:dyDescent="0.25">
      <c r="B48" s="1"/>
      <c r="C48" s="1"/>
      <c r="D48" s="1"/>
      <c r="F48" s="1"/>
      <c r="I48" s="6">
        <v>45</v>
      </c>
      <c r="J48" s="17">
        <f t="shared" si="0"/>
        <v>1.813683591340981</v>
      </c>
    </row>
    <row r="49" spans="2:10" x14ac:dyDescent="0.25">
      <c r="B49" s="1"/>
      <c r="C49" s="1"/>
      <c r="D49" s="1"/>
      <c r="F49" s="1"/>
      <c r="G49" s="1"/>
      <c r="H49" s="1"/>
      <c r="I49" s="6">
        <v>46</v>
      </c>
      <c r="J49" s="17">
        <f t="shared" si="0"/>
        <v>1.813683591340981</v>
      </c>
    </row>
    <row r="50" spans="2:10" x14ac:dyDescent="0.25">
      <c r="B50" s="1"/>
      <c r="C50" s="1"/>
      <c r="D50" s="1"/>
      <c r="F50" s="1"/>
      <c r="G50" s="1"/>
      <c r="H50" s="1"/>
      <c r="I50" s="6">
        <v>47</v>
      </c>
      <c r="J50" s="17">
        <f t="shared" si="0"/>
        <v>1.813683591340981</v>
      </c>
    </row>
    <row r="51" spans="2:10" x14ac:dyDescent="0.25">
      <c r="B51" s="1"/>
      <c r="C51" s="1"/>
      <c r="D51" s="1"/>
      <c r="F51" s="1"/>
      <c r="G51" s="1"/>
      <c r="H51" s="1"/>
      <c r="I51" s="6">
        <v>48</v>
      </c>
      <c r="J51" s="17">
        <f t="shared" si="0"/>
        <v>1.813683591340981</v>
      </c>
    </row>
    <row r="52" spans="2:10" x14ac:dyDescent="0.25">
      <c r="B52" s="1"/>
      <c r="C52" s="1"/>
      <c r="D52" s="1"/>
      <c r="F52" s="1"/>
      <c r="G52" s="1"/>
      <c r="H52" s="1"/>
      <c r="I52" s="6">
        <v>49</v>
      </c>
      <c r="J52" s="17">
        <f t="shared" si="0"/>
        <v>1.813683591340981</v>
      </c>
    </row>
    <row r="53" spans="2:10" x14ac:dyDescent="0.25">
      <c r="B53" s="1"/>
      <c r="C53" s="1"/>
      <c r="D53" s="1"/>
      <c r="F53" s="1"/>
      <c r="G53" s="1"/>
      <c r="H53" s="1"/>
      <c r="I53" s="6">
        <v>50</v>
      </c>
      <c r="J53" s="17">
        <f t="shared" si="0"/>
        <v>1.813683591340981</v>
      </c>
    </row>
    <row r="54" spans="2:10" x14ac:dyDescent="0.25">
      <c r="B54" s="1"/>
      <c r="C54" s="1"/>
      <c r="D54" s="1"/>
      <c r="F54" s="1"/>
      <c r="G54" s="1"/>
      <c r="H54" s="1"/>
      <c r="I54" s="6">
        <v>51</v>
      </c>
      <c r="J54" s="17">
        <f t="shared" si="0"/>
        <v>1.813683591340981</v>
      </c>
    </row>
    <row r="55" spans="2:10" x14ac:dyDescent="0.25">
      <c r="B55" s="1"/>
      <c r="C55" s="1"/>
      <c r="D55" s="1"/>
      <c r="F55" s="1"/>
      <c r="G55" s="1"/>
      <c r="H55" s="1"/>
      <c r="I55" s="6">
        <v>52</v>
      </c>
      <c r="J55" s="17">
        <f t="shared" si="0"/>
        <v>1.813683591340981</v>
      </c>
    </row>
    <row r="56" spans="2:10" x14ac:dyDescent="0.25">
      <c r="B56" s="1"/>
      <c r="C56" s="1"/>
      <c r="D56" s="1"/>
      <c r="F56" s="1"/>
      <c r="G56" s="1"/>
      <c r="H56" s="1"/>
      <c r="I56" s="6">
        <v>53</v>
      </c>
      <c r="J56" s="17">
        <f t="shared" si="0"/>
        <v>1.813683591340981</v>
      </c>
    </row>
    <row r="57" spans="2:10" x14ac:dyDescent="0.25">
      <c r="B57" s="1"/>
      <c r="C57" s="1"/>
      <c r="D57" s="1"/>
      <c r="F57" s="1"/>
      <c r="G57" s="1"/>
      <c r="H57" s="1"/>
      <c r="I57" s="6">
        <v>54</v>
      </c>
      <c r="J57" s="17">
        <f t="shared" si="0"/>
        <v>1.813683591340981</v>
      </c>
    </row>
    <row r="58" spans="2:10" x14ac:dyDescent="0.25">
      <c r="B58" s="1"/>
      <c r="C58" s="1"/>
      <c r="D58" s="1"/>
      <c r="F58" s="1"/>
      <c r="G58" s="1"/>
      <c r="H58" s="1"/>
      <c r="I58" s="6">
        <v>55</v>
      </c>
      <c r="J58" s="17">
        <f t="shared" si="0"/>
        <v>1.813683591340981</v>
      </c>
    </row>
    <row r="59" spans="2:10" x14ac:dyDescent="0.25">
      <c r="B59" s="1"/>
      <c r="C59" s="1"/>
      <c r="D59" s="1"/>
      <c r="G59" s="1"/>
      <c r="H59" s="1"/>
      <c r="I59" s="6">
        <v>56</v>
      </c>
      <c r="J59" s="17">
        <f t="shared" si="0"/>
        <v>1.813683591340981</v>
      </c>
    </row>
    <row r="60" spans="2:10" x14ac:dyDescent="0.25">
      <c r="B60" s="1"/>
      <c r="C60" s="1"/>
      <c r="D60" s="1"/>
      <c r="G60" s="1"/>
      <c r="H60" s="1"/>
      <c r="I60" s="6">
        <v>57</v>
      </c>
      <c r="J60" s="17">
        <f t="shared" si="0"/>
        <v>1.813683591340981</v>
      </c>
    </row>
    <row r="61" spans="2:10" x14ac:dyDescent="0.25">
      <c r="B61" s="1"/>
      <c r="C61" s="1"/>
      <c r="D61" s="1"/>
      <c r="G61" s="1"/>
      <c r="H61" s="1"/>
      <c r="I61" s="6">
        <v>58</v>
      </c>
      <c r="J61" s="17">
        <f t="shared" si="0"/>
        <v>1.813683591340981</v>
      </c>
    </row>
    <row r="62" spans="2:10" x14ac:dyDescent="0.25">
      <c r="B62" s="1"/>
      <c r="C62" s="1"/>
      <c r="D62" s="1"/>
      <c r="G62" s="1"/>
      <c r="H62" s="1"/>
      <c r="I62" s="6">
        <v>59</v>
      </c>
      <c r="J62" s="17">
        <f t="shared" si="0"/>
        <v>1.813683591340981</v>
      </c>
    </row>
    <row r="63" spans="2:10" x14ac:dyDescent="0.25">
      <c r="G63" s="1"/>
      <c r="H63" s="1"/>
      <c r="I63" s="6">
        <v>60</v>
      </c>
      <c r="J63" s="17">
        <f t="shared" si="0"/>
        <v>1.813683591340981</v>
      </c>
    </row>
    <row r="64" spans="2:10" x14ac:dyDescent="0.25">
      <c r="G64" s="1"/>
      <c r="H64" s="1"/>
      <c r="I64" s="6">
        <v>61</v>
      </c>
      <c r="J64" s="17">
        <f t="shared" si="0"/>
        <v>1.813683591340981</v>
      </c>
    </row>
    <row r="65" spans="7:10" x14ac:dyDescent="0.25">
      <c r="G65" s="1"/>
      <c r="H65" s="1"/>
      <c r="I65" s="6">
        <v>62</v>
      </c>
      <c r="J65" s="17">
        <f t="shared" si="0"/>
        <v>1.813683591340981</v>
      </c>
    </row>
    <row r="66" spans="7:10" x14ac:dyDescent="0.25">
      <c r="G66" s="1"/>
      <c r="H66" s="1"/>
      <c r="I66" s="6">
        <v>63</v>
      </c>
      <c r="J66" s="17">
        <f t="shared" si="0"/>
        <v>1.813683591340981</v>
      </c>
    </row>
    <row r="67" spans="7:10" x14ac:dyDescent="0.25">
      <c r="G67" s="1"/>
      <c r="H67" s="1"/>
      <c r="I67" s="6">
        <v>64</v>
      </c>
      <c r="J67" s="17">
        <f t="shared" si="0"/>
        <v>1.813683591340981</v>
      </c>
    </row>
    <row r="68" spans="7:10" x14ac:dyDescent="0.25">
      <c r="G68" s="1"/>
      <c r="H68" s="1"/>
      <c r="I68" s="6">
        <v>65</v>
      </c>
      <c r="J68" s="17">
        <f t="shared" ref="J68:J100" si="1">((1-C$2)*C$3*EXP(-$E$2*(I68^$G$2)))+(C$2*C$3*EXP(-$E$3*I68))</f>
        <v>1.813683591340981</v>
      </c>
    </row>
    <row r="69" spans="7:10" x14ac:dyDescent="0.25">
      <c r="G69" s="1"/>
      <c r="H69" s="1"/>
      <c r="I69" s="6">
        <v>66</v>
      </c>
      <c r="J69" s="17">
        <f t="shared" si="1"/>
        <v>1.813683591340981</v>
      </c>
    </row>
    <row r="70" spans="7:10" x14ac:dyDescent="0.25">
      <c r="G70" s="1"/>
      <c r="H70" s="1"/>
      <c r="I70" s="6">
        <v>67</v>
      </c>
      <c r="J70" s="17">
        <f t="shared" si="1"/>
        <v>1.813683591340981</v>
      </c>
    </row>
    <row r="71" spans="7:10" x14ac:dyDescent="0.25">
      <c r="G71" s="1"/>
      <c r="H71" s="1"/>
      <c r="I71" s="6">
        <v>68</v>
      </c>
      <c r="J71" s="17">
        <f t="shared" si="1"/>
        <v>1.813683591340981</v>
      </c>
    </row>
    <row r="72" spans="7:10" x14ac:dyDescent="0.25">
      <c r="G72" s="1"/>
      <c r="H72" s="1"/>
      <c r="I72" s="6">
        <v>69</v>
      </c>
      <c r="J72" s="17">
        <f t="shared" si="1"/>
        <v>1.813683591340981</v>
      </c>
    </row>
    <row r="73" spans="7:10" x14ac:dyDescent="0.25">
      <c r="G73" s="1"/>
      <c r="H73" s="1"/>
      <c r="I73" s="6">
        <v>70</v>
      </c>
      <c r="J73" s="17">
        <f t="shared" si="1"/>
        <v>1.813683591340981</v>
      </c>
    </row>
    <row r="74" spans="7:10" x14ac:dyDescent="0.25">
      <c r="G74" s="1"/>
      <c r="H74" s="1"/>
      <c r="I74" s="6">
        <v>71</v>
      </c>
      <c r="J74" s="17">
        <f t="shared" si="1"/>
        <v>1.813683591340981</v>
      </c>
    </row>
    <row r="75" spans="7:10" x14ac:dyDescent="0.25">
      <c r="G75" s="1"/>
      <c r="H75" s="1"/>
      <c r="I75" s="1">
        <f>I74+1</f>
        <v>72</v>
      </c>
      <c r="J75" s="17">
        <f t="shared" si="1"/>
        <v>1.813683591340981</v>
      </c>
    </row>
    <row r="76" spans="7:10" x14ac:dyDescent="0.25">
      <c r="I76" s="1">
        <f t="shared" ref="I76:I96" si="2">I75+1</f>
        <v>73</v>
      </c>
      <c r="J76" s="17">
        <f t="shared" si="1"/>
        <v>1.813683591340981</v>
      </c>
    </row>
    <row r="77" spans="7:10" x14ac:dyDescent="0.25">
      <c r="I77" s="1">
        <f t="shared" si="2"/>
        <v>74</v>
      </c>
      <c r="J77" s="17">
        <f t="shared" si="1"/>
        <v>1.813683591340981</v>
      </c>
    </row>
    <row r="78" spans="7:10" x14ac:dyDescent="0.25">
      <c r="I78" s="1">
        <f t="shared" si="2"/>
        <v>75</v>
      </c>
      <c r="J78" s="17">
        <f t="shared" si="1"/>
        <v>1.813683591340981</v>
      </c>
    </row>
    <row r="79" spans="7:10" x14ac:dyDescent="0.25">
      <c r="I79" s="1">
        <f t="shared" si="2"/>
        <v>76</v>
      </c>
      <c r="J79" s="17">
        <f t="shared" si="1"/>
        <v>1.813683591340981</v>
      </c>
    </row>
    <row r="80" spans="7:10" x14ac:dyDescent="0.25">
      <c r="I80" s="1">
        <f t="shared" si="2"/>
        <v>77</v>
      </c>
      <c r="J80" s="17">
        <f t="shared" si="1"/>
        <v>1.813683591340981</v>
      </c>
    </row>
    <row r="81" spans="9:10" x14ac:dyDescent="0.25">
      <c r="I81" s="1">
        <f t="shared" si="2"/>
        <v>78</v>
      </c>
      <c r="J81" s="17">
        <f t="shared" si="1"/>
        <v>1.813683591340981</v>
      </c>
    </row>
    <row r="82" spans="9:10" x14ac:dyDescent="0.25">
      <c r="I82" s="1">
        <f t="shared" si="2"/>
        <v>79</v>
      </c>
      <c r="J82" s="17">
        <f t="shared" si="1"/>
        <v>1.813683591340981</v>
      </c>
    </row>
    <row r="83" spans="9:10" x14ac:dyDescent="0.25">
      <c r="I83" s="1">
        <f t="shared" si="2"/>
        <v>80</v>
      </c>
      <c r="J83" s="17">
        <f t="shared" si="1"/>
        <v>1.813683591340981</v>
      </c>
    </row>
    <row r="84" spans="9:10" x14ac:dyDescent="0.25">
      <c r="I84" s="1">
        <f t="shared" si="2"/>
        <v>81</v>
      </c>
      <c r="J84" s="17">
        <f t="shared" si="1"/>
        <v>1.813683591340981</v>
      </c>
    </row>
    <row r="85" spans="9:10" x14ac:dyDescent="0.25">
      <c r="I85" s="1">
        <f t="shared" si="2"/>
        <v>82</v>
      </c>
      <c r="J85" s="17">
        <f t="shared" si="1"/>
        <v>1.813683591340981</v>
      </c>
    </row>
    <row r="86" spans="9:10" x14ac:dyDescent="0.25">
      <c r="I86" s="1">
        <f t="shared" si="2"/>
        <v>83</v>
      </c>
      <c r="J86" s="17">
        <f t="shared" si="1"/>
        <v>1.813683591340981</v>
      </c>
    </row>
    <row r="87" spans="9:10" x14ac:dyDescent="0.25">
      <c r="I87" s="1">
        <f t="shared" si="2"/>
        <v>84</v>
      </c>
      <c r="J87" s="17">
        <f t="shared" si="1"/>
        <v>1.813683591340981</v>
      </c>
    </row>
    <row r="88" spans="9:10" x14ac:dyDescent="0.25">
      <c r="I88" s="1">
        <f t="shared" si="2"/>
        <v>85</v>
      </c>
      <c r="J88" s="17">
        <f t="shared" si="1"/>
        <v>1.813683591340981</v>
      </c>
    </row>
    <row r="89" spans="9:10" x14ac:dyDescent="0.25">
      <c r="I89" s="1">
        <f>I88+1</f>
        <v>86</v>
      </c>
      <c r="J89" s="17">
        <f t="shared" si="1"/>
        <v>1.813683591340981</v>
      </c>
    </row>
    <row r="90" spans="9:10" x14ac:dyDescent="0.25">
      <c r="I90" s="1">
        <f t="shared" si="2"/>
        <v>87</v>
      </c>
      <c r="J90" s="17">
        <f t="shared" si="1"/>
        <v>1.813683591340981</v>
      </c>
    </row>
    <row r="91" spans="9:10" x14ac:dyDescent="0.25">
      <c r="I91" s="1">
        <f t="shared" si="2"/>
        <v>88</v>
      </c>
      <c r="J91" s="17">
        <f t="shared" si="1"/>
        <v>1.813683591340981</v>
      </c>
    </row>
    <row r="92" spans="9:10" x14ac:dyDescent="0.25">
      <c r="I92" s="1">
        <f t="shared" si="2"/>
        <v>89</v>
      </c>
      <c r="J92" s="17">
        <f t="shared" si="1"/>
        <v>1.813683591340981</v>
      </c>
    </row>
    <row r="93" spans="9:10" x14ac:dyDescent="0.25">
      <c r="I93" s="1">
        <f t="shared" si="2"/>
        <v>90</v>
      </c>
      <c r="J93" s="17">
        <f t="shared" si="1"/>
        <v>1.813683591340981</v>
      </c>
    </row>
    <row r="94" spans="9:10" x14ac:dyDescent="0.25">
      <c r="I94" s="1">
        <f t="shared" si="2"/>
        <v>91</v>
      </c>
      <c r="J94" s="17">
        <f t="shared" si="1"/>
        <v>1.813683591340981</v>
      </c>
    </row>
    <row r="95" spans="9:10" x14ac:dyDescent="0.25">
      <c r="I95" s="1">
        <f t="shared" si="2"/>
        <v>92</v>
      </c>
      <c r="J95" s="17">
        <f t="shared" si="1"/>
        <v>1.813683591340981</v>
      </c>
    </row>
    <row r="96" spans="9:10" x14ac:dyDescent="0.25">
      <c r="I96" s="1">
        <f t="shared" si="2"/>
        <v>93</v>
      </c>
      <c r="J96" s="17">
        <f t="shared" si="1"/>
        <v>1.813683591340981</v>
      </c>
    </row>
    <row r="97" spans="9:10" x14ac:dyDescent="0.25">
      <c r="I97" s="1">
        <f>I96+1</f>
        <v>94</v>
      </c>
      <c r="J97" s="21">
        <f t="shared" si="1"/>
        <v>1.813683591340981</v>
      </c>
    </row>
    <row r="98" spans="9:10" x14ac:dyDescent="0.25">
      <c r="I98" s="1">
        <f t="shared" ref="I98:I100" si="3">I97+1</f>
        <v>95</v>
      </c>
      <c r="J98" s="21">
        <f t="shared" si="1"/>
        <v>1.813683591340981</v>
      </c>
    </row>
    <row r="99" spans="9:10" x14ac:dyDescent="0.25">
      <c r="I99" s="1">
        <f t="shared" si="3"/>
        <v>96</v>
      </c>
      <c r="J99" s="21">
        <f t="shared" si="1"/>
        <v>1.813683591340981</v>
      </c>
    </row>
    <row r="100" spans="9:10" x14ac:dyDescent="0.25">
      <c r="I100" s="1">
        <f t="shared" si="3"/>
        <v>97</v>
      </c>
      <c r="J100" s="21">
        <f t="shared" si="1"/>
        <v>1.813683591340981</v>
      </c>
    </row>
  </sheetData>
  <pageMargins left="0.7" right="0.7" top="0.75" bottom="0.75" header="0.3" footer="0.3"/>
  <headerFooter>
    <oddFooter>&amp;C_x000D_&amp;1#&amp;"Default"&amp;10&amp;KD89B2B Confidential - Company Proprietary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00"/>
  <sheetViews>
    <sheetView zoomScale="80" zoomScaleNormal="80" workbookViewId="0">
      <selection activeCell="I3" sqref="I3:J100"/>
    </sheetView>
  </sheetViews>
  <sheetFormatPr defaultRowHeight="15" x14ac:dyDescent="0.25"/>
  <cols>
    <col min="3" max="3" width="23.5703125" bestFit="1" customWidth="1"/>
    <col min="4" max="4" width="24.42578125" bestFit="1" customWidth="1"/>
  </cols>
  <sheetData>
    <row r="1" spans="2:10" ht="15.75" thickBot="1" x14ac:dyDescent="0.3"/>
    <row r="2" spans="2:10" x14ac:dyDescent="0.25">
      <c r="B2" s="9" t="s">
        <v>8</v>
      </c>
      <c r="C2" s="19">
        <v>4.4634956606416816E-2</v>
      </c>
      <c r="D2" s="10" t="s">
        <v>0</v>
      </c>
      <c r="E2" s="11">
        <v>1.2981313128121386E-6</v>
      </c>
      <c r="F2" s="10" t="s">
        <v>1</v>
      </c>
      <c r="G2" s="12">
        <v>5.065070510028157</v>
      </c>
      <c r="I2" s="6" t="s">
        <v>2</v>
      </c>
      <c r="J2" s="6" t="s">
        <v>3</v>
      </c>
    </row>
    <row r="3" spans="2:10" ht="15.75" thickBot="1" x14ac:dyDescent="0.3">
      <c r="B3" s="13" t="s">
        <v>9</v>
      </c>
      <c r="C3" s="20">
        <f>(B6+B12)/2</f>
        <v>5350</v>
      </c>
      <c r="D3" s="14" t="s">
        <v>7</v>
      </c>
      <c r="E3" s="15">
        <v>3.5997805751905143E-2</v>
      </c>
      <c r="F3" s="14"/>
      <c r="G3" s="16"/>
      <c r="I3" s="6">
        <v>0</v>
      </c>
      <c r="J3" s="17">
        <f>((1-C$2)*C$3*EXP(-$E$2*(I3^$G$2)))+(C$2*C$3*EXP(-$E$3*I3))</f>
        <v>5350</v>
      </c>
    </row>
    <row r="4" spans="2:10" x14ac:dyDescent="0.25">
      <c r="I4" s="6">
        <v>1</v>
      </c>
      <c r="J4" s="17">
        <f t="shared" ref="J4:J67" si="0">((1-C$2)*C$3*EXP(-$E$2*(I4^$G$2)))+(C$2*C$3*EXP(-$E$3*I4))</f>
        <v>5341.5500779762688</v>
      </c>
    </row>
    <row r="5" spans="2:10" x14ac:dyDescent="0.25">
      <c r="B5" s="4" t="s">
        <v>4</v>
      </c>
      <c r="C5" s="5" t="s">
        <v>5</v>
      </c>
      <c r="D5" s="5" t="s">
        <v>6</v>
      </c>
      <c r="E5" s="2"/>
      <c r="I5" s="6">
        <v>2</v>
      </c>
      <c r="J5" s="17">
        <f t="shared" si="0"/>
        <v>5333.1898490418162</v>
      </c>
    </row>
    <row r="6" spans="2:10" x14ac:dyDescent="0.25">
      <c r="B6" s="7">
        <v>6500</v>
      </c>
      <c r="C6" s="8">
        <v>0</v>
      </c>
      <c r="D6" s="7">
        <v>5350</v>
      </c>
      <c r="E6" s="2"/>
      <c r="I6" s="6">
        <v>3</v>
      </c>
      <c r="J6" s="17">
        <f t="shared" si="0"/>
        <v>5323.8236923860086</v>
      </c>
    </row>
    <row r="7" spans="2:10" x14ac:dyDescent="0.25">
      <c r="B7" s="7">
        <v>4300</v>
      </c>
      <c r="C7" s="8">
        <v>1.600395890574754</v>
      </c>
      <c r="D7" s="7">
        <v>5336.5596853899779</v>
      </c>
      <c r="E7" s="2"/>
      <c r="I7" s="6">
        <v>4</v>
      </c>
      <c r="J7" s="17">
        <f t="shared" si="0"/>
        <v>5310.5459799962118</v>
      </c>
    </row>
    <row r="8" spans="2:10" x14ac:dyDescent="0.25">
      <c r="B8" s="7">
        <v>5200</v>
      </c>
      <c r="C8" s="8">
        <v>4.7574163386178574</v>
      </c>
      <c r="D8" s="7">
        <v>5294.5491681049307</v>
      </c>
      <c r="E8" s="2"/>
      <c r="I8" s="6">
        <v>5</v>
      </c>
      <c r="J8" s="17">
        <f t="shared" si="0"/>
        <v>5287.6933372151188</v>
      </c>
    </row>
    <row r="9" spans="2:10" x14ac:dyDescent="0.25">
      <c r="B9" s="7">
        <v>3250</v>
      </c>
      <c r="C9" s="8">
        <v>7.8569611171972307</v>
      </c>
      <c r="D9" s="7">
        <v>5068.9663809725562</v>
      </c>
      <c r="E9" s="2"/>
      <c r="I9" s="6">
        <v>6</v>
      </c>
      <c r="J9" s="17">
        <f t="shared" si="0"/>
        <v>5245.9663231260529</v>
      </c>
    </row>
    <row r="10" spans="2:10" x14ac:dyDescent="0.25">
      <c r="B10" s="7">
        <v>2700</v>
      </c>
      <c r="C10" s="8">
        <v>15.361187102656741</v>
      </c>
      <c r="D10" s="7">
        <v>1494.1649697761882</v>
      </c>
      <c r="E10" s="2"/>
      <c r="I10" s="6">
        <v>7</v>
      </c>
      <c r="J10" s="17">
        <f t="shared" si="0"/>
        <v>5171.7960808662383</v>
      </c>
    </row>
    <row r="11" spans="2:10" x14ac:dyDescent="0.25">
      <c r="B11" s="7">
        <v>65</v>
      </c>
      <c r="C11" s="8">
        <v>42.156983659660334</v>
      </c>
      <c r="D11" s="7">
        <v>52.355394797207794</v>
      </c>
      <c r="E11" s="2"/>
      <c r="I11" s="6">
        <v>8</v>
      </c>
      <c r="J11" s="17">
        <f t="shared" si="0"/>
        <v>5047.2930090017317</v>
      </c>
    </row>
    <row r="12" spans="2:10" x14ac:dyDescent="0.25">
      <c r="B12" s="7">
        <v>4200</v>
      </c>
      <c r="C12" s="8">
        <v>0</v>
      </c>
      <c r="D12" s="7">
        <v>5350</v>
      </c>
      <c r="E12" s="2"/>
      <c r="I12" s="6">
        <v>9</v>
      </c>
      <c r="J12" s="17">
        <f t="shared" si="0"/>
        <v>4851.3174625363663</v>
      </c>
    </row>
    <row r="13" spans="2:10" x14ac:dyDescent="0.25">
      <c r="B13" s="7">
        <v>5650</v>
      </c>
      <c r="C13" s="8">
        <v>3.4447513770601823</v>
      </c>
      <c r="D13" s="7">
        <v>5318.6638444259752</v>
      </c>
      <c r="E13" s="2"/>
      <c r="I13" s="6">
        <v>10</v>
      </c>
      <c r="J13" s="17">
        <f t="shared" si="0"/>
        <v>4562.3604921522819</v>
      </c>
    </row>
    <row r="14" spans="2:10" x14ac:dyDescent="0.25">
      <c r="B14" s="7">
        <v>4700</v>
      </c>
      <c r="C14" s="8">
        <v>10.283959567463654</v>
      </c>
      <c r="D14" s="7">
        <v>4460.8155213043583</v>
      </c>
      <c r="E14" s="2"/>
      <c r="I14" s="6">
        <v>11</v>
      </c>
      <c r="J14" s="17">
        <f t="shared" si="0"/>
        <v>4163.8030327644692</v>
      </c>
    </row>
    <row r="15" spans="2:10" x14ac:dyDescent="0.25">
      <c r="B15" s="7">
        <v>418</v>
      </c>
      <c r="C15" s="8">
        <v>17.056652057702326</v>
      </c>
      <c r="D15" s="7">
        <v>665.81636387396134</v>
      </c>
      <c r="E15" s="2"/>
      <c r="I15" s="6">
        <v>12</v>
      </c>
      <c r="J15" s="17">
        <f t="shared" si="0"/>
        <v>3651.414778072648</v>
      </c>
    </row>
    <row r="16" spans="2:10" x14ac:dyDescent="0.25">
      <c r="B16" s="7">
        <v>63</v>
      </c>
      <c r="C16" s="8">
        <v>33.701606960554152</v>
      </c>
      <c r="D16" s="7">
        <v>70.982260411124301</v>
      </c>
      <c r="I16" s="6">
        <v>13</v>
      </c>
      <c r="J16" s="17">
        <f t="shared" si="0"/>
        <v>3041.4120906749722</v>
      </c>
    </row>
    <row r="17" spans="2:10" x14ac:dyDescent="0.25">
      <c r="B17" s="7">
        <v>8</v>
      </c>
      <c r="C17" s="8">
        <v>96.359634861460577</v>
      </c>
      <c r="D17" s="7">
        <v>7.4400567409227811</v>
      </c>
      <c r="I17" s="6">
        <v>14</v>
      </c>
      <c r="J17" s="17">
        <f t="shared" si="0"/>
        <v>2375.3008658074309</v>
      </c>
    </row>
    <row r="18" spans="2:10" x14ac:dyDescent="0.25">
      <c r="B18" s="2"/>
      <c r="C18" s="3"/>
      <c r="D18" s="2"/>
      <c r="I18" s="6">
        <v>15</v>
      </c>
      <c r="J18" s="17">
        <f t="shared" si="0"/>
        <v>1716.4640911552917</v>
      </c>
    </row>
    <row r="19" spans="2:10" x14ac:dyDescent="0.25">
      <c r="B19" s="2"/>
      <c r="C19" s="3"/>
      <c r="D19" s="2"/>
      <c r="I19" s="6">
        <v>16</v>
      </c>
      <c r="J19" s="17">
        <f t="shared" si="0"/>
        <v>1135.3641400434972</v>
      </c>
    </row>
    <row r="20" spans="2:10" x14ac:dyDescent="0.25">
      <c r="C20" s="3"/>
      <c r="D20" s="2"/>
      <c r="I20" s="6">
        <v>17</v>
      </c>
      <c r="J20" s="17">
        <f t="shared" si="0"/>
        <v>686.67533942354089</v>
      </c>
    </row>
    <row r="21" spans="2:10" x14ac:dyDescent="0.25">
      <c r="I21" s="6">
        <v>18</v>
      </c>
      <c r="J21" s="17">
        <f t="shared" si="0"/>
        <v>389.64695018480842</v>
      </c>
    </row>
    <row r="22" spans="2:10" x14ac:dyDescent="0.25">
      <c r="I22" s="6">
        <v>19</v>
      </c>
      <c r="J22" s="17">
        <f t="shared" si="0"/>
        <v>224.67736121392682</v>
      </c>
    </row>
    <row r="23" spans="2:10" x14ac:dyDescent="0.25">
      <c r="I23" s="6">
        <v>20</v>
      </c>
      <c r="J23" s="17">
        <f t="shared" si="0"/>
        <v>149.06204624760881</v>
      </c>
    </row>
    <row r="24" spans="2:10" x14ac:dyDescent="0.25">
      <c r="I24" s="6">
        <v>21</v>
      </c>
      <c r="J24" s="17">
        <f t="shared" si="0"/>
        <v>120.1019628892729</v>
      </c>
    </row>
    <row r="25" spans="2:10" x14ac:dyDescent="0.25">
      <c r="I25" s="6">
        <v>22</v>
      </c>
      <c r="J25" s="17">
        <f t="shared" si="0"/>
        <v>109.59680500676342</v>
      </c>
    </row>
    <row r="26" spans="2:10" x14ac:dyDescent="0.25">
      <c r="I26" s="6">
        <v>23</v>
      </c>
      <c r="J26" s="17">
        <f t="shared" si="0"/>
        <v>104.52239112883468</v>
      </c>
    </row>
    <row r="27" spans="2:10" x14ac:dyDescent="0.25">
      <c r="I27" s="6">
        <v>24</v>
      </c>
      <c r="J27" s="17">
        <f t="shared" si="0"/>
        <v>100.66717318430581</v>
      </c>
    </row>
    <row r="28" spans="2:10" x14ac:dyDescent="0.25">
      <c r="I28" s="6">
        <v>25</v>
      </c>
      <c r="J28" s="17">
        <f t="shared" si="0"/>
        <v>97.093780289257097</v>
      </c>
    </row>
    <row r="29" spans="2:10" x14ac:dyDescent="0.25">
      <c r="I29" s="6">
        <v>26</v>
      </c>
      <c r="J29" s="17">
        <f t="shared" si="0"/>
        <v>93.660002462158388</v>
      </c>
    </row>
    <row r="30" spans="2:10" x14ac:dyDescent="0.25">
      <c r="I30" s="6">
        <v>27</v>
      </c>
      <c r="J30" s="17">
        <f t="shared" si="0"/>
        <v>90.348385130969945</v>
      </c>
    </row>
    <row r="31" spans="2:10" x14ac:dyDescent="0.25">
      <c r="I31" s="6">
        <v>28</v>
      </c>
      <c r="J31" s="17">
        <f t="shared" si="0"/>
        <v>87.153883523994921</v>
      </c>
    </row>
    <row r="32" spans="2:10" x14ac:dyDescent="0.25">
      <c r="I32" s="6">
        <v>29</v>
      </c>
      <c r="J32" s="17">
        <f t="shared" si="0"/>
        <v>84.072332251779628</v>
      </c>
    </row>
    <row r="33" spans="2:10" x14ac:dyDescent="0.25">
      <c r="E33" s="1"/>
      <c r="F33" s="1"/>
      <c r="I33" s="6">
        <v>30</v>
      </c>
      <c r="J33" s="17">
        <f t="shared" si="0"/>
        <v>81.099737209896219</v>
      </c>
    </row>
    <row r="34" spans="2:10" x14ac:dyDescent="0.25">
      <c r="E34" s="1"/>
      <c r="F34" s="1"/>
      <c r="I34" s="6">
        <v>31</v>
      </c>
      <c r="J34" s="17">
        <f t="shared" si="0"/>
        <v>78.232245964326751</v>
      </c>
    </row>
    <row r="35" spans="2:10" x14ac:dyDescent="0.25">
      <c r="B35" s="1"/>
      <c r="C35" s="1"/>
      <c r="D35" s="1"/>
      <c r="E35" s="1"/>
      <c r="F35" s="1"/>
      <c r="I35" s="6">
        <v>32</v>
      </c>
      <c r="J35" s="17">
        <f t="shared" si="0"/>
        <v>75.466142298129299</v>
      </c>
    </row>
    <row r="36" spans="2:10" x14ac:dyDescent="0.25">
      <c r="B36" s="1"/>
      <c r="C36" s="1"/>
      <c r="D36" s="1"/>
      <c r="E36" s="1"/>
      <c r="F36" s="1"/>
      <c r="I36" s="6">
        <v>33</v>
      </c>
      <c r="J36" s="17">
        <f t="shared" si="0"/>
        <v>72.797841390856092</v>
      </c>
    </row>
    <row r="37" spans="2:10" x14ac:dyDescent="0.25">
      <c r="B37" s="1"/>
      <c r="C37" s="1"/>
      <c r="D37" s="1"/>
      <c r="E37" s="1"/>
      <c r="F37" s="1"/>
      <c r="I37" s="6">
        <v>34</v>
      </c>
      <c r="J37" s="17">
        <f t="shared" si="0"/>
        <v>70.223885172670464</v>
      </c>
    </row>
    <row r="38" spans="2:10" x14ac:dyDescent="0.25">
      <c r="B38" s="1"/>
      <c r="C38" s="1"/>
      <c r="D38" s="1"/>
      <c r="E38" s="1"/>
      <c r="F38" s="1"/>
      <c r="I38" s="6">
        <v>35</v>
      </c>
      <c r="J38" s="17">
        <f t="shared" si="0"/>
        <v>67.740937842750711</v>
      </c>
    </row>
    <row r="39" spans="2:10" x14ac:dyDescent="0.25">
      <c r="B39" s="1"/>
      <c r="C39" s="1"/>
      <c r="D39" s="1"/>
      <c r="E39" s="1"/>
      <c r="F39" s="1"/>
      <c r="I39" s="6">
        <v>36</v>
      </c>
      <c r="J39" s="17">
        <f t="shared" si="0"/>
        <v>65.345781546152395</v>
      </c>
    </row>
    <row r="40" spans="2:10" x14ac:dyDescent="0.25">
      <c r="B40" s="1"/>
      <c r="C40" s="1"/>
      <c r="D40" s="1"/>
      <c r="E40" s="1"/>
      <c r="F40" s="1"/>
      <c r="I40" s="6">
        <v>37</v>
      </c>
      <c r="J40" s="17">
        <f t="shared" si="0"/>
        <v>63.035312203526445</v>
      </c>
    </row>
    <row r="41" spans="2:10" x14ac:dyDescent="0.25">
      <c r="B41" s="1"/>
      <c r="C41" s="1"/>
      <c r="D41" s="1"/>
      <c r="E41" s="1"/>
      <c r="F41" s="1"/>
      <c r="I41" s="6">
        <v>38</v>
      </c>
      <c r="J41" s="17">
        <f t="shared" si="0"/>
        <v>60.806535488288297</v>
      </c>
    </row>
    <row r="42" spans="2:10" x14ac:dyDescent="0.25">
      <c r="B42" s="1"/>
      <c r="C42" s="1"/>
      <c r="D42" s="1"/>
      <c r="E42" s="1"/>
      <c r="F42" s="1"/>
      <c r="I42" s="6">
        <v>39</v>
      </c>
      <c r="J42" s="17">
        <f t="shared" si="0"/>
        <v>58.656562946024664</v>
      </c>
    </row>
    <row r="43" spans="2:10" x14ac:dyDescent="0.25">
      <c r="B43" s="1"/>
      <c r="C43" s="1"/>
      <c r="D43" s="1"/>
      <c r="E43" s="1"/>
      <c r="F43" s="1"/>
      <c r="I43" s="6">
        <v>40</v>
      </c>
      <c r="J43" s="17">
        <f t="shared" si="0"/>
        <v>56.582608251108638</v>
      </c>
    </row>
    <row r="44" spans="2:10" x14ac:dyDescent="0.25">
      <c r="B44" s="1"/>
      <c r="C44" s="1"/>
      <c r="D44" s="1"/>
      <c r="E44" s="1"/>
      <c r="F44" s="1"/>
      <c r="I44" s="6">
        <v>41</v>
      </c>
      <c r="J44" s="17">
        <f t="shared" si="0"/>
        <v>54.581983595672128</v>
      </c>
    </row>
    <row r="45" spans="2:10" x14ac:dyDescent="0.25">
      <c r="B45" s="1"/>
      <c r="C45" s="1"/>
      <c r="D45" s="1"/>
      <c r="E45" s="1"/>
      <c r="F45" s="1"/>
      <c r="I45" s="6">
        <v>42</v>
      </c>
      <c r="J45" s="17">
        <f t="shared" si="0"/>
        <v>52.652096206255216</v>
      </c>
    </row>
    <row r="46" spans="2:10" x14ac:dyDescent="0.25">
      <c r="B46" s="1"/>
      <c r="C46" s="1"/>
      <c r="D46" s="1"/>
      <c r="E46" s="1"/>
      <c r="F46" s="1"/>
      <c r="I46" s="6">
        <v>43</v>
      </c>
      <c r="J46" s="17">
        <f t="shared" si="0"/>
        <v>50.790444983618535</v>
      </c>
    </row>
    <row r="47" spans="2:10" x14ac:dyDescent="0.25">
      <c r="B47" s="1"/>
      <c r="C47" s="1"/>
      <c r="D47" s="1"/>
      <c r="E47" s="1"/>
      <c r="F47" s="1"/>
      <c r="I47" s="6">
        <v>44</v>
      </c>
      <c r="J47" s="17">
        <f t="shared" si="0"/>
        <v>48.994617261363835</v>
      </c>
    </row>
    <row r="48" spans="2:10" x14ac:dyDescent="0.25">
      <c r="B48" s="1"/>
      <c r="C48" s="1"/>
      <c r="D48" s="1"/>
      <c r="E48" s="1"/>
      <c r="F48" s="1"/>
      <c r="I48" s="6">
        <v>45</v>
      </c>
      <c r="J48" s="17">
        <f t="shared" si="0"/>
        <v>47.26228567916182</v>
      </c>
    </row>
    <row r="49" spans="2:10" x14ac:dyDescent="0.25">
      <c r="B49" s="1"/>
      <c r="C49" s="1"/>
      <c r="D49" s="1"/>
      <c r="E49" s="1"/>
      <c r="F49" s="1"/>
      <c r="G49" s="1"/>
      <c r="H49" s="1"/>
      <c r="I49" s="6">
        <v>46</v>
      </c>
      <c r="J49" s="17">
        <f t="shared" si="0"/>
        <v>45.591205166535197</v>
      </c>
    </row>
    <row r="50" spans="2:10" x14ac:dyDescent="0.25">
      <c r="B50" s="1"/>
      <c r="C50" s="1"/>
      <c r="D50" s="1"/>
      <c r="E50" s="1"/>
      <c r="F50" s="1"/>
      <c r="G50" s="1"/>
      <c r="H50" s="1"/>
      <c r="I50" s="6">
        <v>47</v>
      </c>
      <c r="J50" s="17">
        <f t="shared" si="0"/>
        <v>43.979210033287742</v>
      </c>
    </row>
    <row r="51" spans="2:10" x14ac:dyDescent="0.25">
      <c r="B51" s="1"/>
      <c r="C51" s="1"/>
      <c r="D51" s="1"/>
      <c r="E51" s="1"/>
      <c r="F51" s="1"/>
      <c r="G51" s="1"/>
      <c r="H51" s="1"/>
      <c r="I51" s="6">
        <v>48</v>
      </c>
      <c r="J51" s="17">
        <f t="shared" si="0"/>
        <v>42.42421116280898</v>
      </c>
    </row>
    <row r="52" spans="2:10" x14ac:dyDescent="0.25">
      <c r="B52" s="1"/>
      <c r="C52" s="1"/>
      <c r="D52" s="1"/>
      <c r="E52" s="1"/>
      <c r="F52" s="1"/>
      <c r="G52" s="1"/>
      <c r="H52" s="1"/>
      <c r="I52" s="6">
        <v>49</v>
      </c>
      <c r="J52" s="17">
        <f t="shared" si="0"/>
        <v>40.924193304616708</v>
      </c>
    </row>
    <row r="53" spans="2:10" x14ac:dyDescent="0.25">
      <c r="B53" s="1"/>
      <c r="C53" s="1"/>
      <c r="D53" s="1"/>
      <c r="E53" s="1"/>
      <c r="F53" s="1"/>
      <c r="G53" s="1"/>
      <c r="H53" s="1"/>
      <c r="I53" s="6">
        <v>50</v>
      </c>
      <c r="J53" s="17">
        <f t="shared" si="0"/>
        <v>39.477212462628728</v>
      </c>
    </row>
    <row r="54" spans="2:10" x14ac:dyDescent="0.25">
      <c r="B54" s="1"/>
      <c r="C54" s="1"/>
      <c r="D54" s="1"/>
      <c r="E54" s="1"/>
      <c r="F54" s="1"/>
      <c r="G54" s="1"/>
      <c r="H54" s="1"/>
      <c r="I54" s="6">
        <v>51</v>
      </c>
      <c r="J54" s="17">
        <f t="shared" si="0"/>
        <v>38.081393375778966</v>
      </c>
    </row>
    <row r="55" spans="2:10" x14ac:dyDescent="0.25">
      <c r="B55" s="1"/>
      <c r="C55" s="1"/>
      <c r="D55" s="1"/>
      <c r="E55" s="1"/>
      <c r="F55" s="1"/>
      <c r="G55" s="1"/>
      <c r="H55" s="1"/>
      <c r="I55" s="6">
        <v>52</v>
      </c>
      <c r="J55" s="17">
        <f t="shared" si="0"/>
        <v>36.734927087713018</v>
      </c>
    </row>
    <row r="56" spans="2:10" x14ac:dyDescent="0.25">
      <c r="B56" s="1"/>
      <c r="C56" s="1"/>
      <c r="D56" s="1"/>
      <c r="E56" s="1"/>
      <c r="F56" s="1"/>
      <c r="G56" s="1"/>
      <c r="H56" s="1"/>
      <c r="I56" s="6">
        <v>53</v>
      </c>
      <c r="J56" s="17">
        <f t="shared" si="0"/>
        <v>35.436068602413322</v>
      </c>
    </row>
    <row r="57" spans="2:10" x14ac:dyDescent="0.25">
      <c r="B57" s="1"/>
      <c r="C57" s="1"/>
      <c r="D57" s="1"/>
      <c r="E57" s="1"/>
      <c r="F57" s="1"/>
      <c r="G57" s="1"/>
      <c r="H57" s="1"/>
      <c r="I57" s="6">
        <v>54</v>
      </c>
      <c r="J57" s="17">
        <f t="shared" si="0"/>
        <v>34.183134622715805</v>
      </c>
    </row>
    <row r="58" spans="2:10" x14ac:dyDescent="0.25">
      <c r="B58" s="1"/>
      <c r="C58" s="1"/>
      <c r="D58" s="1"/>
      <c r="E58" s="1"/>
      <c r="F58" s="1"/>
      <c r="G58" s="1"/>
      <c r="H58" s="1"/>
      <c r="I58" s="6">
        <v>55</v>
      </c>
      <c r="J58" s="17">
        <f t="shared" si="0"/>
        <v>32.974501368787109</v>
      </c>
    </row>
    <row r="59" spans="2:10" x14ac:dyDescent="0.25">
      <c r="B59" s="1"/>
      <c r="C59" s="1"/>
      <c r="D59" s="1"/>
      <c r="E59" s="1"/>
      <c r="F59" s="1"/>
      <c r="G59" s="1"/>
      <c r="H59" s="1"/>
      <c r="I59" s="6">
        <v>56</v>
      </c>
      <c r="J59" s="17">
        <f t="shared" si="0"/>
        <v>31.808602473735238</v>
      </c>
    </row>
    <row r="60" spans="2:10" x14ac:dyDescent="0.25">
      <c r="B60" s="1"/>
      <c r="C60" s="1"/>
      <c r="D60" s="1"/>
      <c r="G60" s="1"/>
      <c r="H60" s="1"/>
      <c r="I60" s="6">
        <v>57</v>
      </c>
      <c r="J60" s="17">
        <f t="shared" si="0"/>
        <v>30.683926953626337</v>
      </c>
    </row>
    <row r="61" spans="2:10" x14ac:dyDescent="0.25">
      <c r="B61" s="1"/>
      <c r="C61" s="1"/>
      <c r="D61" s="1"/>
      <c r="G61" s="1"/>
      <c r="H61" s="1"/>
      <c r="I61" s="6">
        <v>58</v>
      </c>
      <c r="J61" s="17">
        <f t="shared" si="0"/>
        <v>29.59901724927677</v>
      </c>
    </row>
    <row r="62" spans="2:10" x14ac:dyDescent="0.25">
      <c r="G62" s="1"/>
      <c r="H62" s="1"/>
      <c r="I62" s="6">
        <v>59</v>
      </c>
      <c r="J62" s="17">
        <f t="shared" si="0"/>
        <v>28.5524673372827</v>
      </c>
    </row>
    <row r="63" spans="2:10" x14ac:dyDescent="0.25">
      <c r="G63" s="1"/>
      <c r="H63" s="1"/>
      <c r="I63" s="6">
        <v>60</v>
      </c>
      <c r="J63" s="17">
        <f t="shared" si="0"/>
        <v>27.542920907839086</v>
      </c>
    </row>
    <row r="64" spans="2:10" x14ac:dyDescent="0.25">
      <c r="G64" s="1"/>
      <c r="H64" s="1"/>
      <c r="I64" s="6">
        <v>61</v>
      </c>
      <c r="J64" s="17">
        <f t="shared" si="0"/>
        <v>26.569069606986744</v>
      </c>
    </row>
    <row r="65" spans="7:10" x14ac:dyDescent="0.25">
      <c r="G65" s="1"/>
      <c r="H65" s="1"/>
      <c r="I65" s="6">
        <v>62</v>
      </c>
      <c r="J65" s="17">
        <f t="shared" si="0"/>
        <v>25.629651341009154</v>
      </c>
    </row>
    <row r="66" spans="7:10" x14ac:dyDescent="0.25">
      <c r="G66" s="1"/>
      <c r="H66" s="1"/>
      <c r="I66" s="6">
        <v>63</v>
      </c>
      <c r="J66" s="17">
        <f t="shared" si="0"/>
        <v>24.723448640781744</v>
      </c>
    </row>
    <row r="67" spans="7:10" x14ac:dyDescent="0.25">
      <c r="G67" s="1"/>
      <c r="H67" s="1"/>
      <c r="I67" s="6">
        <v>64</v>
      </c>
      <c r="J67" s="17">
        <f t="shared" si="0"/>
        <v>23.849287083953953</v>
      </c>
    </row>
    <row r="68" spans="7:10" x14ac:dyDescent="0.25">
      <c r="G68" s="1"/>
      <c r="H68" s="1"/>
      <c r="I68" s="6">
        <v>65</v>
      </c>
      <c r="J68" s="17">
        <f t="shared" ref="J68:J100" si="1">((1-C$2)*C$3*EXP(-$E$2*(I68^$G$2)))+(C$2*C$3*EXP(-$E$3*I68))</f>
        <v>23.006033772918986</v>
      </c>
    </row>
    <row r="69" spans="7:10" x14ac:dyDescent="0.25">
      <c r="G69" s="1"/>
      <c r="H69" s="1"/>
      <c r="I69" s="6">
        <v>66</v>
      </c>
      <c r="J69" s="17">
        <f t="shared" si="1"/>
        <v>22.192595866598982</v>
      </c>
    </row>
    <row r="70" spans="7:10" x14ac:dyDescent="0.25">
      <c r="G70" s="1"/>
      <c r="H70" s="1"/>
      <c r="I70" s="6">
        <v>67</v>
      </c>
      <c r="J70" s="17">
        <f t="shared" si="1"/>
        <v>21.407919164142697</v>
      </c>
    </row>
    <row r="71" spans="7:10" x14ac:dyDescent="0.25">
      <c r="G71" s="1"/>
      <c r="H71" s="1"/>
      <c r="I71" s="6">
        <v>68</v>
      </c>
      <c r="J71" s="17">
        <f t="shared" si="1"/>
        <v>20.650986738700176</v>
      </c>
    </row>
    <row r="72" spans="7:10" x14ac:dyDescent="0.25">
      <c r="G72" s="1"/>
      <c r="H72" s="1"/>
      <c r="I72" s="6">
        <v>69</v>
      </c>
      <c r="J72" s="17">
        <f t="shared" si="1"/>
        <v>19.920817619503971</v>
      </c>
    </row>
    <row r="73" spans="7:10" x14ac:dyDescent="0.25">
      <c r="G73" s="1"/>
      <c r="H73" s="1"/>
      <c r="I73" s="6">
        <v>70</v>
      </c>
      <c r="J73" s="17">
        <f t="shared" si="1"/>
        <v>19.216465520548681</v>
      </c>
    </row>
    <row r="74" spans="7:10" x14ac:dyDescent="0.25">
      <c r="G74" s="1"/>
      <c r="H74" s="1"/>
      <c r="I74" s="1">
        <f>I73+1</f>
        <v>71</v>
      </c>
      <c r="J74" s="17">
        <f t="shared" si="1"/>
        <v>18.537017614221352</v>
      </c>
    </row>
    <row r="75" spans="7:10" x14ac:dyDescent="0.25">
      <c r="G75" s="1"/>
      <c r="H75" s="1"/>
      <c r="I75" s="1">
        <f t="shared" ref="I75:I93" si="2">I74+1</f>
        <v>72</v>
      </c>
      <c r="J75" s="17">
        <f t="shared" si="1"/>
        <v>17.881593348293396</v>
      </c>
    </row>
    <row r="76" spans="7:10" x14ac:dyDescent="0.25">
      <c r="I76" s="1">
        <f t="shared" si="2"/>
        <v>73</v>
      </c>
      <c r="J76" s="17">
        <f t="shared" si="1"/>
        <v>17.249343304740758</v>
      </c>
    </row>
    <row r="77" spans="7:10" x14ac:dyDescent="0.25">
      <c r="I77" s="1">
        <f t="shared" si="2"/>
        <v>74</v>
      </c>
      <c r="J77" s="17">
        <f t="shared" si="1"/>
        <v>16.639448098913501</v>
      </c>
    </row>
    <row r="78" spans="7:10" x14ac:dyDescent="0.25">
      <c r="I78" s="1">
        <f t="shared" si="2"/>
        <v>75</v>
      </c>
      <c r="J78" s="17">
        <f t="shared" si="1"/>
        <v>16.051117317628073</v>
      </c>
    </row>
    <row r="79" spans="7:10" x14ac:dyDescent="0.25">
      <c r="I79" s="1">
        <f t="shared" si="2"/>
        <v>76</v>
      </c>
      <c r="J79" s="17">
        <f t="shared" si="1"/>
        <v>15.48358849480606</v>
      </c>
    </row>
    <row r="80" spans="7:10" x14ac:dyDescent="0.25">
      <c r="I80" s="1">
        <f t="shared" si="2"/>
        <v>77</v>
      </c>
      <c r="J80" s="17">
        <f t="shared" si="1"/>
        <v>14.93612612333196</v>
      </c>
    </row>
    <row r="81" spans="9:10" x14ac:dyDescent="0.25">
      <c r="I81" s="1">
        <f t="shared" si="2"/>
        <v>78</v>
      </c>
      <c r="J81" s="17">
        <f t="shared" si="1"/>
        <v>14.408020701849177</v>
      </c>
    </row>
    <row r="82" spans="9:10" x14ac:dyDescent="0.25">
      <c r="I82" s="1">
        <f t="shared" si="2"/>
        <v>79</v>
      </c>
      <c r="J82" s="17">
        <f t="shared" si="1"/>
        <v>13.898587815259075</v>
      </c>
    </row>
    <row r="83" spans="9:10" x14ac:dyDescent="0.25">
      <c r="I83" s="1">
        <f t="shared" si="2"/>
        <v>80</v>
      </c>
      <c r="J83" s="17">
        <f t="shared" si="1"/>
        <v>13.407167247731385</v>
      </c>
    </row>
    <row r="84" spans="9:10" x14ac:dyDescent="0.25">
      <c r="I84" s="1">
        <f>I83+1</f>
        <v>81</v>
      </c>
      <c r="J84" s="17">
        <f t="shared" si="1"/>
        <v>12.933122127076372</v>
      </c>
    </row>
    <row r="85" spans="9:10" x14ac:dyDescent="0.25">
      <c r="I85" s="1">
        <f t="shared" si="2"/>
        <v>82</v>
      </c>
      <c r="J85" s="17">
        <f t="shared" si="1"/>
        <v>12.475838099369968</v>
      </c>
    </row>
    <row r="86" spans="9:10" x14ac:dyDescent="0.25">
      <c r="I86" s="1">
        <f t="shared" si="2"/>
        <v>83</v>
      </c>
      <c r="J86" s="17">
        <f t="shared" si="1"/>
        <v>12.034722532762196</v>
      </c>
    </row>
    <row r="87" spans="9:10" x14ac:dyDescent="0.25">
      <c r="I87" s="1">
        <f t="shared" si="2"/>
        <v>84</v>
      </c>
      <c r="J87" s="17">
        <f t="shared" si="1"/>
        <v>11.60920374943694</v>
      </c>
    </row>
    <row r="88" spans="9:10" x14ac:dyDescent="0.25">
      <c r="I88" s="1">
        <f t="shared" si="2"/>
        <v>85</v>
      </c>
      <c r="J88" s="17">
        <f t="shared" si="1"/>
        <v>11.198730284727853</v>
      </c>
    </row>
    <row r="89" spans="9:10" x14ac:dyDescent="0.25">
      <c r="I89" s="1">
        <f t="shared" si="2"/>
        <v>86</v>
      </c>
      <c r="J89" s="17">
        <f t="shared" si="1"/>
        <v>10.802770172430082</v>
      </c>
    </row>
    <row r="90" spans="9:10" x14ac:dyDescent="0.25">
      <c r="I90" s="1">
        <f t="shared" si="2"/>
        <v>87</v>
      </c>
      <c r="J90" s="17">
        <f t="shared" si="1"/>
        <v>10.420810255381642</v>
      </c>
    </row>
    <row r="91" spans="9:10" x14ac:dyDescent="0.25">
      <c r="I91" s="1">
        <f>I90+1</f>
        <v>88</v>
      </c>
      <c r="J91" s="17">
        <f t="shared" si="1"/>
        <v>10.052355520421035</v>
      </c>
    </row>
    <row r="92" spans="9:10" x14ac:dyDescent="0.25">
      <c r="I92" s="1">
        <f t="shared" si="2"/>
        <v>89</v>
      </c>
      <c r="J92" s="17">
        <f t="shared" si="1"/>
        <v>9.6969284568590872</v>
      </c>
    </row>
    <row r="93" spans="9:10" x14ac:dyDescent="0.25">
      <c r="I93" s="1">
        <f t="shared" si="2"/>
        <v>90</v>
      </c>
      <c r="J93" s="17">
        <f t="shared" si="1"/>
        <v>9.3540684376337264</v>
      </c>
    </row>
    <row r="94" spans="9:10" x14ac:dyDescent="0.25">
      <c r="I94" s="1">
        <f>I93+1</f>
        <v>91</v>
      </c>
      <c r="J94" s="21">
        <f t="shared" si="1"/>
        <v>9.0233311223456205</v>
      </c>
    </row>
    <row r="95" spans="9:10" x14ac:dyDescent="0.25">
      <c r="I95" s="1">
        <f t="shared" ref="I95:I100" si="3">I94+1</f>
        <v>92</v>
      </c>
      <c r="J95" s="21">
        <f t="shared" si="1"/>
        <v>8.7042878814010223</v>
      </c>
    </row>
    <row r="96" spans="9:10" x14ac:dyDescent="0.25">
      <c r="I96" s="1">
        <f t="shared" si="3"/>
        <v>93</v>
      </c>
      <c r="J96" s="21">
        <f t="shared" si="1"/>
        <v>8.3965252405155724</v>
      </c>
    </row>
    <row r="97" spans="9:10" x14ac:dyDescent="0.25">
      <c r="I97" s="1">
        <f t="shared" si="3"/>
        <v>94</v>
      </c>
      <c r="J97" s="21">
        <f t="shared" si="1"/>
        <v>8.0996443448590689</v>
      </c>
    </row>
    <row r="98" spans="9:10" x14ac:dyDescent="0.25">
      <c r="I98" s="1">
        <f t="shared" si="3"/>
        <v>95</v>
      </c>
      <c r="J98" s="21">
        <f t="shared" si="1"/>
        <v>7.8132604421467988</v>
      </c>
    </row>
    <row r="99" spans="9:10" x14ac:dyDescent="0.25">
      <c r="I99" s="1">
        <f t="shared" si="3"/>
        <v>96</v>
      </c>
      <c r="J99" s="21">
        <f t="shared" si="1"/>
        <v>7.5370023840075406</v>
      </c>
    </row>
    <row r="100" spans="9:10" x14ac:dyDescent="0.25">
      <c r="I100" s="1">
        <f t="shared" si="3"/>
        <v>97</v>
      </c>
      <c r="J100" s="21">
        <f t="shared" si="1"/>
        <v>7.270512144981951</v>
      </c>
    </row>
  </sheetData>
  <pageMargins left="0.7" right="0.7" top="0.75" bottom="0.75" header="0.3" footer="0.3"/>
  <headerFooter>
    <oddFooter>&amp;C_x000D_&amp;1#&amp;"Default"&amp;10&amp;KD89B2B Confidential - Company Proprietary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J100"/>
  <sheetViews>
    <sheetView zoomScale="80" zoomScaleNormal="80" workbookViewId="0">
      <selection activeCell="I3" sqref="I3:J100"/>
    </sheetView>
  </sheetViews>
  <sheetFormatPr defaultRowHeight="15" x14ac:dyDescent="0.25"/>
  <cols>
    <col min="3" max="3" width="23.5703125" bestFit="1" customWidth="1"/>
    <col min="4" max="4" width="24.42578125" bestFit="1" customWidth="1"/>
  </cols>
  <sheetData>
    <row r="1" spans="2:10" ht="15.75" thickBot="1" x14ac:dyDescent="0.3"/>
    <row r="2" spans="2:10" x14ac:dyDescent="0.25">
      <c r="B2" s="9" t="s">
        <v>8</v>
      </c>
      <c r="C2" s="19">
        <v>5.4812895835253193E-2</v>
      </c>
      <c r="D2" s="10" t="s">
        <v>0</v>
      </c>
      <c r="E2" s="11">
        <v>1.8161292156047799E-2</v>
      </c>
      <c r="F2" s="10" t="s">
        <v>1</v>
      </c>
      <c r="G2" s="12">
        <v>1.6013987553060092</v>
      </c>
      <c r="I2" s="6" t="s">
        <v>2</v>
      </c>
      <c r="J2" s="6" t="s">
        <v>3</v>
      </c>
    </row>
    <row r="3" spans="2:10" ht="15.75" thickBot="1" x14ac:dyDescent="0.3">
      <c r="B3" s="13" t="s">
        <v>9</v>
      </c>
      <c r="C3" s="20">
        <f>(B6+B12)/2</f>
        <v>110000</v>
      </c>
      <c r="D3" s="14" t="s">
        <v>7</v>
      </c>
      <c r="E3" s="15">
        <v>3.1103116635766787E-2</v>
      </c>
      <c r="F3" s="14"/>
      <c r="G3" s="16"/>
      <c r="I3" s="6">
        <v>0</v>
      </c>
      <c r="J3" s="17">
        <f>((1-C$2)*C$3*EXP(-$E$2*(I3^$G$2)))+(C$2*C$3*EXP(-$E$3*I3))</f>
        <v>110000</v>
      </c>
    </row>
    <row r="4" spans="2:10" x14ac:dyDescent="0.25">
      <c r="I4" s="6">
        <v>1</v>
      </c>
      <c r="J4" s="17">
        <f t="shared" ref="J4:J67" si="0">((1-C$2)*C$3*EXP(-$E$2*(I4^$G$2)))+(C$2*C$3*EXP(-$E$3*I4))</f>
        <v>107944.1557337907</v>
      </c>
    </row>
    <row r="5" spans="2:10" x14ac:dyDescent="0.25">
      <c r="B5" s="4" t="s">
        <v>4</v>
      </c>
      <c r="C5" s="5" t="s">
        <v>5</v>
      </c>
      <c r="D5" s="5" t="s">
        <v>6</v>
      </c>
      <c r="E5" s="2"/>
      <c r="I5" s="6">
        <v>2</v>
      </c>
      <c r="J5" s="17">
        <f t="shared" si="0"/>
        <v>104061.7481193389</v>
      </c>
    </row>
    <row r="6" spans="2:10" x14ac:dyDescent="0.25">
      <c r="B6" s="7">
        <v>124000</v>
      </c>
      <c r="C6" s="8">
        <v>0</v>
      </c>
      <c r="D6" s="7">
        <v>110000</v>
      </c>
      <c r="E6" s="2"/>
      <c r="I6" s="6">
        <v>3</v>
      </c>
      <c r="J6" s="17">
        <f t="shared" si="0"/>
        <v>99053.74738682319</v>
      </c>
    </row>
    <row r="7" spans="2:10" x14ac:dyDescent="0.25">
      <c r="B7" s="7">
        <v>96000</v>
      </c>
      <c r="C7" s="8">
        <v>1.600395890574754</v>
      </c>
      <c r="D7" s="7">
        <v>105773.89866894597</v>
      </c>
      <c r="E7" s="2"/>
      <c r="I7" s="6">
        <v>4</v>
      </c>
      <c r="J7" s="17">
        <f t="shared" si="0"/>
        <v>93284.696093833962</v>
      </c>
    </row>
    <row r="8" spans="2:10" x14ac:dyDescent="0.25">
      <c r="B8" s="7">
        <v>82000</v>
      </c>
      <c r="C8" s="8">
        <v>4.7574163386178574</v>
      </c>
      <c r="D8" s="7">
        <v>88576.437913305286</v>
      </c>
      <c r="E8" s="2"/>
      <c r="I8" s="6">
        <v>5</v>
      </c>
      <c r="J8" s="17">
        <f t="shared" si="0"/>
        <v>87025.46840978149</v>
      </c>
    </row>
    <row r="9" spans="2:10" x14ac:dyDescent="0.25">
      <c r="B9" s="7">
        <v>58000</v>
      </c>
      <c r="C9" s="8">
        <v>7.8569611171972307</v>
      </c>
      <c r="D9" s="7">
        <v>68229.446762688531</v>
      </c>
      <c r="E9" s="2"/>
      <c r="I9" s="6">
        <v>6</v>
      </c>
      <c r="J9" s="17">
        <f t="shared" si="0"/>
        <v>80494.03102371782</v>
      </c>
    </row>
    <row r="10" spans="2:10" x14ac:dyDescent="0.25">
      <c r="B10" s="7">
        <v>47000</v>
      </c>
      <c r="C10" s="8">
        <v>15.361187102656741</v>
      </c>
      <c r="D10" s="7">
        <v>28313.644220066682</v>
      </c>
      <c r="E10" s="2"/>
      <c r="I10" s="6">
        <v>7</v>
      </c>
      <c r="J10" s="17">
        <f t="shared" si="0"/>
        <v>73869.278612405877</v>
      </c>
    </row>
    <row r="11" spans="2:10" x14ac:dyDescent="0.25">
      <c r="B11" s="7">
        <v>1760</v>
      </c>
      <c r="C11" s="8">
        <v>42.156983659660334</v>
      </c>
      <c r="D11" s="7">
        <v>1697.6530974316831</v>
      </c>
      <c r="E11" s="2"/>
      <c r="I11" s="6">
        <v>8</v>
      </c>
      <c r="J11" s="17">
        <f t="shared" si="0"/>
        <v>67297.397413973566</v>
      </c>
    </row>
    <row r="12" spans="2:10" x14ac:dyDescent="0.25">
      <c r="B12" s="7">
        <v>96000</v>
      </c>
      <c r="C12" s="8">
        <v>0</v>
      </c>
      <c r="D12" s="7">
        <v>110000</v>
      </c>
      <c r="E12" s="2"/>
      <c r="I12" s="6">
        <v>9</v>
      </c>
      <c r="J12" s="17">
        <f t="shared" si="0"/>
        <v>60895.726771305766</v>
      </c>
    </row>
    <row r="13" spans="2:10" x14ac:dyDescent="0.25">
      <c r="B13" s="7">
        <v>92000</v>
      </c>
      <c r="C13" s="8">
        <v>3.4447513770601823</v>
      </c>
      <c r="D13" s="7">
        <v>96564.331752846003</v>
      </c>
      <c r="E13" s="2"/>
      <c r="I13" s="6">
        <v>10</v>
      </c>
      <c r="J13" s="17">
        <f t="shared" si="0"/>
        <v>54755.764481747123</v>
      </c>
    </row>
    <row r="14" spans="2:10" x14ac:dyDescent="0.25">
      <c r="B14" s="7">
        <v>54000</v>
      </c>
      <c r="C14" s="8">
        <v>10.283959567463654</v>
      </c>
      <c r="D14" s="7">
        <v>53069.995068765718</v>
      </c>
      <c r="E14" s="2"/>
      <c r="I14" s="6">
        <v>11</v>
      </c>
      <c r="J14" s="17">
        <f t="shared" si="0"/>
        <v>48945.913499217429</v>
      </c>
    </row>
    <row r="15" spans="2:10" x14ac:dyDescent="0.25">
      <c r="B15" s="7">
        <v>15750</v>
      </c>
      <c r="C15" s="8">
        <v>17.056652057702326</v>
      </c>
      <c r="D15" s="7">
        <v>22433.076287007872</v>
      </c>
      <c r="I15" s="6">
        <v>12</v>
      </c>
      <c r="J15" s="17">
        <f t="shared" si="0"/>
        <v>43514.173486628162</v>
      </c>
    </row>
    <row r="16" spans="2:10" x14ac:dyDescent="0.25">
      <c r="B16" s="7">
        <v>2650</v>
      </c>
      <c r="C16" s="8">
        <v>33.701606960554152</v>
      </c>
      <c r="D16" s="7">
        <v>2762.9269233512832</v>
      </c>
      <c r="I16" s="6">
        <v>13</v>
      </c>
      <c r="J16" s="17">
        <f t="shared" si="0"/>
        <v>38490.818754106818</v>
      </c>
    </row>
    <row r="17" spans="2:10" x14ac:dyDescent="0.25">
      <c r="B17" s="7">
        <v>300</v>
      </c>
      <c r="C17" s="8">
        <v>96.359634861460577</v>
      </c>
      <c r="D17" s="7">
        <v>301.06340666230977</v>
      </c>
      <c r="I17" s="6">
        <v>14</v>
      </c>
      <c r="J17" s="17">
        <f t="shared" si="0"/>
        <v>33891.037359621674</v>
      </c>
    </row>
    <row r="18" spans="2:10" x14ac:dyDescent="0.25">
      <c r="B18" s="2"/>
      <c r="C18" s="3"/>
      <c r="D18" s="2"/>
      <c r="I18" s="6">
        <v>15</v>
      </c>
      <c r="J18" s="17">
        <f t="shared" si="0"/>
        <v>29717.482543792819</v>
      </c>
    </row>
    <row r="19" spans="2:10" x14ac:dyDescent="0.25">
      <c r="B19" s="2"/>
      <c r="C19" s="3"/>
      <c r="D19" s="2"/>
      <c r="I19" s="6">
        <v>16</v>
      </c>
      <c r="J19" s="17">
        <f t="shared" si="0"/>
        <v>25962.684749257423</v>
      </c>
    </row>
    <row r="20" spans="2:10" x14ac:dyDescent="0.25">
      <c r="C20" s="3"/>
      <c r="D20" s="2"/>
      <c r="I20" s="6">
        <v>17</v>
      </c>
      <c r="J20" s="17">
        <f t="shared" si="0"/>
        <v>22611.279464036485</v>
      </c>
    </row>
    <row r="21" spans="2:10" x14ac:dyDescent="0.25">
      <c r="I21" s="6">
        <v>18</v>
      </c>
      <c r="J21" s="17">
        <f t="shared" si="0"/>
        <v>19642.017416421324</v>
      </c>
    </row>
    <row r="22" spans="2:10" x14ac:dyDescent="0.25">
      <c r="I22" s="6">
        <v>19</v>
      </c>
      <c r="J22" s="17">
        <f t="shared" si="0"/>
        <v>17029.536145417431</v>
      </c>
    </row>
    <row r="23" spans="2:10" x14ac:dyDescent="0.25">
      <c r="I23" s="6">
        <v>20</v>
      </c>
      <c r="J23" s="17">
        <f t="shared" si="0"/>
        <v>14745.883939261133</v>
      </c>
    </row>
    <row r="24" spans="2:10" x14ac:dyDescent="0.25">
      <c r="I24" s="6">
        <v>21</v>
      </c>
      <c r="J24" s="17">
        <f t="shared" si="0"/>
        <v>12761.797628684724</v>
      </c>
    </row>
    <row r="25" spans="2:10" x14ac:dyDescent="0.25">
      <c r="I25" s="6">
        <v>22</v>
      </c>
      <c r="J25" s="17">
        <f t="shared" si="0"/>
        <v>11047.744285934577</v>
      </c>
    </row>
    <row r="26" spans="2:10" x14ac:dyDescent="0.25">
      <c r="I26" s="6">
        <v>23</v>
      </c>
      <c r="J26" s="17">
        <f t="shared" si="0"/>
        <v>9574.7433750171422</v>
      </c>
    </row>
    <row r="27" spans="2:10" x14ac:dyDescent="0.25">
      <c r="I27" s="6">
        <v>24</v>
      </c>
      <c r="J27" s="17">
        <f t="shared" si="0"/>
        <v>8314.9903864842017</v>
      </c>
    </row>
    <row r="28" spans="2:10" x14ac:dyDescent="0.25">
      <c r="I28" s="6">
        <v>25</v>
      </c>
      <c r="J28" s="17">
        <f t="shared" si="0"/>
        <v>7242.305660668686</v>
      </c>
    </row>
    <row r="29" spans="2:10" x14ac:dyDescent="0.25">
      <c r="I29" s="6">
        <v>26</v>
      </c>
      <c r="J29" s="17">
        <f t="shared" si="0"/>
        <v>6332.4332170749512</v>
      </c>
    </row>
    <row r="30" spans="2:10" x14ac:dyDescent="0.25">
      <c r="I30" s="6">
        <v>27</v>
      </c>
      <c r="J30" s="17">
        <f t="shared" si="0"/>
        <v>5563.2142560628035</v>
      </c>
    </row>
    <row r="31" spans="2:10" x14ac:dyDescent="0.25">
      <c r="I31" s="6">
        <v>28</v>
      </c>
      <c r="J31" s="17">
        <f t="shared" si="0"/>
        <v>4914.6588758672515</v>
      </c>
    </row>
    <row r="32" spans="2:10" x14ac:dyDescent="0.25">
      <c r="E32" s="1"/>
      <c r="F32" s="1"/>
      <c r="I32" s="6">
        <v>29</v>
      </c>
      <c r="J32" s="17">
        <f t="shared" si="0"/>
        <v>4368.9377298474737</v>
      </c>
    </row>
    <row r="33" spans="2:10" x14ac:dyDescent="0.25">
      <c r="E33" s="1"/>
      <c r="F33" s="1"/>
      <c r="I33" s="6">
        <v>30</v>
      </c>
      <c r="J33" s="17">
        <f t="shared" si="0"/>
        <v>3910.3130821936884</v>
      </c>
    </row>
    <row r="34" spans="2:10" x14ac:dyDescent="0.25">
      <c r="E34" s="1"/>
      <c r="F34" s="1"/>
      <c r="I34" s="6">
        <v>31</v>
      </c>
      <c r="J34" s="17">
        <f t="shared" si="0"/>
        <v>3525.026214759243</v>
      </c>
    </row>
    <row r="35" spans="2:10" x14ac:dyDescent="0.25">
      <c r="B35" s="1"/>
      <c r="C35" s="1"/>
      <c r="D35" s="1"/>
      <c r="E35" s="1"/>
      <c r="F35" s="1"/>
      <c r="I35" s="6">
        <v>32</v>
      </c>
      <c r="J35" s="17">
        <f t="shared" si="0"/>
        <v>3201.1555633149237</v>
      </c>
    </row>
    <row r="36" spans="2:10" x14ac:dyDescent="0.25">
      <c r="B36" s="1"/>
      <c r="C36" s="1"/>
      <c r="D36" s="1"/>
      <c r="E36" s="1"/>
      <c r="F36" s="1"/>
      <c r="I36" s="6">
        <v>33</v>
      </c>
      <c r="J36" s="17">
        <f t="shared" si="0"/>
        <v>2928.4574494882713</v>
      </c>
    </row>
    <row r="37" spans="2:10" x14ac:dyDescent="0.25">
      <c r="B37" s="1"/>
      <c r="C37" s="1"/>
      <c r="D37" s="1"/>
      <c r="E37" s="1"/>
      <c r="F37" s="1"/>
      <c r="I37" s="6">
        <v>34</v>
      </c>
      <c r="J37" s="17">
        <f t="shared" si="0"/>
        <v>2698.1989199870186</v>
      </c>
    </row>
    <row r="38" spans="2:10" x14ac:dyDescent="0.25">
      <c r="B38" s="1"/>
      <c r="C38" s="1"/>
      <c r="D38" s="1"/>
      <c r="E38" s="1"/>
      <c r="F38" s="1"/>
      <c r="I38" s="6">
        <v>35</v>
      </c>
      <c r="J38" s="17">
        <f t="shared" si="0"/>
        <v>2502.9900705736013</v>
      </c>
    </row>
    <row r="39" spans="2:10" x14ac:dyDescent="0.25">
      <c r="B39" s="1"/>
      <c r="C39" s="1"/>
      <c r="D39" s="1"/>
      <c r="E39" s="1"/>
      <c r="F39" s="1"/>
      <c r="I39" s="6">
        <v>36</v>
      </c>
      <c r="J39" s="17">
        <f t="shared" si="0"/>
        <v>2336.621354919107</v>
      </c>
    </row>
    <row r="40" spans="2:10" x14ac:dyDescent="0.25">
      <c r="B40" s="1"/>
      <c r="C40" s="1"/>
      <c r="D40" s="1"/>
      <c r="E40" s="1"/>
      <c r="F40" s="1"/>
      <c r="I40" s="6">
        <v>37</v>
      </c>
      <c r="J40" s="17">
        <f t="shared" si="0"/>
        <v>2193.9097724761468</v>
      </c>
    </row>
    <row r="41" spans="2:10" x14ac:dyDescent="0.25">
      <c r="B41" s="1"/>
      <c r="C41" s="1"/>
      <c r="D41" s="1"/>
      <c r="E41" s="1"/>
      <c r="F41" s="1"/>
      <c r="I41" s="6">
        <v>38</v>
      </c>
      <c r="J41" s="17">
        <f t="shared" si="0"/>
        <v>2070.5564927415066</v>
      </c>
    </row>
    <row r="42" spans="2:10" x14ac:dyDescent="0.25">
      <c r="B42" s="1"/>
      <c r="C42" s="1"/>
      <c r="D42" s="1"/>
      <c r="E42" s="1"/>
      <c r="F42" s="1"/>
      <c r="I42" s="6">
        <v>39</v>
      </c>
      <c r="J42" s="17">
        <f t="shared" si="0"/>
        <v>1963.017391511858</v>
      </c>
    </row>
    <row r="43" spans="2:10" x14ac:dyDescent="0.25">
      <c r="B43" s="1"/>
      <c r="C43" s="1"/>
      <c r="D43" s="1"/>
      <c r="E43" s="1"/>
      <c r="F43" s="1"/>
      <c r="I43" s="6">
        <v>40</v>
      </c>
      <c r="J43" s="17">
        <f t="shared" si="0"/>
        <v>1868.3871256635603</v>
      </c>
    </row>
    <row r="44" spans="2:10" x14ac:dyDescent="0.25">
      <c r="B44" s="1"/>
      <c r="C44" s="1"/>
      <c r="D44" s="1"/>
      <c r="E44" s="1"/>
      <c r="F44" s="1"/>
      <c r="I44" s="6">
        <v>41</v>
      </c>
      <c r="J44" s="17">
        <f t="shared" si="0"/>
        <v>1784.2967295646856</v>
      </c>
    </row>
    <row r="45" spans="2:10" x14ac:dyDescent="0.25">
      <c r="B45" s="1"/>
      <c r="C45" s="1"/>
      <c r="D45" s="1"/>
      <c r="E45" s="1"/>
      <c r="F45" s="1"/>
      <c r="I45" s="6">
        <v>42</v>
      </c>
      <c r="J45" s="17">
        <f t="shared" si="0"/>
        <v>1708.8242493365153</v>
      </c>
    </row>
    <row r="46" spans="2:10" x14ac:dyDescent="0.25">
      <c r="B46" s="1"/>
      <c r="C46" s="1"/>
      <c r="D46" s="1"/>
      <c r="E46" s="1"/>
      <c r="F46" s="1"/>
      <c r="I46" s="6">
        <v>43</v>
      </c>
      <c r="J46" s="17">
        <f t="shared" si="0"/>
        <v>1640.417611668674</v>
      </c>
    </row>
    <row r="47" spans="2:10" x14ac:dyDescent="0.25">
      <c r="B47" s="1"/>
      <c r="C47" s="1"/>
      <c r="D47" s="1"/>
      <c r="E47" s="1"/>
      <c r="F47" s="1"/>
      <c r="I47" s="6">
        <v>44</v>
      </c>
      <c r="J47" s="17">
        <f t="shared" si="0"/>
        <v>1577.8287240239299</v>
      </c>
    </row>
    <row r="48" spans="2:10" x14ac:dyDescent="0.25">
      <c r="B48" s="1"/>
      <c r="C48" s="1"/>
      <c r="D48" s="1"/>
      <c r="E48" s="1"/>
      <c r="F48" s="1"/>
      <c r="I48" s="6">
        <v>45</v>
      </c>
      <c r="J48" s="17">
        <f t="shared" si="0"/>
        <v>1520.0576975011402</v>
      </c>
    </row>
    <row r="49" spans="2:10" x14ac:dyDescent="0.25">
      <c r="B49" s="1"/>
      <c r="C49" s="1"/>
      <c r="D49" s="1"/>
      <c r="E49" s="1"/>
      <c r="F49" s="1"/>
      <c r="G49" s="1"/>
      <c r="H49" s="1"/>
      <c r="I49" s="6">
        <v>46</v>
      </c>
      <c r="J49" s="17">
        <f t="shared" si="0"/>
        <v>1466.306049963657</v>
      </c>
    </row>
    <row r="50" spans="2:10" x14ac:dyDescent="0.25">
      <c r="B50" s="1"/>
      <c r="C50" s="1"/>
      <c r="D50" s="1"/>
      <c r="E50" s="1"/>
      <c r="F50" s="1"/>
      <c r="G50" s="1"/>
      <c r="H50" s="1"/>
      <c r="I50" s="6">
        <v>47</v>
      </c>
      <c r="J50" s="17">
        <f t="shared" si="0"/>
        <v>1415.9377660848713</v>
      </c>
    </row>
    <row r="51" spans="2:10" x14ac:dyDescent="0.25">
      <c r="B51" s="1"/>
      <c r="C51" s="1"/>
      <c r="D51" s="1"/>
      <c r="E51" s="1"/>
      <c r="F51" s="1"/>
      <c r="G51" s="1"/>
      <c r="H51" s="1"/>
      <c r="I51" s="6">
        <v>48</v>
      </c>
      <c r="J51" s="17">
        <f t="shared" si="0"/>
        <v>1368.4471467096155</v>
      </c>
    </row>
    <row r="52" spans="2:10" x14ac:dyDescent="0.25">
      <c r="B52" s="1"/>
      <c r="C52" s="1"/>
      <c r="D52" s="1"/>
      <c r="E52" s="1"/>
      <c r="F52" s="1"/>
      <c r="G52" s="1"/>
      <c r="H52" s="1"/>
      <c r="I52" s="6">
        <v>49</v>
      </c>
      <c r="J52" s="17">
        <f t="shared" si="0"/>
        <v>1323.4324594114044</v>
      </c>
    </row>
    <row r="53" spans="2:10" x14ac:dyDescent="0.25">
      <c r="B53" s="1"/>
      <c r="C53" s="1"/>
      <c r="D53" s="1"/>
      <c r="E53" s="1"/>
      <c r="F53" s="1"/>
      <c r="G53" s="1"/>
      <c r="H53" s="1"/>
      <c r="I53" s="6">
        <v>50</v>
      </c>
      <c r="J53" s="17">
        <f t="shared" si="0"/>
        <v>1280.5744951347588</v>
      </c>
    </row>
    <row r="54" spans="2:10" x14ac:dyDescent="0.25">
      <c r="B54" s="1"/>
      <c r="C54" s="1"/>
      <c r="D54" s="1"/>
      <c r="E54" s="1"/>
      <c r="F54" s="1"/>
      <c r="G54" s="1"/>
      <c r="H54" s="1"/>
      <c r="I54" s="6">
        <v>51</v>
      </c>
      <c r="J54" s="17">
        <f t="shared" si="0"/>
        <v>1239.6192345713446</v>
      </c>
    </row>
    <row r="55" spans="2:10" x14ac:dyDescent="0.25">
      <c r="B55" s="1"/>
      <c r="C55" s="1"/>
      <c r="D55" s="1"/>
      <c r="E55" s="1"/>
      <c r="F55" s="1"/>
      <c r="G55" s="1"/>
      <c r="H55" s="1"/>
      <c r="I55" s="6">
        <v>52</v>
      </c>
      <c r="J55" s="17">
        <f t="shared" si="0"/>
        <v>1200.3639267216877</v>
      </c>
    </row>
    <row r="56" spans="2:10" x14ac:dyDescent="0.25">
      <c r="B56" s="1"/>
      <c r="C56" s="1"/>
      <c r="D56" s="1"/>
      <c r="E56" s="1"/>
      <c r="F56" s="1"/>
      <c r="G56" s="1"/>
      <c r="H56" s="1"/>
      <c r="I56" s="6">
        <v>53</v>
      </c>
      <c r="J56" s="17">
        <f t="shared" si="0"/>
        <v>1162.6459769500141</v>
      </c>
    </row>
    <row r="57" spans="2:10" x14ac:dyDescent="0.25">
      <c r="B57" s="1"/>
      <c r="C57" s="1"/>
      <c r="D57" s="1"/>
      <c r="E57" s="1"/>
      <c r="F57" s="1"/>
      <c r="G57" s="1"/>
      <c r="H57" s="1"/>
      <c r="I57" s="6">
        <v>54</v>
      </c>
      <c r="J57" s="17">
        <f t="shared" si="0"/>
        <v>1126.3341301397004</v>
      </c>
    </row>
    <row r="58" spans="2:10" x14ac:dyDescent="0.25">
      <c r="B58" s="1"/>
      <c r="C58" s="1"/>
      <c r="D58" s="1"/>
      <c r="E58" s="1"/>
      <c r="F58" s="1"/>
      <c r="G58" s="1"/>
      <c r="H58" s="1"/>
      <c r="I58" s="6">
        <v>55</v>
      </c>
      <c r="J58" s="17">
        <f t="shared" si="0"/>
        <v>1091.3215147737565</v>
      </c>
    </row>
    <row r="59" spans="2:10" x14ac:dyDescent="0.25">
      <c r="B59" s="1"/>
      <c r="C59" s="1"/>
      <c r="D59" s="1"/>
      <c r="G59" s="1"/>
      <c r="H59" s="1"/>
      <c r="I59" s="6">
        <v>56</v>
      </c>
      <c r="J59" s="17">
        <f t="shared" si="0"/>
        <v>1057.52018519033</v>
      </c>
    </row>
    <row r="60" spans="2:10" x14ac:dyDescent="0.25">
      <c r="B60" s="1"/>
      <c r="C60" s="1"/>
      <c r="D60" s="1"/>
      <c r="G60" s="1"/>
      <c r="H60" s="1"/>
      <c r="I60" s="6">
        <v>57</v>
      </c>
      <c r="J60" s="17">
        <f t="shared" si="0"/>
        <v>1024.8568617869407</v>
      </c>
    </row>
    <row r="61" spans="2:10" x14ac:dyDescent="0.25">
      <c r="B61" s="1"/>
      <c r="C61" s="1"/>
      <c r="D61" s="1"/>
      <c r="G61" s="1"/>
      <c r="H61" s="1"/>
      <c r="I61" s="6">
        <v>58</v>
      </c>
      <c r="J61" s="17">
        <f t="shared" si="0"/>
        <v>993.26962287418712</v>
      </c>
    </row>
    <row r="62" spans="2:10" x14ac:dyDescent="0.25">
      <c r="G62" s="1"/>
      <c r="H62" s="1"/>
      <c r="I62" s="6">
        <v>59</v>
      </c>
      <c r="J62" s="17">
        <f t="shared" si="0"/>
        <v>962.70534778611113</v>
      </c>
    </row>
    <row r="63" spans="2:10" x14ac:dyDescent="0.25">
      <c r="G63" s="1"/>
      <c r="H63" s="1"/>
      <c r="I63" s="6">
        <v>60</v>
      </c>
      <c r="J63" s="17">
        <f t="shared" si="0"/>
        <v>933.11774947499703</v>
      </c>
    </row>
    <row r="64" spans="2:10" x14ac:dyDescent="0.25">
      <c r="G64" s="1"/>
      <c r="H64" s="1"/>
      <c r="I64" s="6">
        <v>61</v>
      </c>
      <c r="J64" s="17">
        <f t="shared" si="0"/>
        <v>904.46586696219583</v>
      </c>
    </row>
    <row r="65" spans="7:10" x14ac:dyDescent="0.25">
      <c r="G65" s="1"/>
      <c r="H65" s="1"/>
      <c r="I65" s="6">
        <v>62</v>
      </c>
      <c r="J65" s="17">
        <f t="shared" si="0"/>
        <v>876.71291450651881</v>
      </c>
    </row>
    <row r="66" spans="7:10" x14ac:dyDescent="0.25">
      <c r="G66" s="1"/>
      <c r="H66" s="1"/>
      <c r="I66" s="6">
        <v>63</v>
      </c>
      <c r="J66" s="17">
        <f t="shared" si="0"/>
        <v>849.82540598268565</v>
      </c>
    </row>
    <row r="67" spans="7:10" x14ac:dyDescent="0.25">
      <c r="G67" s="1"/>
      <c r="H67" s="1"/>
      <c r="I67" s="6">
        <v>64</v>
      </c>
      <c r="J67" s="17">
        <f t="shared" si="0"/>
        <v>823.77249047443934</v>
      </c>
    </row>
    <row r="68" spans="7:10" x14ac:dyDescent="0.25">
      <c r="G68" s="1"/>
      <c r="H68" s="1"/>
      <c r="I68" s="6">
        <v>65</v>
      </c>
      <c r="J68" s="17">
        <f t="shared" ref="J68:J100" si="1">((1-C$2)*C$3*EXP(-$E$2*(I68^$G$2)))+(C$2*C$3*EXP(-$E$3*I68))</f>
        <v>798.5254491502244</v>
      </c>
    </row>
    <row r="69" spans="7:10" x14ac:dyDescent="0.25">
      <c r="G69" s="1"/>
      <c r="H69" s="1"/>
      <c r="I69" s="6">
        <v>66</v>
      </c>
      <c r="J69" s="17">
        <f t="shared" si="1"/>
        <v>774.05731469689692</v>
      </c>
    </row>
    <row r="70" spans="7:10" x14ac:dyDescent="0.25">
      <c r="G70" s="1"/>
      <c r="H70" s="1"/>
      <c r="I70" s="6">
        <v>67</v>
      </c>
      <c r="J70" s="17">
        <f t="shared" si="1"/>
        <v>750.3425834537743</v>
      </c>
    </row>
    <row r="71" spans="7:10" x14ac:dyDescent="0.25">
      <c r="G71" s="1"/>
      <c r="H71" s="1"/>
      <c r="I71" s="6">
        <v>68</v>
      </c>
      <c r="J71" s="17">
        <f t="shared" si="1"/>
        <v>727.35699735575861</v>
      </c>
    </row>
    <row r="72" spans="7:10" x14ac:dyDescent="0.25">
      <c r="G72" s="1"/>
      <c r="H72" s="1"/>
      <c r="I72" s="6">
        <v>69</v>
      </c>
      <c r="J72" s="17">
        <f t="shared" si="1"/>
        <v>705.07737823116179</v>
      </c>
    </row>
    <row r="73" spans="7:10" x14ac:dyDescent="0.25">
      <c r="G73" s="1"/>
      <c r="H73" s="1"/>
      <c r="I73" s="6">
        <v>70</v>
      </c>
      <c r="J73" s="17">
        <f t="shared" si="1"/>
        <v>683.48150121599554</v>
      </c>
    </row>
    <row r="74" spans="7:10" x14ac:dyDescent="0.25">
      <c r="G74" s="1"/>
      <c r="H74" s="1"/>
      <c r="I74" s="1">
        <f>I73+1</f>
        <v>71</v>
      </c>
      <c r="J74" s="17">
        <f t="shared" si="1"/>
        <v>662.54799729578485</v>
      </c>
    </row>
    <row r="75" spans="7:10" x14ac:dyDescent="0.25">
      <c r="G75" s="1"/>
      <c r="H75" s="1"/>
      <c r="I75" s="1">
        <f t="shared" ref="I75:I92" si="2">I74+1</f>
        <v>72</v>
      </c>
      <c r="J75" s="17">
        <f t="shared" si="1"/>
        <v>642.25627747526983</v>
      </c>
    </row>
    <row r="76" spans="7:10" x14ac:dyDescent="0.25">
      <c r="I76" s="1">
        <f t="shared" si="2"/>
        <v>73</v>
      </c>
      <c r="J76" s="17">
        <f t="shared" si="1"/>
        <v>622.58647297243249</v>
      </c>
    </row>
    <row r="77" spans="7:10" x14ac:dyDescent="0.25">
      <c r="I77" s="1">
        <f t="shared" si="2"/>
        <v>74</v>
      </c>
      <c r="J77" s="17">
        <f t="shared" si="1"/>
        <v>603.51938726942365</v>
      </c>
    </row>
    <row r="78" spans="7:10" x14ac:dyDescent="0.25">
      <c r="I78" s="1">
        <f t="shared" si="2"/>
        <v>75</v>
      </c>
      <c r="J78" s="17">
        <f t="shared" si="1"/>
        <v>585.03645693486055</v>
      </c>
    </row>
    <row r="79" spans="7:10" x14ac:dyDescent="0.25">
      <c r="I79" s="1">
        <f t="shared" si="2"/>
        <v>76</v>
      </c>
      <c r="J79" s="17">
        <f t="shared" si="1"/>
        <v>567.11971894265764</v>
      </c>
    </row>
    <row r="80" spans="7:10" x14ac:dyDescent="0.25">
      <c r="I80" s="1">
        <f t="shared" si="2"/>
        <v>77</v>
      </c>
      <c r="J80" s="17">
        <f t="shared" si="1"/>
        <v>549.7517828169515</v>
      </c>
    </row>
    <row r="81" spans="9:10" x14ac:dyDescent="0.25">
      <c r="I81" s="1">
        <f t="shared" si="2"/>
        <v>78</v>
      </c>
      <c r="J81" s="17">
        <f t="shared" si="1"/>
        <v>532.9158063809914</v>
      </c>
    </row>
    <row r="82" spans="9:10" x14ac:dyDescent="0.25">
      <c r="I82" s="1">
        <f t="shared" si="2"/>
        <v>79</v>
      </c>
      <c r="J82" s="17">
        <f t="shared" si="1"/>
        <v>516.59547421881223</v>
      </c>
    </row>
    <row r="83" spans="9:10" x14ac:dyDescent="0.25">
      <c r="I83" s="1">
        <f t="shared" si="2"/>
        <v>80</v>
      </c>
      <c r="J83" s="17">
        <f t="shared" si="1"/>
        <v>500.7749782016374</v>
      </c>
    </row>
    <row r="84" spans="9:10" x14ac:dyDescent="0.25">
      <c r="I84" s="1">
        <f>I83+1</f>
        <v>81</v>
      </c>
      <c r="J84" s="17">
        <f t="shared" si="1"/>
        <v>485.43899960877644</v>
      </c>
    </row>
    <row r="85" spans="9:10" x14ac:dyDescent="0.25">
      <c r="I85" s="1">
        <f t="shared" si="2"/>
        <v>82</v>
      </c>
      <c r="J85" s="17">
        <f t="shared" si="1"/>
        <v>470.5726925022384</v>
      </c>
    </row>
    <row r="86" spans="9:10" x14ac:dyDescent="0.25">
      <c r="I86" s="1">
        <f t="shared" si="2"/>
        <v>83</v>
      </c>
      <c r="J86" s="17">
        <f t="shared" si="1"/>
        <v>456.16166810814224</v>
      </c>
    </row>
    <row r="87" spans="9:10" x14ac:dyDescent="0.25">
      <c r="I87" s="1">
        <f t="shared" si="2"/>
        <v>84</v>
      </c>
      <c r="J87" s="17">
        <f t="shared" si="1"/>
        <v>442.19198002577315</v>
      </c>
    </row>
    <row r="88" spans="9:10" x14ac:dyDescent="0.25">
      <c r="I88" s="1">
        <f t="shared" si="2"/>
        <v>85</v>
      </c>
      <c r="J88" s="17">
        <f t="shared" si="1"/>
        <v>428.65011013387812</v>
      </c>
    </row>
    <row r="89" spans="9:10" x14ac:dyDescent="0.25">
      <c r="I89" s="1">
        <f t="shared" si="2"/>
        <v>86</v>
      </c>
      <c r="J89" s="17">
        <f t="shared" si="1"/>
        <v>415.52295509873352</v>
      </c>
    </row>
    <row r="90" spans="9:10" x14ac:dyDescent="0.25">
      <c r="I90" s="1">
        <f t="shared" si="2"/>
        <v>87</v>
      </c>
      <c r="J90" s="17">
        <f t="shared" si="1"/>
        <v>402.79781341348013</v>
      </c>
    </row>
    <row r="91" spans="9:10" x14ac:dyDescent="0.25">
      <c r="I91" s="1">
        <f>I90+1</f>
        <v>88</v>
      </c>
      <c r="J91" s="17">
        <f t="shared" si="1"/>
        <v>390.4623729160113</v>
      </c>
    </row>
    <row r="92" spans="9:10" x14ac:dyDescent="0.25">
      <c r="I92" s="1">
        <f t="shared" si="2"/>
        <v>89</v>
      </c>
      <c r="J92" s="17">
        <f t="shared" si="1"/>
        <v>378.50469874535372</v>
      </c>
    </row>
    <row r="93" spans="9:10" x14ac:dyDescent="0.25">
      <c r="I93" s="1">
        <f>I92+1</f>
        <v>90</v>
      </c>
      <c r="J93" s="17">
        <f t="shared" si="1"/>
        <v>366.91322170547153</v>
      </c>
    </row>
    <row r="94" spans="9:10" x14ac:dyDescent="0.25">
      <c r="I94" s="1">
        <f>I93+1</f>
        <v>91</v>
      </c>
      <c r="J94" s="21">
        <f t="shared" si="1"/>
        <v>355.6767270118105</v>
      </c>
    </row>
    <row r="95" spans="9:10" x14ac:dyDescent="0.25">
      <c r="I95" s="1">
        <f t="shared" ref="I95:I100" si="3">I94+1</f>
        <v>92</v>
      </c>
      <c r="J95" s="21">
        <f t="shared" si="1"/>
        <v>344.78434340045675</v>
      </c>
    </row>
    <row r="96" spans="9:10" x14ac:dyDescent="0.25">
      <c r="I96" s="1">
        <f t="shared" si="3"/>
        <v>93</v>
      </c>
      <c r="J96" s="21">
        <f t="shared" si="1"/>
        <v>334.22553258302736</v>
      </c>
    </row>
    <row r="97" spans="9:10" x14ac:dyDescent="0.25">
      <c r="I97" s="1">
        <f t="shared" si="3"/>
        <v>94</v>
      </c>
      <c r="J97" s="21">
        <f t="shared" si="1"/>
        <v>323.99007903275771</v>
      </c>
    </row>
    <row r="98" spans="9:10" x14ac:dyDescent="0.25">
      <c r="I98" s="1">
        <f t="shared" si="3"/>
        <v>95</v>
      </c>
      <c r="J98" s="21">
        <f t="shared" si="1"/>
        <v>314.06808008895274</v>
      </c>
    </row>
    <row r="99" spans="9:10" x14ac:dyDescent="0.25">
      <c r="I99" s="1">
        <f t="shared" si="3"/>
        <v>96</v>
      </c>
      <c r="J99" s="21">
        <f t="shared" si="1"/>
        <v>304.44993636822255</v>
      </c>
    </row>
    <row r="100" spans="9:10" x14ac:dyDescent="0.25">
      <c r="I100" s="1">
        <f t="shared" si="3"/>
        <v>97</v>
      </c>
      <c r="J100" s="21">
        <f t="shared" si="1"/>
        <v>295.12634247187373</v>
      </c>
    </row>
  </sheetData>
  <pageMargins left="0.7" right="0.7" top="0.75" bottom="0.75" header="0.3" footer="0.3"/>
  <headerFooter>
    <oddFooter>&amp;C_x000D_&amp;1#&amp;"Default"&amp;10&amp;KD89B2B Confidential - Company Proprietary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100"/>
  <sheetViews>
    <sheetView zoomScale="80" zoomScaleNormal="80" workbookViewId="0">
      <selection activeCell="I3" sqref="I3:J100"/>
    </sheetView>
  </sheetViews>
  <sheetFormatPr defaultRowHeight="15" x14ac:dyDescent="0.25"/>
  <cols>
    <col min="3" max="3" width="23.5703125" bestFit="1" customWidth="1"/>
    <col min="4" max="4" width="24.42578125" bestFit="1" customWidth="1"/>
  </cols>
  <sheetData>
    <row r="1" spans="2:10" ht="15.75" thickBot="1" x14ac:dyDescent="0.3"/>
    <row r="2" spans="2:10" x14ac:dyDescent="0.25">
      <c r="B2" s="9" t="s">
        <v>8</v>
      </c>
      <c r="C2" s="19">
        <v>0.75586075042268852</v>
      </c>
      <c r="D2" s="10" t="s">
        <v>0</v>
      </c>
      <c r="E2" s="11">
        <v>1.0460259195192926E-2</v>
      </c>
      <c r="F2" s="10" t="s">
        <v>1</v>
      </c>
      <c r="G2" s="12">
        <v>1.3812054437852788</v>
      </c>
      <c r="I2" s="6" t="s">
        <v>2</v>
      </c>
      <c r="J2" s="6" t="s">
        <v>3</v>
      </c>
    </row>
    <row r="3" spans="2:10" ht="15.75" thickBot="1" x14ac:dyDescent="0.3">
      <c r="B3" s="13" t="s">
        <v>9</v>
      </c>
      <c r="C3" s="20">
        <f>(B6+B12)/2</f>
        <v>820</v>
      </c>
      <c r="D3" s="14" t="s">
        <v>7</v>
      </c>
      <c r="E3" s="15">
        <v>7.6672811548718425E-2</v>
      </c>
      <c r="F3" s="14"/>
      <c r="G3" s="16"/>
      <c r="I3" s="6">
        <v>0</v>
      </c>
      <c r="J3" s="17">
        <f>((1-C$2)*C$3*EXP(-$E$2*(I3^$G$2)))+(C$2*C$3*EXP(-$E$3*I3))</f>
        <v>820</v>
      </c>
    </row>
    <row r="4" spans="2:10" x14ac:dyDescent="0.25">
      <c r="I4" s="6">
        <v>1</v>
      </c>
      <c r="J4" s="17">
        <f t="shared" ref="J4:J67" si="0">((1-C$2)*C$3*EXP(-$E$2*(I4^$G$2)))+(C$2*C$3*EXP(-$E$3*I4))</f>
        <v>772.17072644947973</v>
      </c>
    </row>
    <row r="5" spans="2:10" x14ac:dyDescent="0.25">
      <c r="B5" s="4" t="s">
        <v>4</v>
      </c>
      <c r="C5" s="5" t="s">
        <v>5</v>
      </c>
      <c r="D5" s="5" t="s">
        <v>6</v>
      </c>
      <c r="I5" s="6">
        <v>2</v>
      </c>
      <c r="J5" s="17">
        <f t="shared" si="0"/>
        <v>726.50303306833121</v>
      </c>
    </row>
    <row r="6" spans="2:10" x14ac:dyDescent="0.25">
      <c r="B6" s="7">
        <v>740</v>
      </c>
      <c r="C6" s="8">
        <v>0</v>
      </c>
      <c r="D6" s="7">
        <v>820</v>
      </c>
      <c r="I6" s="6">
        <v>3</v>
      </c>
      <c r="J6" s="17">
        <f t="shared" si="0"/>
        <v>683.31600622656401</v>
      </c>
    </row>
    <row r="7" spans="2:10" x14ac:dyDescent="0.25">
      <c r="B7" s="7">
        <v>740</v>
      </c>
      <c r="C7" s="8">
        <v>1.600395890574754</v>
      </c>
      <c r="D7" s="7">
        <v>744.45716625432215</v>
      </c>
      <c r="I7" s="6">
        <v>4</v>
      </c>
      <c r="J7" s="17">
        <f t="shared" si="0"/>
        <v>642.57906758062859</v>
      </c>
    </row>
    <row r="8" spans="2:10" x14ac:dyDescent="0.25">
      <c r="B8" s="7">
        <v>770</v>
      </c>
      <c r="C8" s="8">
        <v>4.7574163386178574</v>
      </c>
      <c r="D8" s="7">
        <v>613.29844912216936</v>
      </c>
      <c r="I8" s="6">
        <v>5</v>
      </c>
      <c r="J8" s="17">
        <f t="shared" si="0"/>
        <v>604.19845039559937</v>
      </c>
    </row>
    <row r="9" spans="2:10" x14ac:dyDescent="0.25">
      <c r="B9" s="7">
        <v>584</v>
      </c>
      <c r="C9" s="8">
        <v>7.8569611171972307</v>
      </c>
      <c r="D9" s="7">
        <v>506.49677485600057</v>
      </c>
      <c r="I9" s="6">
        <v>6</v>
      </c>
      <c r="J9" s="17">
        <f t="shared" si="0"/>
        <v>568.06049079641184</v>
      </c>
    </row>
    <row r="10" spans="2:10" x14ac:dyDescent="0.25">
      <c r="B10" s="7">
        <v>260</v>
      </c>
      <c r="C10" s="8">
        <v>15.361187102656741</v>
      </c>
      <c r="D10" s="7">
        <v>317.85792119955602</v>
      </c>
      <c r="I10" s="6">
        <v>7</v>
      </c>
      <c r="J10" s="17">
        <f t="shared" si="0"/>
        <v>534.04606403356865</v>
      </c>
    </row>
    <row r="11" spans="2:10" x14ac:dyDescent="0.25">
      <c r="B11" s="7">
        <v>72</v>
      </c>
      <c r="C11" s="8">
        <v>42.156983659660334</v>
      </c>
      <c r="D11" s="7">
        <v>56.390496440066585</v>
      </c>
      <c r="I11" s="6">
        <v>8</v>
      </c>
      <c r="J11" s="17">
        <f t="shared" si="0"/>
        <v>502.03665866633264</v>
      </c>
    </row>
    <row r="12" spans="2:10" x14ac:dyDescent="0.25">
      <c r="B12" s="7">
        <v>900</v>
      </c>
      <c r="C12" s="8">
        <v>0</v>
      </c>
      <c r="D12" s="7">
        <v>820</v>
      </c>
      <c r="I12" s="6">
        <v>9</v>
      </c>
      <c r="J12" s="17">
        <f t="shared" si="0"/>
        <v>471.91721038146636</v>
      </c>
    </row>
    <row r="13" spans="2:10" x14ac:dyDescent="0.25">
      <c r="B13" s="7">
        <v>730</v>
      </c>
      <c r="C13" s="8">
        <v>3.4447513770601823</v>
      </c>
      <c r="D13" s="7">
        <v>664.90051419921951</v>
      </c>
      <c r="I13" s="6">
        <v>10</v>
      </c>
      <c r="J13" s="17">
        <f t="shared" si="0"/>
        <v>443.57745901499572</v>
      </c>
    </row>
    <row r="14" spans="2:10" x14ac:dyDescent="0.25">
      <c r="B14" s="7">
        <v>430</v>
      </c>
      <c r="C14" s="8">
        <v>10.283959567463654</v>
      </c>
      <c r="D14" s="7">
        <v>435.83985751992668</v>
      </c>
      <c r="I14" s="6">
        <v>11</v>
      </c>
      <c r="J14" s="17">
        <f t="shared" si="0"/>
        <v>416.91256066012045</v>
      </c>
    </row>
    <row r="15" spans="2:10" x14ac:dyDescent="0.25">
      <c r="B15" s="7">
        <v>294</v>
      </c>
      <c r="C15" s="8">
        <v>17.056652057702326</v>
      </c>
      <c r="D15" s="7">
        <v>285.90715027462647</v>
      </c>
      <c r="I15" s="6">
        <v>12</v>
      </c>
      <c r="J15" s="17">
        <f t="shared" si="0"/>
        <v>391.82329893183436</v>
      </c>
    </row>
    <row r="16" spans="2:10" x14ac:dyDescent="0.25">
      <c r="B16" s="7">
        <v>75</v>
      </c>
      <c r="C16" s="8">
        <v>33.701606960554152</v>
      </c>
      <c r="D16" s="7">
        <v>98.804025824071033</v>
      </c>
      <c r="I16" s="6">
        <v>13</v>
      </c>
      <c r="J16" s="17">
        <f t="shared" si="0"/>
        <v>368.21607218554033</v>
      </c>
    </row>
    <row r="17" spans="2:10" x14ac:dyDescent="0.25">
      <c r="B17" s="7">
        <v>1</v>
      </c>
      <c r="C17" s="8">
        <v>96.359634861460577</v>
      </c>
      <c r="D17" s="7">
        <v>1.0201940036669772</v>
      </c>
      <c r="I17" s="6">
        <v>14</v>
      </c>
      <c r="J17" s="17">
        <f t="shared" si="0"/>
        <v>346.00275368530288</v>
      </c>
    </row>
    <row r="18" spans="2:10" x14ac:dyDescent="0.25">
      <c r="B18" s="2"/>
      <c r="C18" s="3"/>
      <c r="D18" s="2"/>
      <c r="E18" s="1"/>
      <c r="I18" s="6">
        <v>15</v>
      </c>
      <c r="J18" s="17">
        <f t="shared" si="0"/>
        <v>325.10048059048142</v>
      </c>
    </row>
    <row r="19" spans="2:10" x14ac:dyDescent="0.25">
      <c r="B19" s="2"/>
      <c r="C19" s="3"/>
      <c r="D19" s="2"/>
      <c r="E19" s="1"/>
      <c r="I19" s="6">
        <v>16</v>
      </c>
      <c r="J19" s="17">
        <f t="shared" si="0"/>
        <v>305.43140510581679</v>
      </c>
    </row>
    <row r="20" spans="2:10" x14ac:dyDescent="0.25">
      <c r="C20" s="3"/>
      <c r="D20" s="2"/>
      <c r="E20" s="1"/>
      <c r="I20" s="6">
        <v>17</v>
      </c>
      <c r="J20" s="17">
        <f t="shared" si="0"/>
        <v>286.92242818951348</v>
      </c>
    </row>
    <row r="21" spans="2:10" x14ac:dyDescent="0.25">
      <c r="E21" s="1"/>
      <c r="I21" s="6">
        <v>18</v>
      </c>
      <c r="J21" s="17">
        <f t="shared" si="0"/>
        <v>269.50492846954887</v>
      </c>
    </row>
    <row r="22" spans="2:10" x14ac:dyDescent="0.25">
      <c r="E22" s="1"/>
      <c r="I22" s="6">
        <v>19</v>
      </c>
      <c r="J22" s="17">
        <f t="shared" si="0"/>
        <v>253.11449423869945</v>
      </c>
    </row>
    <row r="23" spans="2:10" x14ac:dyDescent="0.25">
      <c r="E23" s="1"/>
      <c r="I23" s="6">
        <v>20</v>
      </c>
      <c r="J23" s="17">
        <f t="shared" si="0"/>
        <v>237.69066337381111</v>
      </c>
    </row>
    <row r="24" spans="2:10" x14ac:dyDescent="0.25">
      <c r="E24" s="1"/>
      <c r="I24" s="6">
        <v>21</v>
      </c>
      <c r="J24" s="17">
        <f t="shared" si="0"/>
        <v>223.17667407315361</v>
      </c>
    </row>
    <row r="25" spans="2:10" x14ac:dyDescent="0.25">
      <c r="E25" s="1"/>
      <c r="I25" s="6">
        <v>22</v>
      </c>
      <c r="J25" s="17">
        <f t="shared" si="0"/>
        <v>209.51922802905784</v>
      </c>
    </row>
    <row r="26" spans="2:10" x14ac:dyDescent="0.25">
      <c r="E26" s="1"/>
      <c r="I26" s="6">
        <v>23</v>
      </c>
      <c r="J26" s="17">
        <f t="shared" si="0"/>
        <v>196.66826681107938</v>
      </c>
    </row>
    <row r="27" spans="2:10" x14ac:dyDescent="0.25">
      <c r="E27" s="1"/>
      <c r="I27" s="6">
        <v>24</v>
      </c>
      <c r="J27" s="17">
        <f t="shared" si="0"/>
        <v>184.57676167853026</v>
      </c>
    </row>
    <row r="28" spans="2:10" x14ac:dyDescent="0.25">
      <c r="E28" s="1"/>
      <c r="I28" s="6">
        <v>25</v>
      </c>
      <c r="J28" s="17">
        <f t="shared" si="0"/>
        <v>173.20051667549393</v>
      </c>
    </row>
    <row r="29" spans="2:10" x14ac:dyDescent="0.25">
      <c r="E29" s="1"/>
      <c r="I29" s="6">
        <v>26</v>
      </c>
      <c r="J29" s="17">
        <f t="shared" si="0"/>
        <v>162.49798462473024</v>
      </c>
    </row>
    <row r="30" spans="2:10" x14ac:dyDescent="0.25">
      <c r="E30" s="1"/>
      <c r="I30" s="6">
        <v>27</v>
      </c>
      <c r="J30" s="17">
        <f t="shared" si="0"/>
        <v>152.43009548832916</v>
      </c>
    </row>
    <row r="31" spans="2:10" x14ac:dyDescent="0.25">
      <c r="E31" s="1"/>
      <c r="I31" s="6">
        <v>28</v>
      </c>
      <c r="J31" s="17">
        <f t="shared" si="0"/>
        <v>142.9600964750781</v>
      </c>
    </row>
    <row r="32" spans="2:10" x14ac:dyDescent="0.25">
      <c r="E32" s="1"/>
      <c r="I32" s="6">
        <v>29</v>
      </c>
      <c r="J32" s="17">
        <f t="shared" si="0"/>
        <v>134.05340322845416</v>
      </c>
    </row>
    <row r="33" spans="2:10" x14ac:dyDescent="0.25">
      <c r="E33" s="1"/>
      <c r="F33" s="1"/>
      <c r="I33" s="6">
        <v>30</v>
      </c>
      <c r="J33" s="17">
        <f t="shared" si="0"/>
        <v>125.67746141193368</v>
      </c>
    </row>
    <row r="34" spans="2:10" x14ac:dyDescent="0.25">
      <c r="B34" s="1"/>
      <c r="C34" s="1"/>
      <c r="D34" s="1"/>
      <c r="E34" s="1"/>
      <c r="F34" s="1"/>
      <c r="I34" s="6">
        <v>31</v>
      </c>
      <c r="J34" s="17">
        <f t="shared" si="0"/>
        <v>117.8016180108276</v>
      </c>
    </row>
    <row r="35" spans="2:10" x14ac:dyDescent="0.25">
      <c r="B35" s="1"/>
      <c r="C35" s="1"/>
      <c r="D35" s="1"/>
      <c r="E35" s="1"/>
      <c r="F35" s="1"/>
      <c r="I35" s="6">
        <v>32</v>
      </c>
      <c r="J35" s="17">
        <f t="shared" si="0"/>
        <v>110.39700168569128</v>
      </c>
    </row>
    <row r="36" spans="2:10" x14ac:dyDescent="0.25">
      <c r="B36" s="1"/>
      <c r="C36" s="1"/>
      <c r="D36" s="1"/>
      <c r="E36" s="1"/>
      <c r="F36" s="1"/>
      <c r="I36" s="6">
        <v>33</v>
      </c>
      <c r="J36" s="17">
        <f t="shared" si="0"/>
        <v>103.43641153696979</v>
      </c>
    </row>
    <row r="37" spans="2:10" x14ac:dyDescent="0.25">
      <c r="B37" s="1"/>
      <c r="C37" s="1"/>
      <c r="D37" s="1"/>
      <c r="E37" s="1"/>
      <c r="F37" s="1"/>
      <c r="I37" s="6">
        <v>34</v>
      </c>
      <c r="J37" s="17">
        <f t="shared" si="0"/>
        <v>96.894213670687463</v>
      </c>
    </row>
    <row r="38" spans="2:10" x14ac:dyDescent="0.25">
      <c r="B38" s="1"/>
      <c r="C38" s="1"/>
      <c r="D38" s="1"/>
      <c r="E38" s="1"/>
      <c r="F38" s="1"/>
      <c r="I38" s="6">
        <v>35</v>
      </c>
      <c r="J38" s="17">
        <f t="shared" si="0"/>
        <v>90.746244988357887</v>
      </c>
    </row>
    <row r="39" spans="2:10" x14ac:dyDescent="0.25">
      <c r="B39" s="1"/>
      <c r="C39" s="1"/>
      <c r="D39" s="1"/>
      <c r="E39" s="1"/>
      <c r="F39" s="1"/>
      <c r="I39" s="6">
        <v>36</v>
      </c>
      <c r="J39" s="17">
        <f t="shared" si="0"/>
        <v>84.969723659234603</v>
      </c>
    </row>
    <row r="40" spans="2:10" x14ac:dyDescent="0.25">
      <c r="B40" s="1"/>
      <c r="C40" s="1"/>
      <c r="D40" s="1"/>
      <c r="E40" s="1"/>
      <c r="F40" s="1"/>
      <c r="I40" s="6">
        <v>37</v>
      </c>
      <c r="J40" s="17">
        <f t="shared" si="0"/>
        <v>79.5431657683814</v>
      </c>
    </row>
    <row r="41" spans="2:10" x14ac:dyDescent="0.25">
      <c r="B41" s="1"/>
      <c r="C41" s="1"/>
      <c r="D41" s="1"/>
      <c r="E41" s="1"/>
      <c r="F41" s="1"/>
      <c r="I41" s="6">
        <v>38</v>
      </c>
      <c r="J41" s="17">
        <f t="shared" si="0"/>
        <v>74.446307668981206</v>
      </c>
    </row>
    <row r="42" spans="2:10" x14ac:dyDescent="0.25">
      <c r="B42" s="1"/>
      <c r="C42" s="1"/>
      <c r="D42" s="1"/>
      <c r="E42" s="1"/>
      <c r="F42" s="1"/>
      <c r="I42" s="6">
        <v>39</v>
      </c>
      <c r="J42" s="17">
        <f t="shared" si="0"/>
        <v>69.660033601284809</v>
      </c>
    </row>
    <row r="43" spans="2:10" x14ac:dyDescent="0.25">
      <c r="B43" s="1"/>
      <c r="C43" s="1"/>
      <c r="D43" s="1"/>
      <c r="E43" s="1"/>
      <c r="F43" s="1"/>
      <c r="I43" s="6">
        <v>40</v>
      </c>
      <c r="J43" s="17">
        <f t="shared" si="0"/>
        <v>65.166308173220514</v>
      </c>
    </row>
    <row r="44" spans="2:10" x14ac:dyDescent="0.25">
      <c r="B44" s="1"/>
      <c r="C44" s="1"/>
      <c r="D44" s="1"/>
      <c r="E44" s="1"/>
      <c r="F44" s="1"/>
      <c r="I44" s="6">
        <v>41</v>
      </c>
      <c r="J44" s="17">
        <f t="shared" si="0"/>
        <v>60.948113328724034</v>
      </c>
    </row>
    <row r="45" spans="2:10" x14ac:dyDescent="0.25">
      <c r="B45" s="1"/>
      <c r="C45" s="1"/>
      <c r="D45" s="1"/>
      <c r="F45" s="1"/>
      <c r="I45" s="6">
        <v>42</v>
      </c>
      <c r="J45" s="17">
        <f t="shared" si="0"/>
        <v>56.989389459147645</v>
      </c>
    </row>
    <row r="46" spans="2:10" x14ac:dyDescent="0.25">
      <c r="B46" s="1"/>
      <c r="C46" s="1"/>
      <c r="D46" s="1"/>
      <c r="F46" s="1"/>
      <c r="I46" s="6">
        <v>43</v>
      </c>
      <c r="J46" s="17">
        <f t="shared" si="0"/>
        <v>53.274980340605495</v>
      </c>
    </row>
    <row r="47" spans="2:10" x14ac:dyDescent="0.25">
      <c r="B47" s="1"/>
      <c r="C47" s="1"/>
      <c r="D47" s="1"/>
      <c r="F47" s="1"/>
      <c r="I47" s="6">
        <v>44</v>
      </c>
      <c r="J47" s="17">
        <f t="shared" si="0"/>
        <v>49.790581605794557</v>
      </c>
    </row>
    <row r="48" spans="2:10" x14ac:dyDescent="0.25">
      <c r="B48" s="1"/>
      <c r="C48" s="1"/>
      <c r="D48" s="1"/>
      <c r="F48" s="1"/>
      <c r="I48" s="6">
        <v>45</v>
      </c>
      <c r="J48" s="17">
        <f t="shared" si="0"/>
        <v>46.522692482710823</v>
      </c>
    </row>
    <row r="49" spans="2:10" x14ac:dyDescent="0.25">
      <c r="B49" s="1"/>
      <c r="C49" s="1"/>
      <c r="D49" s="1"/>
      <c r="F49" s="1"/>
      <c r="G49" s="1"/>
      <c r="H49" s="1"/>
      <c r="I49" s="6">
        <v>46</v>
      </c>
      <c r="J49" s="17">
        <f t="shared" si="0"/>
        <v>43.458570554816824</v>
      </c>
    </row>
    <row r="50" spans="2:10" x14ac:dyDescent="0.25">
      <c r="B50" s="1"/>
      <c r="C50" s="1"/>
      <c r="D50" s="1"/>
      <c r="F50" s="1"/>
      <c r="G50" s="1"/>
      <c r="H50" s="1"/>
      <c r="I50" s="6">
        <v>47</v>
      </c>
      <c r="J50" s="17">
        <f t="shared" si="0"/>
        <v>40.586189317665848</v>
      </c>
    </row>
    <row r="51" spans="2:10" x14ac:dyDescent="0.25">
      <c r="B51" s="1"/>
      <c r="C51" s="1"/>
      <c r="D51" s="1"/>
      <c r="F51" s="1"/>
      <c r="G51" s="1"/>
      <c r="H51" s="1"/>
      <c r="I51" s="6">
        <v>48</v>
      </c>
      <c r="J51" s="17">
        <f t="shared" si="0"/>
        <v>37.894198325839113</v>
      </c>
    </row>
    <row r="52" spans="2:10" x14ac:dyDescent="0.25">
      <c r="B52" s="1"/>
      <c r="C52" s="1"/>
      <c r="D52" s="1"/>
      <c r="F52" s="1"/>
      <c r="G52" s="1"/>
      <c r="H52" s="1"/>
      <c r="I52" s="6">
        <v>49</v>
      </c>
      <c r="J52" s="17">
        <f t="shared" si="0"/>
        <v>35.371885741381909</v>
      </c>
    </row>
    <row r="53" spans="2:10" x14ac:dyDescent="0.25">
      <c r="B53" s="1"/>
      <c r="C53" s="1"/>
      <c r="D53" s="1"/>
      <c r="F53" s="1"/>
      <c r="G53" s="1"/>
      <c r="H53" s="1"/>
      <c r="I53" s="6">
        <v>50</v>
      </c>
      <c r="J53" s="17">
        <f t="shared" si="0"/>
        <v>33.009143110829726</v>
      </c>
    </row>
    <row r="54" spans="2:10" x14ac:dyDescent="0.25">
      <c r="B54" s="1"/>
      <c r="C54" s="1"/>
      <c r="D54" s="1"/>
      <c r="F54" s="1"/>
      <c r="G54" s="1"/>
      <c r="H54" s="1"/>
      <c r="I54" s="6">
        <v>51</v>
      </c>
      <c r="J54" s="17">
        <f t="shared" si="0"/>
        <v>30.796432212486717</v>
      </c>
    </row>
    <row r="55" spans="2:10" x14ac:dyDescent="0.25">
      <c r="B55" s="1"/>
      <c r="C55" s="1"/>
      <c r="D55" s="1"/>
      <c r="F55" s="1"/>
      <c r="G55" s="1"/>
      <c r="H55" s="1"/>
      <c r="I55" s="6">
        <v>52</v>
      </c>
      <c r="J55" s="17">
        <f t="shared" si="0"/>
        <v>28.72475382894234</v>
      </c>
    </row>
    <row r="56" spans="2:10" x14ac:dyDescent="0.25">
      <c r="B56" s="1"/>
      <c r="C56" s="1"/>
      <c r="D56" s="1"/>
      <c r="F56" s="1"/>
      <c r="G56" s="1"/>
      <c r="H56" s="1"/>
      <c r="I56" s="6">
        <v>53</v>
      </c>
      <c r="J56" s="17">
        <f t="shared" si="0"/>
        <v>26.785618311985623</v>
      </c>
    </row>
    <row r="57" spans="2:10" x14ac:dyDescent="0.25">
      <c r="B57" s="1"/>
      <c r="C57" s="1"/>
      <c r="D57" s="1"/>
      <c r="F57" s="1"/>
      <c r="G57" s="1"/>
      <c r="H57" s="1"/>
      <c r="I57" s="6">
        <v>54</v>
      </c>
      <c r="J57" s="17">
        <f t="shared" si="0"/>
        <v>24.971017818177621</v>
      </c>
    </row>
    <row r="58" spans="2:10" x14ac:dyDescent="0.25">
      <c r="B58" s="1"/>
      <c r="C58" s="1"/>
      <c r="D58" s="1"/>
      <c r="F58" s="1"/>
      <c r="G58" s="1"/>
      <c r="H58" s="1"/>
      <c r="I58" s="6">
        <v>55</v>
      </c>
      <c r="J58" s="17">
        <f t="shared" si="0"/>
        <v>23.273400103462194</v>
      </c>
    </row>
    <row r="59" spans="2:10" x14ac:dyDescent="0.25">
      <c r="B59" s="1"/>
      <c r="C59" s="1"/>
      <c r="D59" s="1"/>
      <c r="F59" s="1"/>
      <c r="G59" s="1"/>
      <c r="H59" s="1"/>
      <c r="I59" s="6">
        <v>56</v>
      </c>
      <c r="J59" s="17">
        <f t="shared" si="0"/>
        <v>21.68564377440336</v>
      </c>
    </row>
    <row r="60" spans="2:10" x14ac:dyDescent="0.25">
      <c r="B60" s="1"/>
      <c r="C60" s="1"/>
      <c r="D60" s="1"/>
      <c r="G60" s="1"/>
      <c r="H60" s="1"/>
      <c r="I60" s="6">
        <v>57</v>
      </c>
      <c r="J60" s="17">
        <f t="shared" si="0"/>
        <v>20.20103490201739</v>
      </c>
    </row>
    <row r="61" spans="2:10" x14ac:dyDescent="0.25">
      <c r="G61" s="1"/>
      <c r="H61" s="1"/>
      <c r="I61" s="6">
        <v>58</v>
      </c>
      <c r="J61" s="17">
        <f t="shared" si="0"/>
        <v>18.813244911781688</v>
      </c>
    </row>
    <row r="62" spans="2:10" x14ac:dyDescent="0.25">
      <c r="G62" s="1"/>
      <c r="H62" s="1"/>
      <c r="I62" s="6">
        <v>59</v>
      </c>
      <c r="J62" s="17">
        <f t="shared" si="0"/>
        <v>17.516309670321526</v>
      </c>
    </row>
    <row r="63" spans="2:10" x14ac:dyDescent="0.25">
      <c r="G63" s="1"/>
      <c r="H63" s="1"/>
      <c r="I63" s="6">
        <v>60</v>
      </c>
      <c r="J63" s="17">
        <f t="shared" si="0"/>
        <v>16.304609695557179</v>
      </c>
    </row>
    <row r="64" spans="2:10" x14ac:dyDescent="0.25">
      <c r="G64" s="1"/>
      <c r="H64" s="1"/>
      <c r="I64" s="6">
        <v>61</v>
      </c>
      <c r="J64" s="17">
        <f t="shared" si="0"/>
        <v>15.172851422795464</v>
      </c>
    </row>
    <row r="65" spans="7:10" x14ac:dyDescent="0.25">
      <c r="G65" s="1"/>
      <c r="H65" s="1"/>
      <c r="I65" s="6">
        <v>62</v>
      </c>
      <c r="J65" s="17">
        <f t="shared" si="0"/>
        <v>14.116049464426906</v>
      </c>
    </row>
    <row r="66" spans="7:10" x14ac:dyDescent="0.25">
      <c r="G66" s="1"/>
      <c r="H66" s="1"/>
      <c r="I66" s="6">
        <v>63</v>
      </c>
      <c r="J66" s="17">
        <f t="shared" si="0"/>
        <v>13.12950980558373</v>
      </c>
    </row>
    <row r="67" spans="7:10" x14ac:dyDescent="0.25">
      <c r="G67" s="1"/>
      <c r="H67" s="1"/>
      <c r="I67" s="6">
        <v>64</v>
      </c>
      <c r="J67" s="17">
        <f t="shared" si="0"/>
        <v>12.208813882379133</v>
      </c>
    </row>
    <row r="68" spans="7:10" x14ac:dyDescent="0.25">
      <c r="G68" s="1"/>
      <c r="H68" s="1"/>
      <c r="I68" s="6">
        <v>65</v>
      </c>
      <c r="J68" s="17">
        <f t="shared" ref="J68:J100" si="1">((1-C$2)*C$3*EXP(-$E$2*(I68^$G$2)))+(C$2*C$3*EXP(-$E$3*I68))</f>
        <v>11.349803493215628</v>
      </c>
    </row>
    <row r="69" spans="7:10" x14ac:dyDescent="0.25">
      <c r="G69" s="1"/>
      <c r="H69" s="1"/>
      <c r="I69" s="6">
        <v>66</v>
      </c>
      <c r="J69" s="17">
        <f t="shared" si="1"/>
        <v>10.548566497166481</v>
      </c>
    </row>
    <row r="70" spans="7:10" x14ac:dyDescent="0.25">
      <c r="G70" s="1"/>
      <c r="H70" s="1"/>
      <c r="I70" s="6">
        <v>67</v>
      </c>
      <c r="J70" s="17">
        <f t="shared" si="1"/>
        <v>9.8014232566260198</v>
      </c>
    </row>
    <row r="71" spans="7:10" x14ac:dyDescent="0.25">
      <c r="G71" s="1"/>
      <c r="H71" s="1"/>
      <c r="I71" s="6">
        <v>68</v>
      </c>
      <c r="J71" s="17">
        <f t="shared" si="1"/>
        <v>9.1049137843294083</v>
      </c>
    </row>
    <row r="72" spans="7:10" x14ac:dyDescent="0.25">
      <c r="G72" s="1"/>
      <c r="H72" s="1"/>
      <c r="I72" s="6">
        <v>69</v>
      </c>
      <c r="J72" s="17">
        <f t="shared" si="1"/>
        <v>8.4557855574845853</v>
      </c>
    </row>
    <row r="73" spans="7:10" x14ac:dyDescent="0.25">
      <c r="G73" s="1"/>
      <c r="H73" s="1"/>
      <c r="I73" s="6">
        <v>70</v>
      </c>
      <c r="J73" s="17">
        <f t="shared" si="1"/>
        <v>7.8509819641668335</v>
      </c>
    </row>
    <row r="74" spans="7:10" x14ac:dyDescent="0.25">
      <c r="G74" s="1"/>
      <c r="H74" s="1"/>
      <c r="I74" s="1">
        <f>I73+1</f>
        <v>71</v>
      </c>
      <c r="J74" s="17">
        <f t="shared" si="1"/>
        <v>7.2876313493229778</v>
      </c>
    </row>
    <row r="75" spans="7:10" x14ac:dyDescent="0.25">
      <c r="G75" s="1"/>
      <c r="H75" s="1"/>
      <c r="I75" s="1">
        <f t="shared" ref="I75:I93" si="2">I74+1</f>
        <v>72</v>
      </c>
      <c r="J75" s="17">
        <f t="shared" si="1"/>
        <v>6.7630366297380284</v>
      </c>
    </row>
    <row r="76" spans="7:10" x14ac:dyDescent="0.25">
      <c r="I76" s="1">
        <f t="shared" si="2"/>
        <v>73</v>
      </c>
      <c r="J76" s="17">
        <f t="shared" si="1"/>
        <v>6.274665449153038</v>
      </c>
    </row>
    <row r="77" spans="7:10" x14ac:dyDescent="0.25">
      <c r="I77" s="1">
        <f t="shared" si="2"/>
        <v>74</v>
      </c>
      <c r="J77" s="17">
        <f t="shared" si="1"/>
        <v>5.8201408464046631</v>
      </c>
    </row>
    <row r="78" spans="7:10" x14ac:dyDescent="0.25">
      <c r="I78" s="1">
        <f t="shared" si="2"/>
        <v>75</v>
      </c>
      <c r="J78" s="17">
        <f t="shared" si="1"/>
        <v>5.3972324110022889</v>
      </c>
    </row>
    <row r="79" spans="7:10" x14ac:dyDescent="0.25">
      <c r="I79" s="1">
        <f t="shared" si="2"/>
        <v>76</v>
      </c>
      <c r="J79" s="17">
        <f t="shared" si="1"/>
        <v>5.0038479019789008</v>
      </c>
    </row>
    <row r="80" spans="7:10" x14ac:dyDescent="0.25">
      <c r="I80" s="1">
        <f t="shared" si="2"/>
        <v>77</v>
      </c>
      <c r="J80" s="17">
        <f t="shared" si="1"/>
        <v>4.6380253071638746</v>
      </c>
    </row>
    <row r="81" spans="9:10" x14ac:dyDescent="0.25">
      <c r="I81" s="1">
        <f t="shared" si="2"/>
        <v>78</v>
      </c>
      <c r="J81" s="17">
        <f t="shared" si="1"/>
        <v>4.297925321235482</v>
      </c>
    </row>
    <row r="82" spans="9:10" x14ac:dyDescent="0.25">
      <c r="I82" s="1">
        <f t="shared" si="2"/>
        <v>79</v>
      </c>
      <c r="J82" s="17">
        <f t="shared" si="1"/>
        <v>3.9818242220344509</v>
      </c>
    </row>
    <row r="83" spans="9:10" x14ac:dyDescent="0.25">
      <c r="I83" s="1">
        <f t="shared" si="2"/>
        <v>80</v>
      </c>
      <c r="J83" s="17">
        <f t="shared" si="1"/>
        <v>3.6881071256614284</v>
      </c>
    </row>
    <row r="84" spans="9:10" x14ac:dyDescent="0.25">
      <c r="I84" s="1">
        <f t="shared" si="2"/>
        <v>81</v>
      </c>
      <c r="J84" s="17">
        <f t="shared" si="1"/>
        <v>3.4152616018515101</v>
      </c>
    </row>
    <row r="85" spans="9:10" x14ac:dyDescent="0.25">
      <c r="I85" s="1">
        <f t="shared" si="2"/>
        <v>82</v>
      </c>
      <c r="J85" s="17">
        <f t="shared" si="1"/>
        <v>3.1618716320248375</v>
      </c>
    </row>
    <row r="86" spans="9:10" x14ac:dyDescent="0.25">
      <c r="I86" s="1">
        <f t="shared" si="2"/>
        <v>83</v>
      </c>
      <c r="J86" s="17">
        <f t="shared" si="1"/>
        <v>2.9266118932594223</v>
      </c>
    </row>
    <row r="87" spans="9:10" x14ac:dyDescent="0.25">
      <c r="I87" s="1">
        <f t="shared" si="2"/>
        <v>84</v>
      </c>
      <c r="J87" s="17">
        <f t="shared" si="1"/>
        <v>2.7082423522276375</v>
      </c>
    </row>
    <row r="88" spans="9:10" x14ac:dyDescent="0.25">
      <c r="I88" s="1">
        <f t="shared" si="2"/>
        <v>85</v>
      </c>
      <c r="J88" s="17">
        <f t="shared" si="1"/>
        <v>2.5056031538851187</v>
      </c>
    </row>
    <row r="89" spans="9:10" x14ac:dyDescent="0.25">
      <c r="I89" s="1">
        <f t="shared" si="2"/>
        <v>86</v>
      </c>
      <c r="J89" s="17">
        <f t="shared" si="1"/>
        <v>2.3176097904055131</v>
      </c>
    </row>
    <row r="90" spans="9:10" x14ac:dyDescent="0.25">
      <c r="I90" s="1">
        <f>I89+1</f>
        <v>87</v>
      </c>
      <c r="J90" s="17">
        <f t="shared" si="1"/>
        <v>2.1432485365200793</v>
      </c>
    </row>
    <row r="91" spans="9:10" x14ac:dyDescent="0.25">
      <c r="I91" s="1">
        <f t="shared" si="2"/>
        <v>88</v>
      </c>
      <c r="J91" s="17">
        <f t="shared" si="1"/>
        <v>1.9815721380515485</v>
      </c>
    </row>
    <row r="92" spans="9:10" x14ac:dyDescent="0.25">
      <c r="I92" s="1">
        <f t="shared" si="2"/>
        <v>89</v>
      </c>
      <c r="J92" s="17">
        <f t="shared" si="1"/>
        <v>1.8316957410292389</v>
      </c>
    </row>
    <row r="93" spans="9:10" x14ac:dyDescent="0.25">
      <c r="I93" s="1">
        <f t="shared" si="2"/>
        <v>90</v>
      </c>
      <c r="J93" s="17">
        <f t="shared" si="1"/>
        <v>1.6927930493408643</v>
      </c>
    </row>
    <row r="94" spans="9:10" x14ac:dyDescent="0.25">
      <c r="I94" s="1">
        <f>I93+1</f>
        <v>91</v>
      </c>
      <c r="J94" s="21">
        <f t="shared" si="1"/>
        <v>1.5640926994173034</v>
      </c>
    </row>
    <row r="95" spans="9:10" x14ac:dyDescent="0.25">
      <c r="I95" s="1">
        <f t="shared" ref="I95:I100" si="3">I94+1</f>
        <v>92</v>
      </c>
      <c r="J95" s="21">
        <f t="shared" si="1"/>
        <v>1.4448748409624961</v>
      </c>
    </row>
    <row r="96" spans="9:10" x14ac:dyDescent="0.25">
      <c r="I96" s="1">
        <f t="shared" si="3"/>
        <v>93</v>
      </c>
      <c r="J96" s="21">
        <f t="shared" si="1"/>
        <v>1.3344679132333543</v>
      </c>
    </row>
    <row r="97" spans="9:10" x14ac:dyDescent="0.25">
      <c r="I97" s="1">
        <f t="shared" si="3"/>
        <v>94</v>
      </c>
      <c r="J97" s="21">
        <f t="shared" si="1"/>
        <v>1.2322456068453442</v>
      </c>
    </row>
    <row r="98" spans="9:10" x14ac:dyDescent="0.25">
      <c r="I98" s="1">
        <f t="shared" si="3"/>
        <v>95</v>
      </c>
      <c r="J98" s="21">
        <f t="shared" si="1"/>
        <v>1.1376240015304007</v>
      </c>
    </row>
    <row r="99" spans="9:10" x14ac:dyDescent="0.25">
      <c r="I99" s="1">
        <f>I98+1</f>
        <v>96</v>
      </c>
      <c r="J99" s="21">
        <f t="shared" si="1"/>
        <v>1.0500588707057044</v>
      </c>
    </row>
    <row r="100" spans="9:10" x14ac:dyDescent="0.25">
      <c r="I100" s="1">
        <f t="shared" si="3"/>
        <v>97</v>
      </c>
      <c r="J100" s="21">
        <f t="shared" si="1"/>
        <v>0.96904314412580561</v>
      </c>
    </row>
  </sheetData>
  <pageMargins left="0.7" right="0.7" top="0.75" bottom="0.75" header="0.3" footer="0.3"/>
  <headerFooter>
    <oddFooter>&amp;C_x000D_&amp;1#&amp;"Default"&amp;10&amp;KD89B2B Confidential - Company Proprietary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J75"/>
  <sheetViews>
    <sheetView zoomScale="80" zoomScaleNormal="80" workbookViewId="0">
      <selection activeCell="I3" sqref="I3:J74"/>
    </sheetView>
  </sheetViews>
  <sheetFormatPr defaultRowHeight="15" x14ac:dyDescent="0.25"/>
  <cols>
    <col min="3" max="3" width="23.5703125" bestFit="1" customWidth="1"/>
    <col min="4" max="4" width="24.42578125" bestFit="1" customWidth="1"/>
  </cols>
  <sheetData>
    <row r="1" spans="2:10" ht="15.75" thickBot="1" x14ac:dyDescent="0.3"/>
    <row r="2" spans="2:10" x14ac:dyDescent="0.25">
      <c r="B2" s="9" t="s">
        <v>8</v>
      </c>
      <c r="C2" s="19">
        <v>0</v>
      </c>
      <c r="D2" s="10" t="s">
        <v>0</v>
      </c>
      <c r="E2" s="11">
        <v>3.4300819513213754</v>
      </c>
      <c r="F2" s="10" t="s">
        <v>1</v>
      </c>
      <c r="G2" s="12">
        <v>0.20140493130327414</v>
      </c>
      <c r="I2" s="6" t="s">
        <v>2</v>
      </c>
      <c r="J2" s="6" t="s">
        <v>3</v>
      </c>
    </row>
    <row r="3" spans="2:10" ht="15.75" thickBot="1" x14ac:dyDescent="0.3">
      <c r="B3" s="13" t="s">
        <v>9</v>
      </c>
      <c r="C3" s="20">
        <f>(B6+B12)/2</f>
        <v>2112.5</v>
      </c>
      <c r="D3" s="14" t="s">
        <v>7</v>
      </c>
      <c r="E3" s="15">
        <v>6.2064616406378253E-2</v>
      </c>
      <c r="F3" s="14"/>
      <c r="G3" s="16"/>
      <c r="I3" s="6">
        <v>0</v>
      </c>
      <c r="J3" s="17">
        <f>((1-C$2)*C$3*EXP(-$E$2*(I3^$G$2)))+(C$2*C$3*EXP(-$E$3*I3))</f>
        <v>2112.5</v>
      </c>
    </row>
    <row r="4" spans="2:10" x14ac:dyDescent="0.25">
      <c r="I4" s="6">
        <v>1</v>
      </c>
      <c r="J4" s="17">
        <f t="shared" ref="J4:J67" si="0">((1-C$2)*C$3*EXP(-$E$2*(I4^$G$2)))+(C$2*C$3*EXP(-$E$3*I4))</f>
        <v>68.411805715156319</v>
      </c>
    </row>
    <row r="5" spans="2:10" x14ac:dyDescent="0.25">
      <c r="B5" s="4" t="s">
        <v>4</v>
      </c>
      <c r="C5" s="5" t="s">
        <v>5</v>
      </c>
      <c r="D5" s="5" t="s">
        <v>6</v>
      </c>
      <c r="E5" s="2"/>
      <c r="I5" s="6">
        <v>2</v>
      </c>
      <c r="J5" s="17">
        <f t="shared" si="0"/>
        <v>40.921639326212876</v>
      </c>
    </row>
    <row r="6" spans="2:10" x14ac:dyDescent="0.25">
      <c r="B6" s="7">
        <v>1975</v>
      </c>
      <c r="C6" s="8">
        <v>0</v>
      </c>
      <c r="D6" s="7">
        <v>2112.5</v>
      </c>
      <c r="E6" s="2"/>
      <c r="I6" s="6">
        <v>3</v>
      </c>
      <c r="J6" s="17">
        <f t="shared" si="0"/>
        <v>29.255507595781786</v>
      </c>
    </row>
    <row r="7" spans="2:10" x14ac:dyDescent="0.25">
      <c r="B7" s="7">
        <v>68</v>
      </c>
      <c r="C7" s="8">
        <v>0.68477620608950218</v>
      </c>
      <c r="D7" s="7">
        <v>88.00670438852859</v>
      </c>
      <c r="E7" s="2"/>
      <c r="I7" s="6">
        <v>4</v>
      </c>
      <c r="J7" s="17">
        <f t="shared" si="0"/>
        <v>22.664127859899999</v>
      </c>
    </row>
    <row r="8" spans="2:10" x14ac:dyDescent="0.25">
      <c r="B8" s="7">
        <v>64</v>
      </c>
      <c r="C8" s="8">
        <v>2.0277823050229209</v>
      </c>
      <c r="D8" s="7">
        <v>40.475039547072413</v>
      </c>
      <c r="E8" s="2"/>
      <c r="I8" s="6">
        <v>5</v>
      </c>
      <c r="J8" s="17">
        <f t="shared" si="0"/>
        <v>18.399589549015207</v>
      </c>
    </row>
    <row r="9" spans="2:10" x14ac:dyDescent="0.25">
      <c r="B9" s="7">
        <v>56</v>
      </c>
      <c r="C9" s="8">
        <v>3.3361547931803117</v>
      </c>
      <c r="D9" s="7">
        <v>26.670009910071503</v>
      </c>
      <c r="E9" s="2"/>
      <c r="I9" s="6">
        <v>6</v>
      </c>
      <c r="J9" s="17">
        <f t="shared" si="0"/>
        <v>15.408430802486212</v>
      </c>
    </row>
    <row r="10" spans="2:10" x14ac:dyDescent="0.25">
      <c r="B10" s="7">
        <v>25</v>
      </c>
      <c r="C10" s="8">
        <v>6.4613686363711409</v>
      </c>
      <c r="D10" s="7">
        <v>14.309809377096478</v>
      </c>
      <c r="E10" s="2"/>
      <c r="I10" s="6">
        <v>7</v>
      </c>
      <c r="J10" s="17">
        <f t="shared" si="0"/>
        <v>13.193794775976151</v>
      </c>
    </row>
    <row r="11" spans="2:10" x14ac:dyDescent="0.25">
      <c r="B11" s="7">
        <v>5</v>
      </c>
      <c r="C11" s="8">
        <v>17.107232048065356</v>
      </c>
      <c r="D11" s="7">
        <v>4.8493993374460223</v>
      </c>
      <c r="E11" s="2"/>
      <c r="I11" s="6">
        <v>8</v>
      </c>
      <c r="J11" s="17">
        <f t="shared" si="0"/>
        <v>11.488933680552366</v>
      </c>
    </row>
    <row r="12" spans="2:10" x14ac:dyDescent="0.25">
      <c r="B12" s="7">
        <v>2250</v>
      </c>
      <c r="C12" s="8">
        <v>0</v>
      </c>
      <c r="D12" s="7">
        <v>2112.5</v>
      </c>
      <c r="E12" s="2"/>
      <c r="I12" s="6">
        <v>9</v>
      </c>
      <c r="J12" s="17">
        <f t="shared" si="0"/>
        <v>10.137209625417274</v>
      </c>
    </row>
    <row r="13" spans="2:10" x14ac:dyDescent="0.25">
      <c r="B13" s="7">
        <v>24</v>
      </c>
      <c r="C13" s="8">
        <v>2.0826639796112403</v>
      </c>
      <c r="D13" s="7">
        <v>39.620884322862146</v>
      </c>
      <c r="E13" s="2"/>
      <c r="I13" s="6">
        <v>10</v>
      </c>
      <c r="J13" s="17">
        <f t="shared" si="0"/>
        <v>9.0403601785861163</v>
      </c>
    </row>
    <row r="14" spans="2:10" x14ac:dyDescent="0.25">
      <c r="B14" s="7">
        <v>12</v>
      </c>
      <c r="C14" s="8">
        <v>6.0290229911464595</v>
      </c>
      <c r="D14" s="7">
        <v>15.334882669034906</v>
      </c>
      <c r="I14" s="6">
        <v>11</v>
      </c>
      <c r="J14" s="17">
        <f t="shared" si="0"/>
        <v>8.1335251743045003</v>
      </c>
    </row>
    <row r="15" spans="2:10" x14ac:dyDescent="0.25">
      <c r="B15" s="7">
        <v>4</v>
      </c>
      <c r="C15" s="8">
        <v>9.7004260896074399</v>
      </c>
      <c r="D15" s="7">
        <v>9.3465426249468884</v>
      </c>
      <c r="I15" s="6">
        <v>12</v>
      </c>
      <c r="J15" s="17">
        <f t="shared" si="0"/>
        <v>7.3721236651986102</v>
      </c>
    </row>
    <row r="16" spans="2:10" x14ac:dyDescent="0.25">
      <c r="B16" s="7">
        <v>4</v>
      </c>
      <c r="C16" s="8">
        <v>17.798458432026855</v>
      </c>
      <c r="D16" s="7">
        <v>4.6190170677305007</v>
      </c>
      <c r="I16" s="6">
        <v>13</v>
      </c>
      <c r="J16" s="17">
        <f t="shared" si="0"/>
        <v>6.72448476945371</v>
      </c>
    </row>
    <row r="17" spans="2:10" x14ac:dyDescent="0.25">
      <c r="B17" s="7">
        <v>2</v>
      </c>
      <c r="C17" s="8">
        <v>38.846848099474983</v>
      </c>
      <c r="D17" s="7">
        <v>1.6281632243425153</v>
      </c>
      <c r="I17" s="6">
        <v>14</v>
      </c>
      <c r="J17" s="17">
        <f t="shared" si="0"/>
        <v>6.1674823768134646</v>
      </c>
    </row>
    <row r="18" spans="2:10" x14ac:dyDescent="0.25">
      <c r="B18" s="2"/>
      <c r="C18" s="3"/>
      <c r="D18" s="2"/>
      <c r="I18" s="6">
        <v>15</v>
      </c>
      <c r="J18" s="17">
        <f t="shared" si="0"/>
        <v>5.6838328120089301</v>
      </c>
    </row>
    <row r="19" spans="2:10" x14ac:dyDescent="0.25">
      <c r="B19" s="2"/>
      <c r="C19" s="3"/>
      <c r="D19" s="2"/>
      <c r="I19" s="6">
        <v>16</v>
      </c>
      <c r="J19" s="17">
        <f t="shared" si="0"/>
        <v>5.2603589433875406</v>
      </c>
    </row>
    <row r="20" spans="2:10" x14ac:dyDescent="0.25">
      <c r="I20" s="6">
        <v>17</v>
      </c>
      <c r="J20" s="17">
        <f t="shared" si="0"/>
        <v>4.8868394147447933</v>
      </c>
    </row>
    <row r="21" spans="2:10" x14ac:dyDescent="0.25">
      <c r="I21" s="6">
        <v>18</v>
      </c>
      <c r="J21" s="17">
        <f t="shared" si="0"/>
        <v>4.5552247480186514</v>
      </c>
    </row>
    <row r="22" spans="2:10" x14ac:dyDescent="0.25">
      <c r="I22" s="6">
        <v>19</v>
      </c>
      <c r="J22" s="17">
        <f t="shared" si="0"/>
        <v>4.2590905450806682</v>
      </c>
    </row>
    <row r="23" spans="2:10" x14ac:dyDescent="0.25">
      <c r="I23" s="6">
        <v>20</v>
      </c>
      <c r="J23" s="17">
        <f t="shared" si="0"/>
        <v>3.9932480319936201</v>
      </c>
    </row>
    <row r="24" spans="2:10" x14ac:dyDescent="0.25">
      <c r="I24" s="6">
        <v>21</v>
      </c>
      <c r="J24" s="17">
        <f t="shared" si="0"/>
        <v>3.7534614859731068</v>
      </c>
    </row>
    <row r="25" spans="2:10" x14ac:dyDescent="0.25">
      <c r="I25" s="6">
        <v>22</v>
      </c>
      <c r="J25" s="17">
        <f t="shared" si="0"/>
        <v>3.5362397916026254</v>
      </c>
    </row>
    <row r="26" spans="2:10" x14ac:dyDescent="0.25">
      <c r="I26" s="6">
        <v>23</v>
      </c>
      <c r="J26" s="17">
        <f t="shared" si="0"/>
        <v>3.3386803748823808</v>
      </c>
    </row>
    <row r="27" spans="2:10" x14ac:dyDescent="0.25">
      <c r="I27" s="6">
        <v>24</v>
      </c>
      <c r="J27" s="17">
        <f t="shared" si="0"/>
        <v>3.1583507711698653</v>
      </c>
    </row>
    <row r="28" spans="2:10" x14ac:dyDescent="0.25">
      <c r="I28" s="6">
        <v>25</v>
      </c>
      <c r="J28" s="17">
        <f t="shared" si="0"/>
        <v>2.9931976466162094</v>
      </c>
    </row>
    <row r="29" spans="2:10" x14ac:dyDescent="0.25">
      <c r="I29" s="6">
        <v>26</v>
      </c>
      <c r="J29" s="17">
        <f t="shared" si="0"/>
        <v>2.8414761249449527</v>
      </c>
    </row>
    <row r="30" spans="2:10" x14ac:dyDescent="0.25">
      <c r="I30" s="6">
        <v>27</v>
      </c>
      <c r="J30" s="17">
        <f t="shared" si="0"/>
        <v>2.701694323270551</v>
      </c>
    </row>
    <row r="31" spans="2:10" x14ac:dyDescent="0.25">
      <c r="I31" s="6">
        <v>28</v>
      </c>
      <c r="J31" s="17">
        <f t="shared" si="0"/>
        <v>2.5725694123921641</v>
      </c>
    </row>
    <row r="32" spans="2:10" x14ac:dyDescent="0.25">
      <c r="E32" s="1"/>
      <c r="F32" s="1"/>
      <c r="I32" s="6">
        <v>29</v>
      </c>
      <c r="J32" s="17">
        <f t="shared" si="0"/>
        <v>2.4529925032419793</v>
      </c>
    </row>
    <row r="33" spans="2:10" x14ac:dyDescent="0.25">
      <c r="E33" s="1"/>
      <c r="F33" s="1"/>
      <c r="I33" s="6">
        <v>30</v>
      </c>
      <c r="J33" s="17">
        <f t="shared" si="0"/>
        <v>2.3420003598898038</v>
      </c>
    </row>
    <row r="34" spans="2:10" x14ac:dyDescent="0.25">
      <c r="E34" s="1"/>
      <c r="F34" s="1"/>
      <c r="I34" s="6">
        <v>31</v>
      </c>
      <c r="J34" s="17">
        <f t="shared" si="0"/>
        <v>2.2387524409773656</v>
      </c>
    </row>
    <row r="35" spans="2:10" x14ac:dyDescent="0.25">
      <c r="B35" s="1"/>
      <c r="C35" s="1"/>
      <c r="D35" s="1"/>
      <c r="E35" s="1"/>
      <c r="F35" s="1"/>
      <c r="I35" s="6">
        <v>32</v>
      </c>
      <c r="J35" s="17">
        <f t="shared" si="0"/>
        <v>2.1425121357010073</v>
      </c>
    </row>
    <row r="36" spans="2:10" x14ac:dyDescent="0.25">
      <c r="B36" s="1"/>
      <c r="C36" s="1"/>
      <c r="D36" s="1"/>
      <c r="E36" s="1"/>
      <c r="F36" s="1"/>
      <c r="I36" s="6">
        <v>33</v>
      </c>
      <c r="J36" s="17">
        <f t="shared" si="0"/>
        <v>2.0526313279927026</v>
      </c>
    </row>
    <row r="37" spans="2:10" x14ac:dyDescent="0.25">
      <c r="B37" s="1"/>
      <c r="C37" s="1"/>
      <c r="D37" s="1"/>
      <c r="E37" s="1"/>
      <c r="F37" s="1"/>
      <c r="I37" s="6">
        <v>34</v>
      </c>
      <c r="J37" s="17">
        <f t="shared" si="0"/>
        <v>1.9685376210940322</v>
      </c>
    </row>
    <row r="38" spans="2:10" x14ac:dyDescent="0.25">
      <c r="B38" s="1"/>
      <c r="C38" s="1"/>
      <c r="D38" s="1"/>
      <c r="E38" s="1"/>
      <c r="F38" s="1"/>
      <c r="I38" s="6">
        <v>35</v>
      </c>
      <c r="J38" s="17">
        <f t="shared" si="0"/>
        <v>1.8897237034972292</v>
      </c>
    </row>
    <row r="39" spans="2:10" x14ac:dyDescent="0.25">
      <c r="B39" s="1"/>
      <c r="C39" s="1"/>
      <c r="D39" s="1"/>
      <c r="E39" s="1"/>
      <c r="F39" s="1"/>
      <c r="I39" s="6">
        <v>36</v>
      </c>
      <c r="J39" s="17">
        <f t="shared" si="0"/>
        <v>1.8157384497301579</v>
      </c>
    </row>
    <row r="40" spans="2:10" x14ac:dyDescent="0.25">
      <c r="B40" s="1"/>
      <c r="C40" s="1"/>
      <c r="D40" s="1"/>
      <c r="E40" s="1"/>
      <c r="F40" s="1"/>
      <c r="I40" s="6">
        <v>37</v>
      </c>
      <c r="J40" s="17">
        <f t="shared" si="0"/>
        <v>1.7461794352586233</v>
      </c>
    </row>
    <row r="41" spans="2:10" x14ac:dyDescent="0.25">
      <c r="B41" s="1"/>
      <c r="C41" s="1"/>
      <c r="D41" s="1"/>
      <c r="E41" s="1"/>
      <c r="F41" s="1"/>
      <c r="I41" s="6">
        <v>38</v>
      </c>
      <c r="J41" s="17">
        <f t="shared" si="0"/>
        <v>1.6806866107338372</v>
      </c>
    </row>
    <row r="42" spans="2:10" x14ac:dyDescent="0.25">
      <c r="B42" s="1"/>
      <c r="C42" s="1"/>
      <c r="D42" s="1"/>
      <c r="E42" s="1"/>
      <c r="F42" s="1"/>
      <c r="I42" s="6">
        <v>39</v>
      </c>
      <c r="J42" s="17">
        <f t="shared" si="0"/>
        <v>1.6189369318966327</v>
      </c>
    </row>
    <row r="43" spans="2:10" x14ac:dyDescent="0.25">
      <c r="B43" s="1"/>
      <c r="C43" s="1"/>
      <c r="D43" s="1"/>
      <c r="E43" s="1"/>
      <c r="F43" s="1"/>
      <c r="I43" s="6">
        <v>40</v>
      </c>
      <c r="J43" s="17">
        <f t="shared" si="0"/>
        <v>1.5606397812974404</v>
      </c>
    </row>
    <row r="44" spans="2:10" x14ac:dyDescent="0.25">
      <c r="B44" s="1"/>
      <c r="C44" s="1"/>
      <c r="D44" s="1"/>
      <c r="E44" s="1"/>
      <c r="F44" s="1"/>
      <c r="I44" s="6">
        <v>41</v>
      </c>
      <c r="J44" s="17">
        <f t="shared" si="0"/>
        <v>1.5055330492825065</v>
      </c>
    </row>
    <row r="45" spans="2:10" x14ac:dyDescent="0.25">
      <c r="B45" s="1"/>
      <c r="C45" s="1"/>
      <c r="D45" s="1"/>
      <c r="E45" s="1"/>
      <c r="F45" s="1"/>
      <c r="I45" s="6">
        <v>42</v>
      </c>
      <c r="J45" s="17">
        <f t="shared" si="0"/>
        <v>1.4533797664259394</v>
      </c>
    </row>
    <row r="46" spans="2:10" x14ac:dyDescent="0.25">
      <c r="B46" s="1"/>
      <c r="C46" s="1"/>
      <c r="D46" s="1"/>
      <c r="E46" s="1"/>
      <c r="F46" s="1"/>
      <c r="I46" s="6">
        <v>43</v>
      </c>
      <c r="J46" s="17">
        <f t="shared" si="0"/>
        <v>1.4039651992478224</v>
      </c>
    </row>
    <row r="47" spans="2:10" x14ac:dyDescent="0.25">
      <c r="B47" s="1"/>
      <c r="C47" s="1"/>
      <c r="D47" s="1"/>
      <c r="E47" s="1"/>
      <c r="F47" s="1"/>
      <c r="I47" s="6">
        <v>44</v>
      </c>
      <c r="J47" s="17">
        <f t="shared" si="0"/>
        <v>1.3570943367791255</v>
      </c>
    </row>
    <row r="48" spans="2:10" x14ac:dyDescent="0.25">
      <c r="B48" s="1"/>
      <c r="C48" s="1"/>
      <c r="D48" s="1"/>
      <c r="E48" s="1"/>
      <c r="F48" s="1"/>
      <c r="I48" s="6">
        <v>45</v>
      </c>
      <c r="J48" s="17">
        <f t="shared" si="0"/>
        <v>1.3125897081724773</v>
      </c>
    </row>
    <row r="49" spans="2:10" x14ac:dyDescent="0.25">
      <c r="B49" s="1"/>
      <c r="C49" s="1"/>
      <c r="D49" s="1"/>
      <c r="E49" s="1"/>
      <c r="F49" s="1"/>
      <c r="G49" s="1"/>
      <c r="H49" s="1"/>
      <c r="I49" s="6">
        <v>46</v>
      </c>
      <c r="J49" s="17">
        <f t="shared" si="0"/>
        <v>1.2702894817708532</v>
      </c>
    </row>
    <row r="50" spans="2:10" x14ac:dyDescent="0.25">
      <c r="B50" s="1"/>
      <c r="C50" s="1"/>
      <c r="D50" s="1"/>
      <c r="E50" s="1"/>
      <c r="F50" s="1"/>
      <c r="G50" s="1"/>
      <c r="H50" s="1"/>
      <c r="I50" s="6">
        <v>47</v>
      </c>
      <c r="J50" s="17">
        <f t="shared" si="0"/>
        <v>1.2300458043400764</v>
      </c>
    </row>
    <row r="51" spans="2:10" x14ac:dyDescent="0.25">
      <c r="B51" s="1"/>
      <c r="C51" s="1"/>
      <c r="D51" s="1"/>
      <c r="E51" s="1"/>
      <c r="F51" s="1"/>
      <c r="G51" s="1"/>
      <c r="H51" s="1"/>
      <c r="I51" s="6">
        <v>48</v>
      </c>
      <c r="J51" s="17">
        <f t="shared" si="0"/>
        <v>1.1917233459379177</v>
      </c>
    </row>
    <row r="52" spans="2:10" x14ac:dyDescent="0.25">
      <c r="B52" s="1"/>
      <c r="C52" s="1"/>
      <c r="D52" s="1"/>
      <c r="E52" s="1"/>
      <c r="F52" s="1"/>
      <c r="G52" s="1"/>
      <c r="H52" s="1"/>
      <c r="I52" s="6">
        <v>49</v>
      </c>
      <c r="J52" s="17">
        <f t="shared" si="0"/>
        <v>1.15519802143854</v>
      </c>
    </row>
    <row r="53" spans="2:10" x14ac:dyDescent="0.25">
      <c r="B53" s="1"/>
      <c r="C53" s="1"/>
      <c r="D53" s="1"/>
      <c r="E53" s="1"/>
      <c r="F53" s="1"/>
      <c r="G53" s="1"/>
      <c r="H53" s="1"/>
      <c r="I53" s="6">
        <v>50</v>
      </c>
      <c r="J53" s="17">
        <f t="shared" si="0"/>
        <v>1.120355864295798</v>
      </c>
    </row>
    <row r="54" spans="2:10" x14ac:dyDescent="0.25">
      <c r="B54" s="1"/>
      <c r="C54" s="1"/>
      <c r="D54" s="1"/>
      <c r="E54" s="1"/>
      <c r="F54" s="1"/>
      <c r="G54" s="1"/>
      <c r="H54" s="1"/>
      <c r="I54" s="6">
        <v>51</v>
      </c>
      <c r="J54" s="17">
        <f t="shared" si="0"/>
        <v>1.0870920319015152</v>
      </c>
    </row>
    <row r="55" spans="2:10" x14ac:dyDescent="0.25">
      <c r="B55" s="1"/>
      <c r="C55" s="1"/>
      <c r="D55" s="1"/>
      <c r="E55" s="1"/>
      <c r="F55" s="1"/>
      <c r="G55" s="1"/>
      <c r="H55" s="1"/>
      <c r="I55" s="6">
        <v>52</v>
      </c>
      <c r="J55" s="17">
        <f t="shared" si="0"/>
        <v>1.0553099250250928</v>
      </c>
    </row>
    <row r="56" spans="2:10" x14ac:dyDescent="0.25">
      <c r="B56" s="1"/>
      <c r="C56" s="1"/>
      <c r="D56" s="1"/>
      <c r="E56" s="1"/>
      <c r="F56" s="1"/>
      <c r="G56" s="1"/>
      <c r="H56" s="1"/>
      <c r="I56" s="6">
        <v>53</v>
      </c>
      <c r="J56" s="17">
        <f t="shared" si="0"/>
        <v>1.0249204064277444</v>
      </c>
    </row>
    <row r="57" spans="2:10" x14ac:dyDescent="0.25">
      <c r="B57" s="1"/>
      <c r="C57" s="1"/>
      <c r="D57" s="1"/>
      <c r="E57" s="1"/>
      <c r="F57" s="1"/>
      <c r="G57" s="1"/>
      <c r="H57" s="1"/>
      <c r="I57" s="6">
        <v>54</v>
      </c>
      <c r="J57" s="17">
        <f t="shared" si="0"/>
        <v>0.99584110592379915</v>
      </c>
    </row>
    <row r="58" spans="2:10" x14ac:dyDescent="0.25">
      <c r="B58" s="1"/>
      <c r="C58" s="1"/>
      <c r="D58" s="1"/>
      <c r="E58" s="1"/>
      <c r="F58" s="1"/>
      <c r="G58" s="1"/>
      <c r="H58" s="1"/>
      <c r="I58" s="6">
        <v>55</v>
      </c>
      <c r="J58" s="17">
        <f t="shared" si="0"/>
        <v>0.96799580098921034</v>
      </c>
    </row>
    <row r="59" spans="2:10" x14ac:dyDescent="0.25">
      <c r="B59" s="1"/>
      <c r="C59" s="1"/>
      <c r="D59" s="1"/>
      <c r="G59" s="1"/>
      <c r="H59" s="1"/>
      <c r="I59" s="6">
        <v>56</v>
      </c>
      <c r="J59" s="17">
        <f t="shared" si="0"/>
        <v>0.94131386355561097</v>
      </c>
    </row>
    <row r="60" spans="2:10" x14ac:dyDescent="0.25">
      <c r="B60" s="1"/>
      <c r="C60" s="1"/>
      <c r="D60" s="1"/>
      <c r="G60" s="1"/>
      <c r="H60" s="1"/>
      <c r="I60" s="6">
        <v>57</v>
      </c>
      <c r="J60" s="17">
        <f t="shared" si="0"/>
        <v>0.91572976492692471</v>
      </c>
    </row>
    <row r="61" spans="2:10" x14ac:dyDescent="0.25">
      <c r="B61" s="1"/>
      <c r="C61" s="1"/>
      <c r="D61" s="1"/>
      <c r="G61" s="1"/>
      <c r="H61" s="1"/>
      <c r="I61" s="6">
        <v>58</v>
      </c>
      <c r="J61" s="17">
        <f t="shared" si="0"/>
        <v>0.89118263185534841</v>
      </c>
    </row>
    <row r="62" spans="2:10" x14ac:dyDescent="0.25">
      <c r="G62" s="1"/>
      <c r="H62" s="1"/>
      <c r="I62" s="6">
        <v>59</v>
      </c>
      <c r="J62" s="17">
        <f t="shared" si="0"/>
        <v>0.86761584774773404</v>
      </c>
    </row>
    <row r="63" spans="2:10" x14ac:dyDescent="0.25">
      <c r="G63" s="1"/>
      <c r="H63" s="1"/>
      <c r="I63" s="6">
        <v>60</v>
      </c>
      <c r="J63" s="17">
        <f t="shared" si="0"/>
        <v>0.84497669376922868</v>
      </c>
    </row>
    <row r="64" spans="2:10" x14ac:dyDescent="0.25">
      <c r="G64" s="1"/>
      <c r="H64" s="1"/>
      <c r="I64" s="6">
        <v>61</v>
      </c>
      <c r="J64" s="17">
        <f t="shared" si="0"/>
        <v>0.82321602529080307</v>
      </c>
    </row>
    <row r="65" spans="7:10" x14ac:dyDescent="0.25">
      <c r="G65" s="1"/>
      <c r="H65" s="1"/>
      <c r="I65" s="6">
        <v>62</v>
      </c>
      <c r="J65" s="17">
        <f t="shared" si="0"/>
        <v>0.80228797970960919</v>
      </c>
    </row>
    <row r="66" spans="7:10" x14ac:dyDescent="0.25">
      <c r="G66" s="1"/>
      <c r="H66" s="1"/>
      <c r="I66" s="6">
        <v>63</v>
      </c>
      <c r="J66" s="17">
        <f t="shared" si="0"/>
        <v>0.78214971217104634</v>
      </c>
    </row>
    <row r="67" spans="7:10" x14ac:dyDescent="0.25">
      <c r="G67" s="1"/>
      <c r="H67" s="1"/>
      <c r="I67" s="6">
        <v>64</v>
      </c>
      <c r="J67" s="17">
        <f t="shared" si="0"/>
        <v>0.76276115615190743</v>
      </c>
    </row>
    <row r="68" spans="7:10" x14ac:dyDescent="0.25">
      <c r="G68" s="1"/>
      <c r="H68" s="1"/>
      <c r="I68" s="6">
        <v>65</v>
      </c>
      <c r="J68" s="17">
        <f t="shared" ref="J68:J74" si="1">((1-C$2)*C$3*EXP(-$E$2*(I68^$G$2)))+(C$2*C$3*EXP(-$E$3*I68))</f>
        <v>0.74408480623538675</v>
      </c>
    </row>
    <row r="69" spans="7:10" x14ac:dyDescent="0.25">
      <c r="G69" s="1"/>
      <c r="H69" s="1"/>
      <c r="I69" s="6">
        <v>66</v>
      </c>
      <c r="J69" s="17">
        <f t="shared" si="1"/>
        <v>0.72608552073004518</v>
      </c>
    </row>
    <row r="70" spans="7:10" x14ac:dyDescent="0.25">
      <c r="G70" s="1"/>
      <c r="H70" s="1"/>
      <c r="I70" s="6">
        <v>67</v>
      </c>
      <c r="J70" s="17">
        <f t="shared" si="1"/>
        <v>0.70873034206332863</v>
      </c>
    </row>
    <row r="71" spans="7:10" x14ac:dyDescent="0.25">
      <c r="G71" s="1"/>
      <c r="H71" s="1"/>
      <c r="I71" s="6">
        <v>68</v>
      </c>
      <c r="J71" s="17">
        <f t="shared" si="1"/>
        <v>0.69198833312231078</v>
      </c>
    </row>
    <row r="72" spans="7:10" x14ac:dyDescent="0.25">
      <c r="G72" s="1"/>
      <c r="H72" s="1"/>
      <c r="I72" s="6">
        <v>69</v>
      </c>
      <c r="J72" s="17">
        <f t="shared" si="1"/>
        <v>0.67583042792492853</v>
      </c>
    </row>
    <row r="73" spans="7:10" x14ac:dyDescent="0.25">
      <c r="G73" s="1"/>
      <c r="H73" s="1"/>
      <c r="I73" s="6">
        <v>70</v>
      </c>
      <c r="J73" s="17">
        <f t="shared" si="1"/>
        <v>0.66022929518892681</v>
      </c>
    </row>
    <row r="74" spans="7:10" x14ac:dyDescent="0.25">
      <c r="G74" s="1"/>
      <c r="H74" s="1"/>
      <c r="I74" s="6">
        <v>71</v>
      </c>
      <c r="J74" s="17">
        <f t="shared" si="1"/>
        <v>0.64515921352635719</v>
      </c>
    </row>
    <row r="75" spans="7:10" x14ac:dyDescent="0.25">
      <c r="G75" s="1"/>
      <c r="H75" s="1"/>
      <c r="I75" s="1"/>
    </row>
  </sheetData>
  <pageMargins left="0.7" right="0.7" top="0.75" bottom="0.75" header="0.3" footer="0.3"/>
  <headerFooter>
    <oddFooter>&amp;C_x000D_&amp;1#&amp;"Default"&amp;10&amp;KD89B2B Confidential - Company Proprietary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J75"/>
  <sheetViews>
    <sheetView zoomScale="80" zoomScaleNormal="80" workbookViewId="0">
      <selection activeCell="I3" sqref="I3:J74"/>
    </sheetView>
  </sheetViews>
  <sheetFormatPr defaultRowHeight="15" x14ac:dyDescent="0.25"/>
  <cols>
    <col min="3" max="3" width="23.5703125" bestFit="1" customWidth="1"/>
    <col min="4" max="4" width="24.42578125" bestFit="1" customWidth="1"/>
  </cols>
  <sheetData>
    <row r="1" spans="2:10" ht="15.75" thickBot="1" x14ac:dyDescent="0.3"/>
    <row r="2" spans="2:10" x14ac:dyDescent="0.25">
      <c r="B2" s="9" t="s">
        <v>8</v>
      </c>
      <c r="C2" s="19">
        <v>3.2280630709599231E-2</v>
      </c>
      <c r="D2" s="10" t="s">
        <v>0</v>
      </c>
      <c r="E2" s="11">
        <v>3.5010135607796742</v>
      </c>
      <c r="F2" s="10" t="s">
        <v>1</v>
      </c>
      <c r="G2" s="12">
        <v>0.18405919049443181</v>
      </c>
      <c r="I2" s="6" t="s">
        <v>2</v>
      </c>
      <c r="J2" s="6" t="s">
        <v>3</v>
      </c>
    </row>
    <row r="3" spans="2:10" ht="15.75" thickBot="1" x14ac:dyDescent="0.3">
      <c r="B3" s="13" t="s">
        <v>9</v>
      </c>
      <c r="C3" s="20">
        <f>(B6+B12)/2</f>
        <v>6050</v>
      </c>
      <c r="D3" s="14" t="s">
        <v>7</v>
      </c>
      <c r="E3" s="15">
        <v>0.31092757061456383</v>
      </c>
      <c r="F3" s="14"/>
      <c r="G3" s="16"/>
      <c r="I3" s="6">
        <v>0</v>
      </c>
      <c r="J3" s="17">
        <f>((1-C$2)*C$3*EXP(-$E$2*(I3^$G$2)))+(C$2*C$3*EXP(-$E$3*I3))</f>
        <v>6050.0000000000009</v>
      </c>
    </row>
    <row r="4" spans="2:10" x14ac:dyDescent="0.25">
      <c r="I4" s="6">
        <v>1</v>
      </c>
      <c r="J4" s="17">
        <f t="shared" ref="J4:J67" si="0">((1-C$2)*C$3*EXP(-$E$2*(I4^$G$2)))+(C$2*C$3*EXP(-$E$3*I4))</f>
        <v>319.72536766588382</v>
      </c>
    </row>
    <row r="5" spans="2:10" x14ac:dyDescent="0.25">
      <c r="B5" s="4" t="s">
        <v>4</v>
      </c>
      <c r="C5" s="5" t="s">
        <v>5</v>
      </c>
      <c r="D5" s="5" t="s">
        <v>6</v>
      </c>
      <c r="E5" s="2"/>
      <c r="I5" s="6">
        <v>2</v>
      </c>
      <c r="J5" s="17">
        <f t="shared" si="0"/>
        <v>214.54644566206596</v>
      </c>
    </row>
    <row r="6" spans="2:10" x14ac:dyDescent="0.25">
      <c r="B6" s="7">
        <v>6200</v>
      </c>
      <c r="C6" s="8">
        <v>0</v>
      </c>
      <c r="D6" s="7">
        <v>6050.0000000000009</v>
      </c>
      <c r="E6" s="2"/>
      <c r="G6" s="18"/>
      <c r="I6" s="6">
        <v>3</v>
      </c>
      <c r="J6" s="17">
        <f t="shared" si="0"/>
        <v>157.43286912256519</v>
      </c>
    </row>
    <row r="7" spans="2:10" x14ac:dyDescent="0.25">
      <c r="B7" s="7">
        <v>330</v>
      </c>
      <c r="C7" s="8">
        <v>0.68477620608950218</v>
      </c>
      <c r="D7" s="7">
        <v>381.40578313903359</v>
      </c>
      <c r="E7" s="2"/>
      <c r="I7" s="6">
        <v>4</v>
      </c>
      <c r="J7" s="17">
        <f t="shared" si="0"/>
        <v>120.14507421367964</v>
      </c>
    </row>
    <row r="8" spans="2:10" x14ac:dyDescent="0.25">
      <c r="B8" s="7">
        <v>310</v>
      </c>
      <c r="C8" s="8">
        <v>2.0277823050229209</v>
      </c>
      <c r="D8" s="7">
        <v>212.54095173206198</v>
      </c>
      <c r="E8" s="2"/>
      <c r="I8" s="6">
        <v>5</v>
      </c>
      <c r="J8" s="17">
        <f t="shared" si="0"/>
        <v>94.080337928462484</v>
      </c>
    </row>
    <row r="9" spans="2:10" x14ac:dyDescent="0.25">
      <c r="B9" s="7">
        <v>250</v>
      </c>
      <c r="C9" s="8">
        <v>3.3361547931803117</v>
      </c>
      <c r="D9" s="7">
        <v>143.26925770217809</v>
      </c>
      <c r="E9" s="2"/>
      <c r="I9" s="6">
        <v>6</v>
      </c>
      <c r="J9" s="17">
        <f t="shared" si="0"/>
        <v>75.21413893084187</v>
      </c>
    </row>
    <row r="10" spans="2:10" x14ac:dyDescent="0.25">
      <c r="B10" s="7">
        <v>104</v>
      </c>
      <c r="C10" s="8">
        <v>6.4613686363711409</v>
      </c>
      <c r="D10" s="7">
        <v>68.265446905420788</v>
      </c>
      <c r="E10" s="2"/>
      <c r="I10" s="6">
        <v>7</v>
      </c>
      <c r="J10" s="17">
        <f t="shared" si="0"/>
        <v>61.253689582040408</v>
      </c>
    </row>
    <row r="11" spans="2:10" x14ac:dyDescent="0.25">
      <c r="B11" s="7">
        <v>28</v>
      </c>
      <c r="C11" s="8">
        <v>17.107232048065356</v>
      </c>
      <c r="D11" s="7">
        <v>16.925462890973613</v>
      </c>
      <c r="E11" s="2"/>
      <c r="I11" s="6">
        <v>8</v>
      </c>
      <c r="J11" s="17">
        <f t="shared" si="0"/>
        <v>50.751714988408928</v>
      </c>
    </row>
    <row r="12" spans="2:10" x14ac:dyDescent="0.25">
      <c r="B12" s="7">
        <v>5900</v>
      </c>
      <c r="C12" s="8">
        <v>0</v>
      </c>
      <c r="D12" s="7">
        <v>6050.0000000000009</v>
      </c>
      <c r="E12" s="2"/>
      <c r="I12" s="6">
        <v>9</v>
      </c>
      <c r="J12" s="17">
        <f t="shared" si="0"/>
        <v>42.740527791655666</v>
      </c>
    </row>
    <row r="13" spans="2:10" x14ac:dyDescent="0.25">
      <c r="B13" s="7">
        <v>100</v>
      </c>
      <c r="C13" s="8">
        <v>2.0826639796112403</v>
      </c>
      <c r="D13" s="7">
        <v>208.6694111152616</v>
      </c>
      <c r="E13" s="2"/>
      <c r="I13" s="6">
        <v>10</v>
      </c>
      <c r="J13" s="17">
        <f t="shared" si="0"/>
        <v>36.550326440824954</v>
      </c>
    </row>
    <row r="14" spans="2:10" x14ac:dyDescent="0.25">
      <c r="B14" s="7">
        <v>68</v>
      </c>
      <c r="C14" s="8">
        <v>6.0290229911464595</v>
      </c>
      <c r="D14" s="7">
        <v>74.748358672735776</v>
      </c>
      <c r="I14" s="6">
        <v>11</v>
      </c>
      <c r="J14" s="17">
        <f t="shared" si="0"/>
        <v>31.707059168757045</v>
      </c>
    </row>
    <row r="15" spans="2:10" x14ac:dyDescent="0.25">
      <c r="B15" s="7">
        <v>18</v>
      </c>
      <c r="C15" s="8">
        <v>9.7004260896074399</v>
      </c>
      <c r="D15" s="7">
        <v>38.244911323704045</v>
      </c>
      <c r="I15" s="6">
        <v>12</v>
      </c>
      <c r="J15" s="17">
        <f t="shared" si="0"/>
        <v>27.870028966453457</v>
      </c>
    </row>
    <row r="16" spans="2:10" x14ac:dyDescent="0.25">
      <c r="B16" s="7">
        <v>17</v>
      </c>
      <c r="C16" s="8">
        <v>17.798458432026855</v>
      </c>
      <c r="D16" s="7">
        <v>16.065264101764157</v>
      </c>
      <c r="I16" s="6">
        <v>13</v>
      </c>
      <c r="J16" s="17">
        <f t="shared" si="0"/>
        <v>24.791587571490695</v>
      </c>
    </row>
    <row r="17" spans="2:10" x14ac:dyDescent="0.25">
      <c r="B17" s="7">
        <v>5</v>
      </c>
      <c r="C17" s="8">
        <v>38.846848099474983</v>
      </c>
      <c r="D17" s="7">
        <v>6.1029880994637242</v>
      </c>
      <c r="I17" s="6">
        <v>14</v>
      </c>
      <c r="J17" s="17">
        <f t="shared" si="0"/>
        <v>22.290096747448668</v>
      </c>
    </row>
    <row r="18" spans="2:10" x14ac:dyDescent="0.25">
      <c r="B18" s="2"/>
      <c r="C18" s="3"/>
      <c r="D18" s="2"/>
      <c r="I18" s="6">
        <v>15</v>
      </c>
      <c r="J18" s="17">
        <f t="shared" si="0"/>
        <v>20.231312648652544</v>
      </c>
    </row>
    <row r="19" spans="2:10" x14ac:dyDescent="0.25">
      <c r="B19" s="2"/>
      <c r="C19" s="3"/>
      <c r="D19" s="2"/>
      <c r="I19" s="6">
        <v>16</v>
      </c>
      <c r="J19" s="17">
        <f t="shared" si="0"/>
        <v>18.515332841721353</v>
      </c>
    </row>
    <row r="20" spans="2:10" x14ac:dyDescent="0.25">
      <c r="I20" s="6">
        <v>17</v>
      </c>
      <c r="J20" s="17">
        <f t="shared" si="0"/>
        <v>17.067321669152914</v>
      </c>
    </row>
    <row r="21" spans="2:10" x14ac:dyDescent="0.25">
      <c r="I21" s="6">
        <v>18</v>
      </c>
      <c r="J21" s="17">
        <f t="shared" si="0"/>
        <v>15.830854498590504</v>
      </c>
    </row>
    <row r="22" spans="2:10" x14ac:dyDescent="0.25">
      <c r="I22" s="6">
        <v>19</v>
      </c>
      <c r="J22" s="17">
        <f t="shared" si="0"/>
        <v>14.763104336163249</v>
      </c>
    </row>
    <row r="23" spans="2:10" x14ac:dyDescent="0.25">
      <c r="I23" s="6">
        <v>20</v>
      </c>
      <c r="J23" s="17">
        <f t="shared" si="0"/>
        <v>13.831338996822115</v>
      </c>
    </row>
    <row r="24" spans="2:10" x14ac:dyDescent="0.25">
      <c r="I24" s="6">
        <v>21</v>
      </c>
      <c r="J24" s="17">
        <f t="shared" si="0"/>
        <v>13.010358508975344</v>
      </c>
    </row>
    <row r="25" spans="2:10" x14ac:dyDescent="0.25">
      <c r="I25" s="6">
        <v>22</v>
      </c>
      <c r="J25" s="17">
        <f t="shared" si="0"/>
        <v>12.280611625420018</v>
      </c>
    </row>
    <row r="26" spans="2:10" x14ac:dyDescent="0.25">
      <c r="I26" s="6">
        <v>23</v>
      </c>
      <c r="J26" s="17">
        <f t="shared" si="0"/>
        <v>11.626805531955949</v>
      </c>
    </row>
    <row r="27" spans="2:10" x14ac:dyDescent="0.25">
      <c r="I27" s="6">
        <v>24</v>
      </c>
      <c r="J27" s="17">
        <f t="shared" si="0"/>
        <v>11.03687539968926</v>
      </c>
    </row>
    <row r="28" spans="2:10" x14ac:dyDescent="0.25">
      <c r="I28" s="6">
        <v>25</v>
      </c>
      <c r="J28" s="17">
        <f t="shared" si="0"/>
        <v>10.501217549182753</v>
      </c>
    </row>
    <row r="29" spans="2:10" x14ac:dyDescent="0.25">
      <c r="I29" s="6">
        <v>26</v>
      </c>
      <c r="J29" s="17">
        <f t="shared" si="0"/>
        <v>10.012116440299989</v>
      </c>
    </row>
    <row r="30" spans="2:10" x14ac:dyDescent="0.25">
      <c r="I30" s="6">
        <v>27</v>
      </c>
      <c r="J30" s="17">
        <f t="shared" si="0"/>
        <v>9.5633146690530708</v>
      </c>
    </row>
    <row r="31" spans="2:10" x14ac:dyDescent="0.25">
      <c r="I31" s="6">
        <v>28</v>
      </c>
      <c r="J31" s="17">
        <f t="shared" si="0"/>
        <v>9.1496888310459585</v>
      </c>
    </row>
    <row r="32" spans="2:10" x14ac:dyDescent="0.25">
      <c r="E32" s="1"/>
      <c r="F32" s="1"/>
      <c r="I32" s="6">
        <v>29</v>
      </c>
      <c r="J32" s="17">
        <f t="shared" si="0"/>
        <v>8.7670040195793515</v>
      </c>
    </row>
    <row r="33" spans="2:10" x14ac:dyDescent="0.25">
      <c r="E33" s="1"/>
      <c r="F33" s="1"/>
      <c r="I33" s="6">
        <v>30</v>
      </c>
      <c r="J33" s="17">
        <f t="shared" si="0"/>
        <v>8.4117269314342522</v>
      </c>
    </row>
    <row r="34" spans="2:10" x14ac:dyDescent="0.25">
      <c r="E34" s="1"/>
      <c r="F34" s="1"/>
      <c r="I34" s="6">
        <v>31</v>
      </c>
      <c r="J34" s="17">
        <f t="shared" si="0"/>
        <v>8.0808828096977958</v>
      </c>
    </row>
    <row r="35" spans="2:10" x14ac:dyDescent="0.25">
      <c r="B35" s="1"/>
      <c r="C35" s="1"/>
      <c r="D35" s="1"/>
      <c r="E35" s="1"/>
      <c r="F35" s="1"/>
      <c r="I35" s="6">
        <v>32</v>
      </c>
      <c r="J35" s="17">
        <f t="shared" si="0"/>
        <v>7.7719452989935798</v>
      </c>
    </row>
    <row r="36" spans="2:10" x14ac:dyDescent="0.25">
      <c r="B36" s="1"/>
      <c r="C36" s="1"/>
      <c r="D36" s="1"/>
      <c r="E36" s="1"/>
      <c r="F36" s="1"/>
      <c r="I36" s="6">
        <v>33</v>
      </c>
      <c r="J36" s="17">
        <f t="shared" si="0"/>
        <v>7.482751110101904</v>
      </c>
    </row>
    <row r="37" spans="2:10" x14ac:dyDescent="0.25">
      <c r="B37" s="1"/>
      <c r="C37" s="1"/>
      <c r="D37" s="1"/>
      <c r="E37" s="1"/>
      <c r="F37" s="1"/>
      <c r="I37" s="6">
        <v>34</v>
      </c>
      <c r="J37" s="17">
        <f t="shared" si="0"/>
        <v>7.211433466279658</v>
      </c>
    </row>
    <row r="38" spans="2:10" x14ac:dyDescent="0.25">
      <c r="B38" s="1"/>
      <c r="C38" s="1"/>
      <c r="D38" s="1"/>
      <c r="E38" s="1"/>
      <c r="F38" s="1"/>
      <c r="I38" s="6">
        <v>35</v>
      </c>
      <c r="J38" s="17">
        <f t="shared" si="0"/>
        <v>6.9563698337367033</v>
      </c>
    </row>
    <row r="39" spans="2:10" x14ac:dyDescent="0.25">
      <c r="B39" s="1"/>
      <c r="C39" s="1"/>
      <c r="D39" s="1"/>
      <c r="E39" s="1"/>
      <c r="F39" s="1"/>
      <c r="I39" s="6">
        <v>36</v>
      </c>
      <c r="J39" s="17">
        <f t="shared" si="0"/>
        <v>6.7161405696448773</v>
      </c>
    </row>
    <row r="40" spans="2:10" x14ac:dyDescent="0.25">
      <c r="B40" s="1"/>
      <c r="C40" s="1"/>
      <c r="D40" s="1"/>
      <c r="E40" s="1"/>
      <c r="F40" s="1"/>
      <c r="I40" s="6">
        <v>37</v>
      </c>
      <c r="J40" s="17">
        <f t="shared" si="0"/>
        <v>6.4894959589572023</v>
      </c>
    </row>
    <row r="41" spans="2:10" x14ac:dyDescent="0.25">
      <c r="B41" s="1"/>
      <c r="C41" s="1"/>
      <c r="D41" s="1"/>
      <c r="E41" s="1"/>
      <c r="F41" s="1"/>
      <c r="I41" s="6">
        <v>38</v>
      </c>
      <c r="J41" s="17">
        <f t="shared" si="0"/>
        <v>6.2753297336876139</v>
      </c>
    </row>
    <row r="42" spans="2:10" x14ac:dyDescent="0.25">
      <c r="B42" s="1"/>
      <c r="C42" s="1"/>
      <c r="D42" s="1"/>
      <c r="E42" s="1"/>
      <c r="F42" s="1"/>
      <c r="I42" s="6">
        <v>39</v>
      </c>
      <c r="J42" s="17">
        <f t="shared" si="0"/>
        <v>6.0726576318063916</v>
      </c>
    </row>
    <row r="43" spans="2:10" x14ac:dyDescent="0.25">
      <c r="B43" s="1"/>
      <c r="C43" s="1"/>
      <c r="D43" s="1"/>
      <c r="E43" s="1"/>
      <c r="F43" s="1"/>
      <c r="I43" s="6">
        <v>40</v>
      </c>
      <c r="J43" s="17">
        <f t="shared" si="0"/>
        <v>5.8805998990605097</v>
      </c>
    </row>
    <row r="44" spans="2:10" x14ac:dyDescent="0.25">
      <c r="B44" s="1"/>
      <c r="C44" s="1"/>
      <c r="D44" s="1"/>
      <c r="E44" s="1"/>
      <c r="F44" s="1"/>
      <c r="I44" s="6">
        <v>41</v>
      </c>
      <c r="J44" s="17">
        <f t="shared" si="0"/>
        <v>5.6983668963137379</v>
      </c>
    </row>
    <row r="45" spans="2:10" x14ac:dyDescent="0.25">
      <c r="B45" s="1"/>
      <c r="C45" s="1"/>
      <c r="D45" s="1"/>
      <c r="E45" s="1"/>
      <c r="F45" s="1"/>
      <c r="I45" s="6">
        <v>42</v>
      </c>
      <c r="J45" s="17">
        <f t="shared" si="0"/>
        <v>5.5252471698387611</v>
      </c>
    </row>
    <row r="46" spans="2:10" x14ac:dyDescent="0.25">
      <c r="B46" s="1"/>
      <c r="C46" s="1"/>
      <c r="D46" s="1"/>
      <c r="E46" s="1"/>
      <c r="F46" s="1"/>
      <c r="I46" s="6">
        <v>43</v>
      </c>
      <c r="J46" s="17">
        <f t="shared" si="0"/>
        <v>5.3605974889067065</v>
      </c>
    </row>
    <row r="47" spans="2:10" x14ac:dyDescent="0.25">
      <c r="B47" s="1"/>
      <c r="C47" s="1"/>
      <c r="D47" s="1"/>
      <c r="E47" s="1"/>
      <c r="F47" s="1"/>
      <c r="I47" s="6">
        <v>44</v>
      </c>
      <c r="J47" s="17">
        <f t="shared" si="0"/>
        <v>5.2038344662070628</v>
      </c>
    </row>
    <row r="48" spans="2:10" x14ac:dyDescent="0.25">
      <c r="B48" s="1"/>
      <c r="C48" s="1"/>
      <c r="D48" s="1"/>
      <c r="E48" s="1"/>
      <c r="F48" s="1"/>
      <c r="I48" s="6">
        <v>45</v>
      </c>
      <c r="J48" s="17">
        <f t="shared" si="0"/>
        <v>5.0544274611166538</v>
      </c>
    </row>
    <row r="49" spans="2:10" x14ac:dyDescent="0.25">
      <c r="B49" s="1"/>
      <c r="C49" s="1"/>
      <c r="D49" s="1"/>
      <c r="E49" s="1"/>
      <c r="F49" s="1"/>
      <c r="G49" s="1"/>
      <c r="H49" s="1"/>
      <c r="I49" s="6">
        <v>46</v>
      </c>
      <c r="J49" s="17">
        <f t="shared" si="0"/>
        <v>4.9118925303094674</v>
      </c>
    </row>
    <row r="50" spans="2:10" x14ac:dyDescent="0.25">
      <c r="B50" s="1"/>
      <c r="C50" s="1"/>
      <c r="D50" s="1"/>
      <c r="E50" s="1"/>
      <c r="F50" s="1"/>
      <c r="G50" s="1"/>
      <c r="H50" s="1"/>
      <c r="I50" s="6">
        <v>47</v>
      </c>
      <c r="J50" s="17">
        <f t="shared" si="0"/>
        <v>4.7757872396263403</v>
      </c>
    </row>
    <row r="51" spans="2:10" x14ac:dyDescent="0.25">
      <c r="B51" s="1"/>
      <c r="C51" s="1"/>
      <c r="D51" s="1"/>
      <c r="E51" s="1"/>
      <c r="F51" s="1"/>
      <c r="G51" s="1"/>
      <c r="H51" s="1"/>
      <c r="I51" s="6">
        <v>48</v>
      </c>
      <c r="J51" s="17">
        <f t="shared" si="0"/>
        <v>4.6457061892030103</v>
      </c>
    </row>
    <row r="52" spans="2:10" x14ac:dyDescent="0.25">
      <c r="B52" s="1"/>
      <c r="C52" s="1"/>
      <c r="D52" s="1"/>
      <c r="E52" s="1"/>
      <c r="F52" s="1"/>
      <c r="G52" s="1"/>
      <c r="H52" s="1"/>
      <c r="I52" s="6">
        <v>49</v>
      </c>
      <c r="J52" s="17">
        <f t="shared" si="0"/>
        <v>4.5212771333451549</v>
      </c>
    </row>
    <row r="53" spans="2:10" x14ac:dyDescent="0.25">
      <c r="B53" s="1"/>
      <c r="C53" s="1"/>
      <c r="D53" s="1"/>
      <c r="E53" s="1"/>
      <c r="F53" s="1"/>
      <c r="G53" s="1"/>
      <c r="H53" s="1"/>
      <c r="I53" s="6">
        <v>50</v>
      </c>
      <c r="J53" s="17">
        <f t="shared" si="0"/>
        <v>4.4021575996034938</v>
      </c>
    </row>
    <row r="54" spans="2:10" x14ac:dyDescent="0.25">
      <c r="B54" s="1"/>
      <c r="C54" s="1"/>
      <c r="D54" s="1"/>
      <c r="E54" s="1"/>
      <c r="F54" s="1"/>
      <c r="G54" s="1"/>
      <c r="H54" s="1"/>
      <c r="I54" s="6">
        <v>51</v>
      </c>
      <c r="J54" s="17">
        <f t="shared" si="0"/>
        <v>4.2880319294879614</v>
      </c>
    </row>
    <row r="55" spans="2:10" x14ac:dyDescent="0.25">
      <c r="B55" s="1"/>
      <c r="C55" s="1"/>
      <c r="D55" s="1"/>
      <c r="E55" s="1"/>
      <c r="F55" s="1"/>
      <c r="G55" s="1"/>
      <c r="H55" s="1"/>
      <c r="I55" s="6">
        <v>52</v>
      </c>
      <c r="J55" s="17">
        <f t="shared" si="0"/>
        <v>4.1786086774315914</v>
      </c>
    </row>
    <row r="56" spans="2:10" x14ac:dyDescent="0.25">
      <c r="B56" s="1"/>
      <c r="C56" s="1"/>
      <c r="D56" s="1"/>
      <c r="E56" s="1"/>
      <c r="F56" s="1"/>
      <c r="G56" s="1"/>
      <c r="H56" s="1"/>
      <c r="I56" s="6">
        <v>53</v>
      </c>
      <c r="J56" s="17">
        <f t="shared" si="0"/>
        <v>4.0736183158499673</v>
      </c>
    </row>
    <row r="57" spans="2:10" x14ac:dyDescent="0.25">
      <c r="B57" s="1"/>
      <c r="C57" s="1"/>
      <c r="D57" s="1"/>
      <c r="E57" s="1"/>
      <c r="F57" s="1"/>
      <c r="G57" s="1"/>
      <c r="H57" s="1"/>
      <c r="I57" s="6">
        <v>54</v>
      </c>
      <c r="J57" s="17">
        <f t="shared" si="0"/>
        <v>3.9728112031060743</v>
      </c>
    </row>
    <row r="58" spans="2:10" x14ac:dyDescent="0.25">
      <c r="B58" s="1"/>
      <c r="C58" s="1"/>
      <c r="D58" s="1"/>
      <c r="E58" s="1"/>
      <c r="F58" s="1"/>
      <c r="G58" s="1"/>
      <c r="H58" s="1"/>
      <c r="I58" s="6">
        <v>55</v>
      </c>
      <c r="J58" s="17">
        <f t="shared" si="0"/>
        <v>3.8759557783880152</v>
      </c>
    </row>
    <row r="59" spans="2:10" x14ac:dyDescent="0.25">
      <c r="B59" s="1"/>
      <c r="C59" s="1"/>
      <c r="D59" s="1"/>
      <c r="G59" s="1"/>
      <c r="H59" s="1"/>
      <c r="I59" s="6">
        <v>56</v>
      </c>
      <c r="J59" s="17">
        <f t="shared" si="0"/>
        <v>3.7828369533237738</v>
      </c>
    </row>
    <row r="60" spans="2:10" x14ac:dyDescent="0.25">
      <c r="B60" s="1"/>
      <c r="C60" s="1"/>
      <c r="D60" s="1"/>
      <c r="G60" s="1"/>
      <c r="H60" s="1"/>
      <c r="I60" s="6">
        <v>57</v>
      </c>
      <c r="J60" s="17">
        <f t="shared" si="0"/>
        <v>3.6932546748881703</v>
      </c>
    </row>
    <row r="61" spans="2:10" x14ac:dyDescent="0.25">
      <c r="B61" s="1"/>
      <c r="C61" s="1"/>
      <c r="D61" s="1"/>
      <c r="G61" s="1"/>
      <c r="H61" s="1"/>
      <c r="I61" s="6">
        <v>58</v>
      </c>
      <c r="J61" s="17">
        <f t="shared" si="0"/>
        <v>3.6070226380292754</v>
      </c>
    </row>
    <row r="62" spans="2:10" x14ac:dyDescent="0.25">
      <c r="G62" s="1"/>
      <c r="H62" s="1"/>
      <c r="I62" s="6">
        <v>59</v>
      </c>
      <c r="J62" s="17">
        <f t="shared" si="0"/>
        <v>3.5239671296308575</v>
      </c>
    </row>
    <row r="63" spans="2:10" x14ac:dyDescent="0.25">
      <c r="G63" s="1"/>
      <c r="H63" s="1"/>
      <c r="I63" s="6">
        <v>60</v>
      </c>
      <c r="J63" s="17">
        <f t="shared" si="0"/>
        <v>3.4439259880692927</v>
      </c>
    </row>
    <row r="64" spans="2:10" x14ac:dyDescent="0.25">
      <c r="G64" s="1"/>
      <c r="H64" s="1"/>
      <c r="I64" s="6">
        <v>61</v>
      </c>
      <c r="J64" s="17">
        <f t="shared" si="0"/>
        <v>3.3667476648253802</v>
      </c>
    </row>
    <row r="65" spans="7:10" x14ac:dyDescent="0.25">
      <c r="G65" s="1"/>
      <c r="H65" s="1"/>
      <c r="I65" s="6">
        <v>62</v>
      </c>
      <c r="J65" s="17">
        <f t="shared" si="0"/>
        <v>3.2922903764567377</v>
      </c>
    </row>
    <row r="66" spans="7:10" x14ac:dyDescent="0.25">
      <c r="G66" s="1"/>
      <c r="H66" s="1"/>
      <c r="I66" s="6">
        <v>63</v>
      </c>
      <c r="J66" s="17">
        <f t="shared" si="0"/>
        <v>3.2204213367902423</v>
      </c>
    </row>
    <row r="67" spans="7:10" x14ac:dyDescent="0.25">
      <c r="G67" s="1"/>
      <c r="H67" s="1"/>
      <c r="I67" s="6">
        <v>64</v>
      </c>
      <c r="J67" s="17">
        <f t="shared" si="0"/>
        <v>3.1510160605102064</v>
      </c>
    </row>
    <row r="68" spans="7:10" x14ac:dyDescent="0.25">
      <c r="G68" s="1"/>
      <c r="H68" s="1"/>
      <c r="I68" s="6">
        <v>65</v>
      </c>
      <c r="J68" s="17">
        <f t="shared" ref="J68:J74" si="1">((1-C$2)*C$3*EXP(-$E$2*(I68^$G$2)))+(C$2*C$3*EXP(-$E$3*I68))</f>
        <v>3.0839577304369628</v>
      </c>
    </row>
    <row r="69" spans="7:10" x14ac:dyDescent="0.25">
      <c r="G69" s="1"/>
      <c r="H69" s="1"/>
      <c r="I69" s="6">
        <v>66</v>
      </c>
      <c r="J69" s="17">
        <f t="shared" si="1"/>
        <v>3.0191366217467586</v>
      </c>
    </row>
    <row r="70" spans="7:10" x14ac:dyDescent="0.25">
      <c r="G70" s="1"/>
      <c r="H70" s="1"/>
      <c r="I70" s="6">
        <v>67</v>
      </c>
      <c r="J70" s="17">
        <f t="shared" si="1"/>
        <v>2.9564495772040646</v>
      </c>
    </row>
    <row r="71" spans="7:10" x14ac:dyDescent="0.25">
      <c r="G71" s="1"/>
      <c r="H71" s="1"/>
      <c r="I71" s="6">
        <v>68</v>
      </c>
      <c r="J71" s="17">
        <f t="shared" si="1"/>
        <v>2.8957995281839199</v>
      </c>
    </row>
    <row r="72" spans="7:10" x14ac:dyDescent="0.25">
      <c r="G72" s="1"/>
      <c r="H72" s="1"/>
      <c r="I72" s="6">
        <v>69</v>
      </c>
      <c r="J72" s="17">
        <f t="shared" si="1"/>
        <v>2.8370950568722884</v>
      </c>
    </row>
    <row r="73" spans="7:10" x14ac:dyDescent="0.25">
      <c r="G73" s="1"/>
      <c r="H73" s="1"/>
      <c r="I73" s="6">
        <v>70</v>
      </c>
      <c r="J73" s="17">
        <f t="shared" si="1"/>
        <v>2.7802499955619826</v>
      </c>
    </row>
    <row r="74" spans="7:10" x14ac:dyDescent="0.25">
      <c r="G74" s="1"/>
      <c r="H74" s="1"/>
      <c r="I74" s="6">
        <v>71</v>
      </c>
      <c r="J74" s="17">
        <f t="shared" si="1"/>
        <v>2.7251830594222524</v>
      </c>
    </row>
    <row r="75" spans="7:10" x14ac:dyDescent="0.25">
      <c r="G75" s="1"/>
      <c r="H75" s="1"/>
      <c r="I75" s="1"/>
    </row>
  </sheetData>
  <pageMargins left="0.7" right="0.7" top="0.75" bottom="0.75" header="0.3" footer="0.3"/>
  <headerFooter>
    <oddFooter>&amp;C_x000D_&amp;1#&amp;"Default"&amp;10&amp;KD89B2B Confidential - Company Proprietary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J75"/>
  <sheetViews>
    <sheetView zoomScale="80" zoomScaleNormal="80" workbookViewId="0">
      <selection activeCell="I3" sqref="I3:J74"/>
    </sheetView>
  </sheetViews>
  <sheetFormatPr defaultRowHeight="15" x14ac:dyDescent="0.25"/>
  <cols>
    <col min="3" max="3" width="23.5703125" bestFit="1" customWidth="1"/>
    <col min="4" max="4" width="24.42578125" bestFit="1" customWidth="1"/>
  </cols>
  <sheetData>
    <row r="1" spans="2:10" ht="15.75" thickBot="1" x14ac:dyDescent="0.3"/>
    <row r="2" spans="2:10" x14ac:dyDescent="0.25">
      <c r="B2" s="9" t="s">
        <v>8</v>
      </c>
      <c r="C2" s="19">
        <v>7.2397375378663873E-3</v>
      </c>
      <c r="D2" s="10" t="s">
        <v>0</v>
      </c>
      <c r="E2" s="11">
        <v>0.85507523850202549</v>
      </c>
      <c r="F2" s="10" t="s">
        <v>1</v>
      </c>
      <c r="G2" s="12">
        <v>0.87906238975687856</v>
      </c>
      <c r="I2" s="6" t="s">
        <v>2</v>
      </c>
      <c r="J2" s="6" t="s">
        <v>3</v>
      </c>
    </row>
    <row r="3" spans="2:10" ht="15.75" thickBot="1" x14ac:dyDescent="0.3">
      <c r="B3" s="13" t="s">
        <v>9</v>
      </c>
      <c r="C3" s="20">
        <f>(B6+B12)/2</f>
        <v>107000</v>
      </c>
      <c r="D3" s="14" t="s">
        <v>7</v>
      </c>
      <c r="E3" s="15">
        <v>0</v>
      </c>
      <c r="F3" s="14"/>
      <c r="G3" s="16"/>
      <c r="I3" s="6">
        <v>0</v>
      </c>
      <c r="J3" s="17">
        <f>((1-C$2)*C$3*EXP(-$E$2*(I3^$G$2)))+(C$2*C$3*EXP(-$E$3*I3))</f>
        <v>107000</v>
      </c>
    </row>
    <row r="4" spans="2:10" x14ac:dyDescent="0.25">
      <c r="I4" s="6">
        <v>1</v>
      </c>
      <c r="J4" s="17">
        <f t="shared" ref="J4:J67" si="0">((1-C$2)*C$3*EXP(-$E$2*(I4^$G$2)))+(C$2*C$3*EXP(-$E$3*I4))</f>
        <v>45947.108087510758</v>
      </c>
    </row>
    <row r="5" spans="2:10" x14ac:dyDescent="0.25">
      <c r="B5" s="4" t="s">
        <v>4</v>
      </c>
      <c r="C5" s="5" t="s">
        <v>5</v>
      </c>
      <c r="D5" s="5" t="s">
        <v>6</v>
      </c>
      <c r="E5" s="2"/>
      <c r="I5" s="6">
        <v>2</v>
      </c>
      <c r="J5" s="17">
        <f t="shared" si="0"/>
        <v>22816.124697170271</v>
      </c>
    </row>
    <row r="6" spans="2:10" x14ac:dyDescent="0.25">
      <c r="B6" s="7">
        <v>98000</v>
      </c>
      <c r="C6" s="8">
        <v>0</v>
      </c>
      <c r="D6" s="7">
        <v>107000</v>
      </c>
      <c r="E6" s="2"/>
      <c r="I6" s="6">
        <v>3</v>
      </c>
      <c r="J6" s="17">
        <f t="shared" si="0"/>
        <v>12014.785490368227</v>
      </c>
    </row>
    <row r="7" spans="2:10" x14ac:dyDescent="0.25">
      <c r="B7" s="7">
        <v>50000</v>
      </c>
      <c r="C7" s="8">
        <v>0.68477620608950218</v>
      </c>
      <c r="D7" s="7">
        <v>58320.947548162061</v>
      </c>
      <c r="E7" s="2"/>
      <c r="I7" s="6">
        <v>4</v>
      </c>
      <c r="J7" s="17">
        <f t="shared" si="0"/>
        <v>6664.3274617656725</v>
      </c>
    </row>
    <row r="8" spans="2:10" x14ac:dyDescent="0.25">
      <c r="B8" s="7">
        <v>60000</v>
      </c>
      <c r="C8" s="8">
        <v>2.0277823050229209</v>
      </c>
      <c r="D8" s="7">
        <v>22397.230738682611</v>
      </c>
      <c r="E8" s="2"/>
      <c r="I8" s="6">
        <v>5</v>
      </c>
      <c r="J8" s="17">
        <f t="shared" si="0"/>
        <v>3921.4136913019852</v>
      </c>
    </row>
    <row r="9" spans="2:10" x14ac:dyDescent="0.25">
      <c r="B9" s="7">
        <v>64000</v>
      </c>
      <c r="C9" s="8">
        <v>3.3361547931803117</v>
      </c>
      <c r="D9" s="7">
        <v>9796.8826651471791</v>
      </c>
      <c r="E9" s="2"/>
      <c r="I9" s="6">
        <v>6</v>
      </c>
      <c r="J9" s="17">
        <f t="shared" si="0"/>
        <v>2481.4733624176647</v>
      </c>
    </row>
    <row r="10" spans="2:10" x14ac:dyDescent="0.25">
      <c r="B10" s="7">
        <v>3500</v>
      </c>
      <c r="C10" s="8">
        <v>6.4613686363711409</v>
      </c>
      <c r="D10" s="7">
        <v>2067.2624966613271</v>
      </c>
      <c r="E10" s="2"/>
      <c r="I10" s="6">
        <v>7</v>
      </c>
      <c r="J10" s="17">
        <f t="shared" si="0"/>
        <v>1711.8681672573446</v>
      </c>
    </row>
    <row r="11" spans="2:10" x14ac:dyDescent="0.25">
      <c r="B11" s="7">
        <v>940</v>
      </c>
      <c r="C11" s="8">
        <v>17.107232048065356</v>
      </c>
      <c r="D11" s="7">
        <v>777.9618515619494</v>
      </c>
      <c r="E11" s="2"/>
      <c r="I11" s="6">
        <v>8</v>
      </c>
      <c r="J11" s="17">
        <f t="shared" si="0"/>
        <v>1294.6083626841305</v>
      </c>
    </row>
    <row r="12" spans="2:10" x14ac:dyDescent="0.25">
      <c r="B12" s="7">
        <v>116000</v>
      </c>
      <c r="C12" s="8">
        <v>0</v>
      </c>
      <c r="D12" s="7">
        <v>107000</v>
      </c>
      <c r="E12" s="2"/>
      <c r="I12" s="6">
        <v>9</v>
      </c>
      <c r="J12" s="17">
        <f t="shared" si="0"/>
        <v>1065.6859010170733</v>
      </c>
    </row>
    <row r="13" spans="2:10" x14ac:dyDescent="0.25">
      <c r="B13" s="7">
        <v>1800</v>
      </c>
      <c r="C13" s="8">
        <v>2.0826639796112403</v>
      </c>
      <c r="D13" s="7">
        <v>21594.925647633743</v>
      </c>
      <c r="I13" s="6">
        <v>10</v>
      </c>
      <c r="J13" s="17">
        <f t="shared" si="0"/>
        <v>938.82111818756755</v>
      </c>
    </row>
    <row r="14" spans="2:10" x14ac:dyDescent="0.25">
      <c r="B14" s="7">
        <v>960</v>
      </c>
      <c r="C14" s="8">
        <v>6.0290229911464595</v>
      </c>
      <c r="D14" s="7">
        <v>2451.7627140272057</v>
      </c>
      <c r="I14" s="6">
        <v>11</v>
      </c>
      <c r="J14" s="17">
        <f t="shared" si="0"/>
        <v>867.8987231965408</v>
      </c>
    </row>
    <row r="15" spans="2:10" x14ac:dyDescent="0.25">
      <c r="B15" s="7">
        <v>625</v>
      </c>
      <c r="C15" s="8">
        <v>9.7004260896074399</v>
      </c>
      <c r="D15" s="7">
        <v>969.39035156696332</v>
      </c>
      <c r="I15" s="6">
        <v>12</v>
      </c>
      <c r="J15" s="17">
        <f t="shared" si="0"/>
        <v>827.94443126385192</v>
      </c>
    </row>
    <row r="16" spans="2:10" x14ac:dyDescent="0.25">
      <c r="B16" s="7">
        <v>376</v>
      </c>
      <c r="C16" s="8">
        <v>17.798458432026855</v>
      </c>
      <c r="D16" s="7">
        <v>776.94353234212076</v>
      </c>
      <c r="I16" s="6">
        <v>13</v>
      </c>
      <c r="J16" s="17">
        <f t="shared" si="0"/>
        <v>805.28126847327735</v>
      </c>
    </row>
    <row r="17" spans="2:10" x14ac:dyDescent="0.25">
      <c r="B17" s="7">
        <v>1890</v>
      </c>
      <c r="C17" s="8">
        <v>38.846848099474983</v>
      </c>
      <c r="D17" s="7">
        <v>774.65197401504304</v>
      </c>
      <c r="I17" s="6">
        <v>14</v>
      </c>
      <c r="J17" s="17">
        <f t="shared" si="0"/>
        <v>792.34644364751136</v>
      </c>
    </row>
    <row r="18" spans="2:10" x14ac:dyDescent="0.25">
      <c r="B18" s="2"/>
      <c r="C18" s="3"/>
      <c r="D18" s="2"/>
      <c r="I18" s="6">
        <v>15</v>
      </c>
      <c r="J18" s="17">
        <f t="shared" si="0"/>
        <v>784.92241714812735</v>
      </c>
    </row>
    <row r="19" spans="2:10" x14ac:dyDescent="0.25">
      <c r="B19" s="2"/>
      <c r="C19" s="3"/>
      <c r="D19" s="2"/>
      <c r="I19" s="6">
        <v>16</v>
      </c>
      <c r="J19" s="17">
        <f t="shared" si="0"/>
        <v>780.63937950342881</v>
      </c>
    </row>
    <row r="20" spans="2:10" x14ac:dyDescent="0.25">
      <c r="I20" s="6">
        <v>17</v>
      </c>
      <c r="J20" s="17">
        <f t="shared" si="0"/>
        <v>778.15669002481593</v>
      </c>
    </row>
    <row r="21" spans="2:10" x14ac:dyDescent="0.25">
      <c r="I21" s="6">
        <v>18</v>
      </c>
      <c r="J21" s="17">
        <f t="shared" si="0"/>
        <v>776.71125055773348</v>
      </c>
    </row>
    <row r="22" spans="2:10" x14ac:dyDescent="0.25">
      <c r="I22" s="6">
        <v>19</v>
      </c>
      <c r="J22" s="17">
        <f t="shared" si="0"/>
        <v>775.8662580981179</v>
      </c>
    </row>
    <row r="23" spans="2:10" x14ac:dyDescent="0.25">
      <c r="I23" s="6">
        <v>20</v>
      </c>
      <c r="J23" s="17">
        <f t="shared" si="0"/>
        <v>775.37039056358935</v>
      </c>
    </row>
    <row r="24" spans="2:10" x14ac:dyDescent="0.25">
      <c r="I24" s="6">
        <v>21</v>
      </c>
      <c r="J24" s="17">
        <f t="shared" si="0"/>
        <v>775.07835463745255</v>
      </c>
    </row>
    <row r="25" spans="2:10" x14ac:dyDescent="0.25">
      <c r="I25" s="6">
        <v>22</v>
      </c>
      <c r="J25" s="17">
        <f t="shared" si="0"/>
        <v>774.90578129656433</v>
      </c>
    </row>
    <row r="26" spans="2:10" x14ac:dyDescent="0.25">
      <c r="I26" s="6">
        <v>23</v>
      </c>
      <c r="J26" s="17">
        <f t="shared" si="0"/>
        <v>774.80347638175522</v>
      </c>
    </row>
    <row r="27" spans="2:10" x14ac:dyDescent="0.25">
      <c r="I27" s="6">
        <v>24</v>
      </c>
      <c r="J27" s="17">
        <f t="shared" si="0"/>
        <v>774.74264449164093</v>
      </c>
    </row>
    <row r="28" spans="2:10" x14ac:dyDescent="0.25">
      <c r="I28" s="6">
        <v>25</v>
      </c>
      <c r="J28" s="17">
        <f t="shared" si="0"/>
        <v>774.7063691277184</v>
      </c>
    </row>
    <row r="29" spans="2:10" x14ac:dyDescent="0.25">
      <c r="I29" s="6">
        <v>26</v>
      </c>
      <c r="J29" s="17">
        <f t="shared" si="0"/>
        <v>774.68467822733089</v>
      </c>
    </row>
    <row r="30" spans="2:10" x14ac:dyDescent="0.25">
      <c r="I30" s="6">
        <v>27</v>
      </c>
      <c r="J30" s="17">
        <f t="shared" si="0"/>
        <v>774.67167432593919</v>
      </c>
    </row>
    <row r="31" spans="2:10" x14ac:dyDescent="0.25">
      <c r="E31" s="1"/>
      <c r="F31" s="1"/>
      <c r="I31" s="6">
        <v>28</v>
      </c>
      <c r="J31" s="17">
        <f t="shared" si="0"/>
        <v>774.66385895464964</v>
      </c>
    </row>
    <row r="32" spans="2:10" x14ac:dyDescent="0.25">
      <c r="E32" s="1"/>
      <c r="F32" s="1"/>
      <c r="I32" s="6">
        <v>29</v>
      </c>
      <c r="J32" s="17">
        <f t="shared" si="0"/>
        <v>774.65915070945857</v>
      </c>
    </row>
    <row r="33" spans="2:10" x14ac:dyDescent="0.25">
      <c r="B33" s="1"/>
      <c r="C33" s="1"/>
      <c r="D33" s="1"/>
      <c r="E33" s="1"/>
      <c r="F33" s="1"/>
      <c r="I33" s="6">
        <v>30</v>
      </c>
      <c r="J33" s="17">
        <f t="shared" si="0"/>
        <v>774.65630782443816</v>
      </c>
    </row>
    <row r="34" spans="2:10" x14ac:dyDescent="0.25">
      <c r="B34" s="1"/>
      <c r="C34" s="1"/>
      <c r="D34" s="1"/>
      <c r="E34" s="1"/>
      <c r="F34" s="1"/>
      <c r="I34" s="6">
        <v>31</v>
      </c>
      <c r="J34" s="17">
        <f t="shared" si="0"/>
        <v>774.65458749842526</v>
      </c>
    </row>
    <row r="35" spans="2:10" x14ac:dyDescent="0.25">
      <c r="B35" s="1"/>
      <c r="C35" s="1"/>
      <c r="D35" s="1"/>
      <c r="E35" s="1"/>
      <c r="F35" s="1"/>
      <c r="I35" s="6">
        <v>32</v>
      </c>
      <c r="J35" s="17">
        <f t="shared" si="0"/>
        <v>774.65354427628642</v>
      </c>
    </row>
    <row r="36" spans="2:10" x14ac:dyDescent="0.25">
      <c r="B36" s="1"/>
      <c r="C36" s="1"/>
      <c r="D36" s="1"/>
      <c r="E36" s="1"/>
      <c r="F36" s="1"/>
      <c r="I36" s="6">
        <v>33</v>
      </c>
      <c r="J36" s="17">
        <f t="shared" si="0"/>
        <v>774.65291037253064</v>
      </c>
    </row>
    <row r="37" spans="2:10" x14ac:dyDescent="0.25">
      <c r="B37" s="1"/>
      <c r="C37" s="1"/>
      <c r="D37" s="1"/>
      <c r="E37" s="1"/>
      <c r="F37" s="1"/>
      <c r="I37" s="6">
        <v>34</v>
      </c>
      <c r="J37" s="17">
        <f t="shared" si="0"/>
        <v>774.65252443361021</v>
      </c>
    </row>
    <row r="38" spans="2:10" x14ac:dyDescent="0.25">
      <c r="B38" s="1"/>
      <c r="C38" s="1"/>
      <c r="D38" s="1"/>
      <c r="E38" s="1"/>
      <c r="F38" s="1"/>
      <c r="I38" s="6">
        <v>35</v>
      </c>
      <c r="J38" s="17">
        <f t="shared" si="0"/>
        <v>774.6522890192897</v>
      </c>
    </row>
    <row r="39" spans="2:10" x14ac:dyDescent="0.25">
      <c r="B39" s="1"/>
      <c r="C39" s="1"/>
      <c r="D39" s="1"/>
      <c r="E39" s="1"/>
      <c r="F39" s="1"/>
      <c r="I39" s="6">
        <v>36</v>
      </c>
      <c r="J39" s="17">
        <f t="shared" si="0"/>
        <v>774.65214515982257</v>
      </c>
    </row>
    <row r="40" spans="2:10" x14ac:dyDescent="0.25">
      <c r="B40" s="1"/>
      <c r="C40" s="1"/>
      <c r="D40" s="1"/>
      <c r="E40" s="1"/>
      <c r="F40" s="1"/>
      <c r="I40" s="6">
        <v>37</v>
      </c>
      <c r="J40" s="17">
        <f t="shared" si="0"/>
        <v>774.65205709362783</v>
      </c>
    </row>
    <row r="41" spans="2:10" x14ac:dyDescent="0.25">
      <c r="B41" s="1"/>
      <c r="C41" s="1"/>
      <c r="D41" s="1"/>
      <c r="E41" s="1"/>
      <c r="F41" s="1"/>
      <c r="I41" s="6">
        <v>38</v>
      </c>
      <c r="J41" s="17">
        <f t="shared" si="0"/>
        <v>774.65200309027216</v>
      </c>
    </row>
    <row r="42" spans="2:10" x14ac:dyDescent="0.25">
      <c r="B42" s="1"/>
      <c r="C42" s="1"/>
      <c r="D42" s="1"/>
      <c r="E42" s="1"/>
      <c r="F42" s="1"/>
      <c r="I42" s="6">
        <v>39</v>
      </c>
      <c r="J42" s="17">
        <f t="shared" si="0"/>
        <v>774.65196991993025</v>
      </c>
    </row>
    <row r="43" spans="2:10" x14ac:dyDescent="0.25">
      <c r="B43" s="1"/>
      <c r="C43" s="1"/>
      <c r="D43" s="1"/>
      <c r="E43" s="1"/>
      <c r="F43" s="1"/>
      <c r="I43" s="6">
        <v>40</v>
      </c>
      <c r="J43" s="17">
        <f t="shared" si="0"/>
        <v>774.65194951312117</v>
      </c>
    </row>
    <row r="44" spans="2:10" x14ac:dyDescent="0.25">
      <c r="B44" s="1"/>
      <c r="C44" s="1"/>
      <c r="D44" s="1"/>
      <c r="E44" s="1"/>
      <c r="F44" s="1"/>
      <c r="I44" s="6">
        <v>41</v>
      </c>
      <c r="J44" s="17">
        <f t="shared" si="0"/>
        <v>774.65193693905644</v>
      </c>
    </row>
    <row r="45" spans="2:10" x14ac:dyDescent="0.25">
      <c r="B45" s="1"/>
      <c r="C45" s="1"/>
      <c r="D45" s="1"/>
      <c r="E45" s="1"/>
      <c r="F45" s="1"/>
      <c r="I45" s="6">
        <v>42</v>
      </c>
      <c r="J45" s="17">
        <f t="shared" si="0"/>
        <v>774.65192917958211</v>
      </c>
    </row>
    <row r="46" spans="2:10" x14ac:dyDescent="0.25">
      <c r="B46" s="1"/>
      <c r="C46" s="1"/>
      <c r="D46" s="1"/>
      <c r="E46" s="1"/>
      <c r="F46" s="1"/>
      <c r="I46" s="6">
        <v>43</v>
      </c>
      <c r="J46" s="17">
        <f t="shared" si="0"/>
        <v>774.65192438416318</v>
      </c>
    </row>
    <row r="47" spans="2:10" x14ac:dyDescent="0.25">
      <c r="B47" s="1"/>
      <c r="C47" s="1"/>
      <c r="D47" s="1"/>
      <c r="E47" s="1"/>
      <c r="F47" s="1"/>
      <c r="I47" s="6">
        <v>44</v>
      </c>
      <c r="J47" s="17">
        <f t="shared" si="0"/>
        <v>774.65192141631962</v>
      </c>
    </row>
    <row r="48" spans="2:10" x14ac:dyDescent="0.25">
      <c r="B48" s="1"/>
      <c r="C48" s="1"/>
      <c r="D48" s="1"/>
      <c r="E48" s="1"/>
      <c r="F48" s="1"/>
      <c r="I48" s="6">
        <v>45</v>
      </c>
      <c r="J48" s="17">
        <f t="shared" si="0"/>
        <v>774.6519195769921</v>
      </c>
    </row>
    <row r="49" spans="2:10" x14ac:dyDescent="0.25">
      <c r="B49" s="1"/>
      <c r="C49" s="1"/>
      <c r="D49" s="1"/>
      <c r="E49" s="1"/>
      <c r="F49" s="1"/>
      <c r="G49" s="1"/>
      <c r="H49" s="1"/>
      <c r="I49" s="6">
        <v>46</v>
      </c>
      <c r="J49" s="17">
        <f t="shared" si="0"/>
        <v>774.65191843552054</v>
      </c>
    </row>
    <row r="50" spans="2:10" x14ac:dyDescent="0.25">
      <c r="B50" s="1"/>
      <c r="C50" s="1"/>
      <c r="D50" s="1"/>
      <c r="E50" s="1"/>
      <c r="F50" s="1"/>
      <c r="G50" s="1"/>
      <c r="H50" s="1"/>
      <c r="I50" s="6">
        <v>47</v>
      </c>
      <c r="J50" s="17">
        <f t="shared" si="0"/>
        <v>774.65191772619755</v>
      </c>
    </row>
    <row r="51" spans="2:10" x14ac:dyDescent="0.25">
      <c r="B51" s="1"/>
      <c r="C51" s="1"/>
      <c r="D51" s="1"/>
      <c r="E51" s="1"/>
      <c r="F51" s="1"/>
      <c r="G51" s="1"/>
      <c r="H51" s="1"/>
      <c r="I51" s="6">
        <v>48</v>
      </c>
      <c r="J51" s="17">
        <f t="shared" si="0"/>
        <v>774.65191728484922</v>
      </c>
    </row>
    <row r="52" spans="2:10" x14ac:dyDescent="0.25">
      <c r="B52" s="1"/>
      <c r="C52" s="1"/>
      <c r="D52" s="1"/>
      <c r="E52" s="1"/>
      <c r="F52" s="1"/>
      <c r="G52" s="1"/>
      <c r="H52" s="1"/>
      <c r="I52" s="6">
        <v>49</v>
      </c>
      <c r="J52" s="17">
        <f t="shared" si="0"/>
        <v>774.6519170098926</v>
      </c>
    </row>
    <row r="53" spans="2:10" x14ac:dyDescent="0.25">
      <c r="B53" s="1"/>
      <c r="C53" s="1"/>
      <c r="D53" s="1"/>
      <c r="E53" s="1"/>
      <c r="F53" s="1"/>
      <c r="G53" s="1"/>
      <c r="H53" s="1"/>
      <c r="I53" s="6">
        <v>50</v>
      </c>
      <c r="J53" s="17">
        <f t="shared" si="0"/>
        <v>774.65191683838691</v>
      </c>
    </row>
    <row r="54" spans="2:10" x14ac:dyDescent="0.25">
      <c r="B54" s="1"/>
      <c r="C54" s="1"/>
      <c r="D54" s="1"/>
      <c r="E54" s="1"/>
      <c r="F54" s="1"/>
      <c r="G54" s="1"/>
      <c r="H54" s="1"/>
      <c r="I54" s="6">
        <v>51</v>
      </c>
      <c r="J54" s="17">
        <f t="shared" si="0"/>
        <v>774.65191673128118</v>
      </c>
    </row>
    <row r="55" spans="2:10" x14ac:dyDescent="0.25">
      <c r="B55" s="1"/>
      <c r="C55" s="1"/>
      <c r="D55" s="1"/>
      <c r="E55" s="1"/>
      <c r="F55" s="1"/>
      <c r="G55" s="1"/>
      <c r="H55" s="1"/>
      <c r="I55" s="6">
        <v>52</v>
      </c>
      <c r="J55" s="17">
        <f t="shared" si="0"/>
        <v>774.65191666431519</v>
      </c>
    </row>
    <row r="56" spans="2:10" x14ac:dyDescent="0.25">
      <c r="B56" s="1"/>
      <c r="C56" s="1"/>
      <c r="D56" s="1"/>
      <c r="E56" s="1"/>
      <c r="F56" s="1"/>
      <c r="G56" s="1"/>
      <c r="H56" s="1"/>
      <c r="I56" s="6">
        <v>53</v>
      </c>
      <c r="J56" s="17">
        <f t="shared" si="0"/>
        <v>774.65191662239795</v>
      </c>
    </row>
    <row r="57" spans="2:10" x14ac:dyDescent="0.25">
      <c r="B57" s="1"/>
      <c r="C57" s="1"/>
      <c r="D57" s="1"/>
      <c r="E57" s="1"/>
      <c r="F57" s="1"/>
      <c r="G57" s="1"/>
      <c r="H57" s="1"/>
      <c r="I57" s="6">
        <v>54</v>
      </c>
      <c r="J57" s="17">
        <f t="shared" si="0"/>
        <v>774.6519165961306</v>
      </c>
    </row>
    <row r="58" spans="2:10" x14ac:dyDescent="0.25">
      <c r="B58" s="1"/>
      <c r="C58" s="1"/>
      <c r="D58" s="1"/>
      <c r="G58" s="1"/>
      <c r="H58" s="1"/>
      <c r="I58" s="6">
        <v>55</v>
      </c>
      <c r="J58" s="17">
        <f t="shared" si="0"/>
        <v>774.65191657965215</v>
      </c>
    </row>
    <row r="59" spans="2:10" x14ac:dyDescent="0.25">
      <c r="B59" s="1"/>
      <c r="C59" s="1"/>
      <c r="D59" s="1"/>
      <c r="G59" s="1"/>
      <c r="H59" s="1"/>
      <c r="I59" s="6">
        <v>56</v>
      </c>
      <c r="J59" s="17">
        <f t="shared" si="0"/>
        <v>774.65191656930369</v>
      </c>
    </row>
    <row r="60" spans="2:10" x14ac:dyDescent="0.25">
      <c r="G60" s="1"/>
      <c r="H60" s="1"/>
      <c r="I60" s="6">
        <v>57</v>
      </c>
      <c r="J60" s="17">
        <f t="shared" si="0"/>
        <v>774.65191656279796</v>
      </c>
    </row>
    <row r="61" spans="2:10" x14ac:dyDescent="0.25">
      <c r="G61" s="1"/>
      <c r="H61" s="1"/>
      <c r="I61" s="6">
        <v>58</v>
      </c>
      <c r="J61" s="17">
        <f t="shared" si="0"/>
        <v>774.65191655870387</v>
      </c>
    </row>
    <row r="62" spans="2:10" x14ac:dyDescent="0.25">
      <c r="G62" s="1"/>
      <c r="H62" s="1"/>
      <c r="I62" s="6">
        <v>59</v>
      </c>
      <c r="J62" s="17">
        <f t="shared" si="0"/>
        <v>774.65191655612477</v>
      </c>
    </row>
    <row r="63" spans="2:10" x14ac:dyDescent="0.25">
      <c r="G63" s="1"/>
      <c r="H63" s="1"/>
      <c r="I63" s="6">
        <v>60</v>
      </c>
      <c r="J63" s="17">
        <f t="shared" si="0"/>
        <v>774.6519165544986</v>
      </c>
    </row>
    <row r="64" spans="2:10" x14ac:dyDescent="0.25">
      <c r="G64" s="1"/>
      <c r="H64" s="1"/>
      <c r="I64" s="6">
        <v>61</v>
      </c>
      <c r="J64" s="17">
        <f t="shared" si="0"/>
        <v>774.65191655347212</v>
      </c>
    </row>
    <row r="65" spans="7:10" x14ac:dyDescent="0.25">
      <c r="G65" s="1"/>
      <c r="H65" s="1"/>
      <c r="I65" s="6">
        <v>62</v>
      </c>
      <c r="J65" s="17">
        <f t="shared" si="0"/>
        <v>774.65191655282365</v>
      </c>
    </row>
    <row r="66" spans="7:10" x14ac:dyDescent="0.25">
      <c r="G66" s="1"/>
      <c r="H66" s="1"/>
      <c r="I66" s="6">
        <v>63</v>
      </c>
      <c r="J66" s="17">
        <f t="shared" si="0"/>
        <v>774.65191655241358</v>
      </c>
    </row>
    <row r="67" spans="7:10" x14ac:dyDescent="0.25">
      <c r="G67" s="1"/>
      <c r="H67" s="1"/>
      <c r="I67" s="6">
        <v>64</v>
      </c>
      <c r="J67" s="17">
        <f t="shared" si="0"/>
        <v>774.65191655215403</v>
      </c>
    </row>
    <row r="68" spans="7:10" x14ac:dyDescent="0.25">
      <c r="G68" s="1"/>
      <c r="H68" s="1"/>
      <c r="I68" s="6">
        <v>65</v>
      </c>
      <c r="J68" s="17">
        <f t="shared" ref="J68:J74" si="1">((1-C$2)*C$3*EXP(-$E$2*(I68^$G$2)))+(C$2*C$3*EXP(-$E$3*I68))</f>
        <v>774.65191655198953</v>
      </c>
    </row>
    <row r="69" spans="7:10" x14ac:dyDescent="0.25">
      <c r="G69" s="1"/>
      <c r="H69" s="1"/>
      <c r="I69" s="6">
        <v>66</v>
      </c>
      <c r="J69" s="17">
        <f t="shared" si="1"/>
        <v>774.65191655188528</v>
      </c>
    </row>
    <row r="70" spans="7:10" x14ac:dyDescent="0.25">
      <c r="G70" s="1"/>
      <c r="H70" s="1"/>
      <c r="I70" s="6">
        <v>67</v>
      </c>
      <c r="J70" s="17">
        <f t="shared" si="1"/>
        <v>774.65191655181911</v>
      </c>
    </row>
    <row r="71" spans="7:10" x14ac:dyDescent="0.25">
      <c r="G71" s="1"/>
      <c r="H71" s="1"/>
      <c r="I71" s="6">
        <v>68</v>
      </c>
      <c r="J71" s="17">
        <f t="shared" si="1"/>
        <v>774.65191655177716</v>
      </c>
    </row>
    <row r="72" spans="7:10" x14ac:dyDescent="0.25">
      <c r="G72" s="1"/>
      <c r="H72" s="1"/>
      <c r="I72" s="6">
        <v>69</v>
      </c>
      <c r="J72" s="17">
        <f t="shared" si="1"/>
        <v>774.65191655175045</v>
      </c>
    </row>
    <row r="73" spans="7:10" x14ac:dyDescent="0.25">
      <c r="G73" s="1"/>
      <c r="H73" s="1"/>
      <c r="I73" s="6">
        <v>70</v>
      </c>
      <c r="J73" s="17">
        <f t="shared" si="1"/>
        <v>774.65191655173339</v>
      </c>
    </row>
    <row r="74" spans="7:10" x14ac:dyDescent="0.25">
      <c r="G74" s="1"/>
      <c r="H74" s="1"/>
      <c r="I74" s="6">
        <v>71</v>
      </c>
      <c r="J74" s="17">
        <f t="shared" si="1"/>
        <v>774.65191655172259</v>
      </c>
    </row>
    <row r="75" spans="7:10" x14ac:dyDescent="0.25">
      <c r="G75" s="1"/>
      <c r="H75" s="1"/>
      <c r="I75" s="1"/>
    </row>
  </sheetData>
  <pageMargins left="0.7" right="0.7" top="0.75" bottom="0.75" header="0.3" footer="0.3"/>
  <headerFooter>
    <oddFooter>&amp;C_x000D_&amp;1#&amp;"Default"&amp;10&amp;KD89B2B Confidential - Company Proprietary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J75"/>
  <sheetViews>
    <sheetView tabSelected="1" zoomScale="80" zoomScaleNormal="80" workbookViewId="0">
      <selection activeCell="I3" sqref="I3:J74"/>
    </sheetView>
  </sheetViews>
  <sheetFormatPr defaultRowHeight="15" x14ac:dyDescent="0.25"/>
  <cols>
    <col min="3" max="3" width="23.5703125" bestFit="1" customWidth="1"/>
    <col min="4" max="4" width="24.42578125" bestFit="1" customWidth="1"/>
  </cols>
  <sheetData>
    <row r="1" spans="2:10" ht="15.75" thickBot="1" x14ac:dyDescent="0.3"/>
    <row r="2" spans="2:10" x14ac:dyDescent="0.25">
      <c r="B2" s="9" t="s">
        <v>8</v>
      </c>
      <c r="C2" s="19">
        <v>5.2422952918959806E-3</v>
      </c>
      <c r="D2" s="10" t="s">
        <v>0</v>
      </c>
      <c r="E2" s="11">
        <v>1.0876434739862126</v>
      </c>
      <c r="F2" s="10" t="s">
        <v>1</v>
      </c>
      <c r="G2" s="12">
        <v>0.49892669989993216</v>
      </c>
      <c r="I2" s="6" t="s">
        <v>2</v>
      </c>
      <c r="J2" s="6" t="s">
        <v>3</v>
      </c>
    </row>
    <row r="3" spans="2:10" ht="15.75" thickBot="1" x14ac:dyDescent="0.3">
      <c r="B3" s="13" t="s">
        <v>9</v>
      </c>
      <c r="C3" s="20">
        <f>(B6+B12)/2</f>
        <v>760</v>
      </c>
      <c r="D3" s="14" t="s">
        <v>7</v>
      </c>
      <c r="E3" s="15">
        <v>0</v>
      </c>
      <c r="F3" s="14"/>
      <c r="G3" s="16"/>
      <c r="I3" s="6">
        <v>0</v>
      </c>
      <c r="J3" s="17">
        <f>((1-C$2)*C$3*EXP(-$E$2*(I3^$G$2)))+(C$2*C$3*EXP(-$E$3*I3))</f>
        <v>760</v>
      </c>
    </row>
    <row r="4" spans="2:10" x14ac:dyDescent="0.25">
      <c r="I4" s="6">
        <v>1</v>
      </c>
      <c r="J4" s="17">
        <f t="shared" ref="J4:J67" si="0">((1-C$2)*C$3*EXP(-$E$2*(I4^$G$2)))+(C$2*C$3*EXP(-$E$3*I4))</f>
        <v>258.76884446286772</v>
      </c>
    </row>
    <row r="5" spans="2:10" x14ac:dyDescent="0.25">
      <c r="B5" s="4" t="s">
        <v>4</v>
      </c>
      <c r="C5" s="5" t="s">
        <v>5</v>
      </c>
      <c r="D5" s="5" t="s">
        <v>6</v>
      </c>
      <c r="E5" s="2"/>
      <c r="I5" s="6">
        <v>2</v>
      </c>
      <c r="J5" s="17">
        <f t="shared" si="0"/>
        <v>166.54397030441206</v>
      </c>
    </row>
    <row r="6" spans="2:10" x14ac:dyDescent="0.25">
      <c r="B6" s="7">
        <v>860</v>
      </c>
      <c r="C6" s="8">
        <v>0</v>
      </c>
      <c r="D6" s="7">
        <v>760</v>
      </c>
      <c r="E6" s="2"/>
      <c r="I6" s="6">
        <v>3</v>
      </c>
      <c r="J6" s="17">
        <f t="shared" si="0"/>
        <v>119.15636875440762</v>
      </c>
    </row>
    <row r="7" spans="2:10" x14ac:dyDescent="0.25">
      <c r="B7" s="7">
        <v>240</v>
      </c>
      <c r="C7" s="8">
        <v>0.68477620608950218</v>
      </c>
      <c r="D7" s="7">
        <v>311.23311324742969</v>
      </c>
      <c r="E7" s="2"/>
      <c r="I7" s="6">
        <v>4</v>
      </c>
      <c r="J7" s="17">
        <f t="shared" si="0"/>
        <v>90.127223600151098</v>
      </c>
    </row>
    <row r="8" spans="2:10" x14ac:dyDescent="0.25">
      <c r="B8" s="7">
        <v>164</v>
      </c>
      <c r="C8" s="8">
        <v>2.0277823050229209</v>
      </c>
      <c r="D8" s="7">
        <v>164.82740654662442</v>
      </c>
      <c r="E8" s="2"/>
      <c r="I8" s="6">
        <v>5</v>
      </c>
      <c r="J8" s="17">
        <f t="shared" si="0"/>
        <v>70.684822400909624</v>
      </c>
    </row>
    <row r="9" spans="2:10" x14ac:dyDescent="0.25">
      <c r="B9" s="7">
        <v>164</v>
      </c>
      <c r="C9" s="8">
        <v>3.3361547931803117</v>
      </c>
      <c r="D9" s="7">
        <v>107.94694736983487</v>
      </c>
      <c r="E9" s="2"/>
      <c r="I9" s="6">
        <v>6</v>
      </c>
      <c r="J9" s="17">
        <f t="shared" si="0"/>
        <v>56.916212069502123</v>
      </c>
    </row>
    <row r="10" spans="2:10" x14ac:dyDescent="0.25">
      <c r="B10" s="7">
        <v>75</v>
      </c>
      <c r="C10" s="8">
        <v>6.4613686363711409</v>
      </c>
      <c r="D10" s="7">
        <v>51.873262586441854</v>
      </c>
      <c r="E10" s="2"/>
      <c r="I10" s="6">
        <v>7</v>
      </c>
      <c r="J10" s="17">
        <f t="shared" si="0"/>
        <v>46.779603467980358</v>
      </c>
    </row>
    <row r="11" spans="2:10" x14ac:dyDescent="0.25">
      <c r="B11" s="7">
        <v>16</v>
      </c>
      <c r="C11" s="8">
        <v>17.107232048065356</v>
      </c>
      <c r="D11" s="7">
        <v>12.510494366613798</v>
      </c>
      <c r="E11" s="2"/>
      <c r="I11" s="6">
        <v>8</v>
      </c>
      <c r="J11" s="17">
        <f t="shared" si="0"/>
        <v>39.098158767702003</v>
      </c>
    </row>
    <row r="12" spans="2:10" x14ac:dyDescent="0.25">
      <c r="B12" s="7">
        <v>660</v>
      </c>
      <c r="C12" s="8">
        <v>0</v>
      </c>
      <c r="D12" s="7">
        <v>760</v>
      </c>
      <c r="E12" s="2"/>
      <c r="I12" s="6">
        <v>9</v>
      </c>
      <c r="J12" s="17">
        <f t="shared" si="0"/>
        <v>33.144723591431749</v>
      </c>
    </row>
    <row r="13" spans="2:10" x14ac:dyDescent="0.25">
      <c r="B13" s="7">
        <v>140</v>
      </c>
      <c r="C13" s="8">
        <v>2.0826639796112403</v>
      </c>
      <c r="D13" s="7">
        <v>161.52296472096802</v>
      </c>
      <c r="E13" s="2"/>
      <c r="I13" s="6">
        <v>10</v>
      </c>
      <c r="J13" s="17">
        <f t="shared" si="0"/>
        <v>28.446153937735772</v>
      </c>
    </row>
    <row r="14" spans="2:10" x14ac:dyDescent="0.25">
      <c r="B14" s="7">
        <v>44</v>
      </c>
      <c r="C14" s="8">
        <v>6.0290229911464595</v>
      </c>
      <c r="D14" s="7">
        <v>56.578024940059755</v>
      </c>
      <c r="I14" s="6">
        <v>11</v>
      </c>
      <c r="J14" s="17">
        <f t="shared" si="0"/>
        <v>24.681979003690273</v>
      </c>
    </row>
    <row r="15" spans="2:10" x14ac:dyDescent="0.25">
      <c r="B15" s="7">
        <v>24</v>
      </c>
      <c r="C15" s="8">
        <v>9.7004260896074399</v>
      </c>
      <c r="D15" s="7">
        <v>29.743367755777495</v>
      </c>
      <c r="I15" s="6">
        <v>12</v>
      </c>
      <c r="J15" s="17">
        <f t="shared" si="0"/>
        <v>21.628044379773424</v>
      </c>
    </row>
    <row r="16" spans="2:10" x14ac:dyDescent="0.25">
      <c r="B16" s="7">
        <v>9</v>
      </c>
      <c r="C16" s="8">
        <v>17.798458432026855</v>
      </c>
      <c r="D16" s="7">
        <v>11.780416775701443</v>
      </c>
      <c r="I16" s="6">
        <v>13</v>
      </c>
      <c r="J16" s="17">
        <f t="shared" si="0"/>
        <v>19.123369623499656</v>
      </c>
    </row>
    <row r="17" spans="2:10" x14ac:dyDescent="0.25">
      <c r="B17" s="7">
        <v>5</v>
      </c>
      <c r="C17" s="8">
        <v>38.846848099474983</v>
      </c>
      <c r="D17" s="7">
        <v>4.867220064516637</v>
      </c>
      <c r="I17" s="6">
        <v>14</v>
      </c>
      <c r="J17" s="17">
        <f t="shared" si="0"/>
        <v>17.049758687507037</v>
      </c>
    </row>
    <row r="18" spans="2:10" x14ac:dyDescent="0.25">
      <c r="B18" s="2"/>
      <c r="C18" s="3"/>
      <c r="D18" s="2"/>
      <c r="I18" s="6">
        <v>15</v>
      </c>
      <c r="J18" s="17">
        <f t="shared" si="0"/>
        <v>15.318780051438916</v>
      </c>
    </row>
    <row r="19" spans="2:10" x14ac:dyDescent="0.25">
      <c r="B19" s="2"/>
      <c r="C19" s="3"/>
      <c r="D19" s="2"/>
      <c r="I19" s="6">
        <v>16</v>
      </c>
      <c r="J19" s="17">
        <f t="shared" si="0"/>
        <v>13.863188289728834</v>
      </c>
    </row>
    <row r="20" spans="2:10" x14ac:dyDescent="0.25">
      <c r="B20" s="2"/>
      <c r="I20" s="6">
        <v>17</v>
      </c>
      <c r="J20" s="17">
        <f t="shared" si="0"/>
        <v>12.631118811654959</v>
      </c>
    </row>
    <row r="21" spans="2:10" x14ac:dyDescent="0.25">
      <c r="I21" s="6">
        <v>18</v>
      </c>
      <c r="J21" s="17">
        <f t="shared" si="0"/>
        <v>11.58206742024394</v>
      </c>
    </row>
    <row r="22" spans="2:10" x14ac:dyDescent="0.25">
      <c r="I22" s="6">
        <v>19</v>
      </c>
      <c r="J22" s="17">
        <f t="shared" si="0"/>
        <v>10.68404914772889</v>
      </c>
    </row>
    <row r="23" spans="2:10" x14ac:dyDescent="0.25">
      <c r="I23" s="6">
        <v>20</v>
      </c>
      <c r="J23" s="17">
        <f t="shared" si="0"/>
        <v>9.9115543867909004</v>
      </c>
    </row>
    <row r="24" spans="2:10" x14ac:dyDescent="0.25">
      <c r="I24" s="6">
        <v>21</v>
      </c>
      <c r="J24" s="17">
        <f t="shared" si="0"/>
        <v>9.2440551185495572</v>
      </c>
    </row>
    <row r="25" spans="2:10" x14ac:dyDescent="0.25">
      <c r="I25" s="6">
        <v>22</v>
      </c>
      <c r="J25" s="17">
        <f t="shared" si="0"/>
        <v>8.6648976010295353</v>
      </c>
    </row>
    <row r="26" spans="2:10" x14ac:dyDescent="0.25">
      <c r="I26" s="6">
        <v>23</v>
      </c>
      <c r="J26" s="17">
        <f t="shared" si="0"/>
        <v>8.1604709899996095</v>
      </c>
    </row>
    <row r="27" spans="2:10" x14ac:dyDescent="0.25">
      <c r="I27" s="6">
        <v>24</v>
      </c>
      <c r="J27" s="17">
        <f t="shared" si="0"/>
        <v>7.7195758723406236</v>
      </c>
    </row>
    <row r="28" spans="2:10" x14ac:dyDescent="0.25">
      <c r="I28" s="6">
        <v>25</v>
      </c>
      <c r="J28" s="17">
        <f t="shared" si="0"/>
        <v>7.3329395651266092</v>
      </c>
    </row>
    <row r="29" spans="2:10" x14ac:dyDescent="0.25">
      <c r="I29" s="6">
        <v>26</v>
      </c>
      <c r="J29" s="17">
        <f t="shared" si="0"/>
        <v>6.9928404695193391</v>
      </c>
    </row>
    <row r="30" spans="2:10" x14ac:dyDescent="0.25">
      <c r="I30" s="6">
        <v>27</v>
      </c>
      <c r="J30" s="17">
        <f t="shared" si="0"/>
        <v>6.6928143570886753</v>
      </c>
    </row>
    <row r="31" spans="2:10" x14ac:dyDescent="0.25">
      <c r="I31" s="6">
        <v>28</v>
      </c>
      <c r="J31" s="17">
        <f t="shared" si="0"/>
        <v>6.4274228386263657</v>
      </c>
    </row>
    <row r="32" spans="2:10" x14ac:dyDescent="0.25">
      <c r="E32" s="1"/>
      <c r="F32" s="1"/>
      <c r="I32" s="6">
        <v>29</v>
      </c>
      <c r="J32" s="17">
        <f t="shared" si="0"/>
        <v>6.1920694693633269</v>
      </c>
    </row>
    <row r="33" spans="2:10" x14ac:dyDescent="0.25">
      <c r="E33" s="1"/>
      <c r="F33" s="1"/>
      <c r="I33" s="6">
        <v>30</v>
      </c>
      <c r="J33" s="17">
        <f t="shared" si="0"/>
        <v>5.9828526641025066</v>
      </c>
    </row>
    <row r="34" spans="2:10" x14ac:dyDescent="0.25">
      <c r="E34" s="1"/>
      <c r="F34" s="1"/>
      <c r="I34" s="6">
        <v>31</v>
      </c>
      <c r="J34" s="17">
        <f t="shared" si="0"/>
        <v>5.7964472855233504</v>
      </c>
    </row>
    <row r="35" spans="2:10" x14ac:dyDescent="0.25">
      <c r="E35" s="1"/>
      <c r="F35" s="1"/>
      <c r="I35" s="6">
        <v>32</v>
      </c>
      <c r="J35" s="17">
        <f t="shared" si="0"/>
        <v>5.6300087349682233</v>
      </c>
    </row>
    <row r="36" spans="2:10" x14ac:dyDescent="0.25">
      <c r="B36" s="1"/>
      <c r="C36" s="1"/>
      <c r="D36" s="1"/>
      <c r="E36" s="1"/>
      <c r="F36" s="1"/>
      <c r="I36" s="6">
        <v>33</v>
      </c>
      <c r="J36" s="17">
        <f t="shared" si="0"/>
        <v>5.4810948265295707</v>
      </c>
    </row>
    <row r="37" spans="2:10" x14ac:dyDescent="0.25">
      <c r="B37" s="1"/>
      <c r="C37" s="1"/>
      <c r="D37" s="1"/>
      <c r="E37" s="1"/>
      <c r="F37" s="1"/>
      <c r="I37" s="6">
        <v>34</v>
      </c>
      <c r="J37" s="17">
        <f t="shared" si="0"/>
        <v>5.3476018069037607</v>
      </c>
    </row>
    <row r="38" spans="2:10" x14ac:dyDescent="0.25">
      <c r="B38" s="1"/>
      <c r="C38" s="1"/>
      <c r="D38" s="1"/>
      <c r="E38" s="1"/>
      <c r="F38" s="1"/>
      <c r="I38" s="6">
        <v>35</v>
      </c>
      <c r="J38" s="17">
        <f t="shared" si="0"/>
        <v>5.2277116965471251</v>
      </c>
    </row>
    <row r="39" spans="2:10" x14ac:dyDescent="0.25">
      <c r="B39" s="1"/>
      <c r="C39" s="1"/>
      <c r="D39" s="1"/>
      <c r="E39" s="1"/>
      <c r="F39" s="1"/>
      <c r="I39" s="6">
        <v>36</v>
      </c>
      <c r="J39" s="17">
        <f t="shared" si="0"/>
        <v>5.1198487438450266</v>
      </c>
    </row>
    <row r="40" spans="2:10" x14ac:dyDescent="0.25">
      <c r="B40" s="1"/>
      <c r="C40" s="1"/>
      <c r="D40" s="1"/>
      <c r="E40" s="1"/>
      <c r="F40" s="1"/>
      <c r="I40" s="6">
        <v>37</v>
      </c>
      <c r="J40" s="17">
        <f t="shared" si="0"/>
        <v>5.0226432545460167</v>
      </c>
    </row>
    <row r="41" spans="2:10" x14ac:dyDescent="0.25">
      <c r="B41" s="1"/>
      <c r="C41" s="1"/>
      <c r="D41" s="1"/>
      <c r="E41" s="1"/>
      <c r="F41" s="1"/>
      <c r="I41" s="6">
        <v>38</v>
      </c>
      <c r="J41" s="17">
        <f t="shared" si="0"/>
        <v>4.9349014206304522</v>
      </c>
    </row>
    <row r="42" spans="2:10" x14ac:dyDescent="0.25">
      <c r="B42" s="1"/>
      <c r="C42" s="1"/>
      <c r="D42" s="1"/>
      <c r="E42" s="1"/>
      <c r="F42" s="1"/>
      <c r="I42" s="6">
        <v>39</v>
      </c>
      <c r="J42" s="17">
        <f t="shared" si="0"/>
        <v>4.8555800530417299</v>
      </c>
    </row>
    <row r="43" spans="2:10" x14ac:dyDescent="0.25">
      <c r="B43" s="1"/>
      <c r="C43" s="1"/>
      <c r="D43" s="1"/>
      <c r="E43" s="1"/>
      <c r="F43" s="1"/>
      <c r="I43" s="6">
        <v>40</v>
      </c>
      <c r="J43" s="17">
        <f t="shared" si="0"/>
        <v>4.7837653411223773</v>
      </c>
    </row>
    <row r="44" spans="2:10" x14ac:dyDescent="0.25">
      <c r="B44" s="1"/>
      <c r="C44" s="1"/>
      <c r="D44" s="1"/>
      <c r="E44" s="1"/>
      <c r="F44" s="1"/>
      <c r="I44" s="6">
        <v>41</v>
      </c>
      <c r="J44" s="17">
        <f t="shared" si="0"/>
        <v>4.7186549328448217</v>
      </c>
    </row>
    <row r="45" spans="2:10" x14ac:dyDescent="0.25">
      <c r="B45" s="1"/>
      <c r="C45" s="1"/>
      <c r="D45" s="1"/>
      <c r="E45" s="1"/>
      <c r="F45" s="1"/>
      <c r="I45" s="6">
        <v>42</v>
      </c>
      <c r="J45" s="17">
        <f t="shared" si="0"/>
        <v>4.6595427649625805</v>
      </c>
    </row>
    <row r="46" spans="2:10" x14ac:dyDescent="0.25">
      <c r="B46" s="1"/>
      <c r="C46" s="1"/>
      <c r="D46" s="1"/>
      <c r="E46" s="1"/>
      <c r="F46" s="1"/>
      <c r="I46" s="6">
        <v>43</v>
      </c>
      <c r="J46" s="17">
        <f t="shared" si="0"/>
        <v>4.6058061792678249</v>
      </c>
    </row>
    <row r="47" spans="2:10" x14ac:dyDescent="0.25">
      <c r="B47" s="1"/>
      <c r="C47" s="1"/>
      <c r="D47" s="1"/>
      <c r="E47" s="1"/>
      <c r="F47" s="1"/>
      <c r="I47" s="6">
        <v>44</v>
      </c>
      <c r="J47" s="17">
        <f t="shared" si="0"/>
        <v>4.5568949464597699</v>
      </c>
    </row>
    <row r="48" spans="2:10" x14ac:dyDescent="0.25">
      <c r="B48" s="1"/>
      <c r="C48" s="1"/>
      <c r="D48" s="1"/>
      <c r="E48" s="1"/>
      <c r="F48" s="1"/>
      <c r="I48" s="6">
        <v>45</v>
      </c>
      <c r="J48" s="17">
        <f t="shared" si="0"/>
        <v>4.5123218874538518</v>
      </c>
    </row>
    <row r="49" spans="2:10" x14ac:dyDescent="0.25">
      <c r="B49" s="1"/>
      <c r="C49" s="1"/>
      <c r="D49" s="1"/>
      <c r="E49" s="1"/>
      <c r="F49" s="1"/>
      <c r="G49" s="1"/>
      <c r="H49" s="1"/>
      <c r="I49" s="6">
        <v>46</v>
      </c>
      <c r="J49" s="17">
        <f t="shared" si="0"/>
        <v>4.4716548369345706</v>
      </c>
    </row>
    <row r="50" spans="2:10" x14ac:dyDescent="0.25">
      <c r="B50" s="1"/>
      <c r="C50" s="1"/>
      <c r="D50" s="1"/>
      <c r="E50" s="1"/>
      <c r="F50" s="1"/>
      <c r="G50" s="1"/>
      <c r="H50" s="1"/>
      <c r="I50" s="6">
        <v>47</v>
      </c>
      <c r="J50" s="17">
        <f t="shared" si="0"/>
        <v>4.4345097383815455</v>
      </c>
    </row>
    <row r="51" spans="2:10" x14ac:dyDescent="0.25">
      <c r="B51" s="1"/>
      <c r="C51" s="1"/>
      <c r="D51" s="1"/>
      <c r="E51" s="1"/>
      <c r="F51" s="1"/>
      <c r="G51" s="1"/>
      <c r="H51" s="1"/>
      <c r="I51" s="6">
        <v>48</v>
      </c>
      <c r="J51" s="17">
        <f t="shared" si="0"/>
        <v>4.4005446958546077</v>
      </c>
    </row>
    <row r="52" spans="2:10" x14ac:dyDescent="0.25">
      <c r="B52" s="1"/>
      <c r="C52" s="1"/>
      <c r="D52" s="1"/>
      <c r="E52" s="1"/>
      <c r="F52" s="1"/>
      <c r="G52" s="1"/>
      <c r="H52" s="1"/>
      <c r="I52" s="6">
        <v>49</v>
      </c>
      <c r="J52" s="17">
        <f t="shared" si="0"/>
        <v>4.3694548372058151</v>
      </c>
    </row>
    <row r="53" spans="2:10" x14ac:dyDescent="0.25">
      <c r="B53" s="1"/>
      <c r="C53" s="1"/>
      <c r="D53" s="1"/>
      <c r="E53" s="1"/>
      <c r="F53" s="1"/>
      <c r="G53" s="1"/>
      <c r="H53" s="1"/>
      <c r="I53" s="6">
        <v>50</v>
      </c>
      <c r="J53" s="17">
        <f t="shared" si="0"/>
        <v>4.3409678674222274</v>
      </c>
    </row>
    <row r="54" spans="2:10" x14ac:dyDescent="0.25">
      <c r="B54" s="1"/>
      <c r="C54" s="1"/>
      <c r="D54" s="1"/>
      <c r="E54" s="1"/>
      <c r="F54" s="1"/>
      <c r="G54" s="1"/>
      <c r="H54" s="1"/>
      <c r="I54" s="6">
        <v>51</v>
      </c>
      <c r="J54" s="17">
        <f t="shared" si="0"/>
        <v>4.3148402105393933</v>
      </c>
    </row>
    <row r="55" spans="2:10" x14ac:dyDescent="0.25">
      <c r="B55" s="1"/>
      <c r="C55" s="1"/>
      <c r="D55" s="1"/>
      <c r="E55" s="1"/>
      <c r="F55" s="1"/>
      <c r="G55" s="1"/>
      <c r="H55" s="1"/>
      <c r="I55" s="6">
        <v>52</v>
      </c>
      <c r="J55" s="17">
        <f t="shared" si="0"/>
        <v>4.2908536548285472</v>
      </c>
    </row>
    <row r="56" spans="2:10" x14ac:dyDescent="0.25">
      <c r="B56" s="1"/>
      <c r="C56" s="1"/>
      <c r="D56" s="1"/>
      <c r="E56" s="1"/>
      <c r="F56" s="1"/>
      <c r="G56" s="1"/>
      <c r="H56" s="1"/>
      <c r="I56" s="6">
        <v>53</v>
      </c>
      <c r="J56" s="17">
        <f t="shared" si="0"/>
        <v>4.2688124294076015</v>
      </c>
    </row>
    <row r="57" spans="2:10" x14ac:dyDescent="0.25">
      <c r="B57" s="1"/>
      <c r="C57" s="1"/>
      <c r="D57" s="1"/>
      <c r="E57" s="1"/>
      <c r="F57" s="1"/>
      <c r="G57" s="1"/>
      <c r="H57" s="1"/>
      <c r="I57" s="6">
        <v>54</v>
      </c>
      <c r="J57" s="17">
        <f t="shared" si="0"/>
        <v>4.24854065158127</v>
      </c>
    </row>
    <row r="58" spans="2:10" x14ac:dyDescent="0.25">
      <c r="B58" s="1"/>
      <c r="C58" s="1"/>
      <c r="D58" s="1"/>
      <c r="E58" s="1"/>
      <c r="F58" s="1"/>
      <c r="G58" s="1"/>
      <c r="H58" s="1"/>
      <c r="I58" s="6">
        <v>55</v>
      </c>
      <c r="J58" s="17">
        <f t="shared" si="0"/>
        <v>4.2298800934988661</v>
      </c>
    </row>
    <row r="59" spans="2:10" x14ac:dyDescent="0.25">
      <c r="B59" s="1"/>
      <c r="C59" s="1"/>
      <c r="D59" s="1"/>
      <c r="G59" s="1"/>
      <c r="H59" s="1"/>
      <c r="I59" s="6">
        <v>56</v>
      </c>
      <c r="J59" s="17">
        <f t="shared" si="0"/>
        <v>4.2126882244671862</v>
      </c>
    </row>
    <row r="60" spans="2:10" x14ac:dyDescent="0.25">
      <c r="B60" s="1"/>
      <c r="C60" s="1"/>
      <c r="D60" s="1"/>
      <c r="G60" s="1"/>
      <c r="H60" s="1"/>
      <c r="I60" s="6">
        <v>57</v>
      </c>
      <c r="J60" s="17">
        <f t="shared" si="0"/>
        <v>4.1968364917427659</v>
      </c>
    </row>
    <row r="61" spans="2:10" x14ac:dyDescent="0.25">
      <c r="B61" s="1"/>
      <c r="C61" s="1"/>
      <c r="D61" s="1"/>
      <c r="G61" s="1"/>
      <c r="H61" s="1"/>
      <c r="I61" s="6">
        <v>58</v>
      </c>
      <c r="J61" s="17">
        <f t="shared" si="0"/>
        <v>4.1822088080737263</v>
      </c>
    </row>
    <row r="62" spans="2:10" x14ac:dyDescent="0.25">
      <c r="B62" s="1"/>
      <c r="C62" s="1"/>
      <c r="D62" s="1"/>
      <c r="G62" s="1"/>
      <c r="H62" s="1"/>
      <c r="I62" s="6">
        <v>59</v>
      </c>
      <c r="J62" s="17">
        <f t="shared" si="0"/>
        <v>4.1687002188456601</v>
      </c>
    </row>
    <row r="63" spans="2:10" x14ac:dyDescent="0.25">
      <c r="G63" s="1"/>
      <c r="H63" s="1"/>
      <c r="I63" s="6">
        <v>60</v>
      </c>
      <c r="J63" s="17">
        <f t="shared" si="0"/>
        <v>4.1562157255551204</v>
      </c>
    </row>
    <row r="64" spans="2:10" x14ac:dyDescent="0.25">
      <c r="G64" s="1"/>
      <c r="H64" s="1"/>
      <c r="I64" s="6">
        <v>61</v>
      </c>
      <c r="J64" s="17">
        <f t="shared" si="0"/>
        <v>4.1446692456080214</v>
      </c>
    </row>
    <row r="65" spans="7:10" x14ac:dyDescent="0.25">
      <c r="G65" s="1"/>
      <c r="H65" s="1"/>
      <c r="I65" s="6">
        <v>62</v>
      </c>
      <c r="J65" s="17">
        <f t="shared" si="0"/>
        <v>4.1339826912170885</v>
      </c>
    </row>
    <row r="66" spans="7:10" x14ac:dyDescent="0.25">
      <c r="G66" s="1"/>
      <c r="H66" s="1"/>
      <c r="I66" s="6">
        <v>63</v>
      </c>
      <c r="J66" s="17">
        <f t="shared" si="0"/>
        <v>4.1240851525332491</v>
      </c>
    </row>
    <row r="67" spans="7:10" x14ac:dyDescent="0.25">
      <c r="G67" s="1"/>
      <c r="H67" s="1"/>
      <c r="I67" s="6">
        <v>64</v>
      </c>
      <c r="J67" s="17">
        <f t="shared" si="0"/>
        <v>4.1149121721576929</v>
      </c>
    </row>
    <row r="68" spans="7:10" x14ac:dyDescent="0.25">
      <c r="G68" s="1"/>
      <c r="H68" s="1"/>
      <c r="I68" s="6">
        <v>65</v>
      </c>
      <c r="J68" s="17">
        <f t="shared" ref="J68:J74" si="1">((1-C$2)*C$3*EXP(-$E$2*(I68^$G$2)))+(C$2*C$3*EXP(-$E$3*I68))</f>
        <v>4.106405099899324</v>
      </c>
    </row>
    <row r="69" spans="7:10" x14ac:dyDescent="0.25">
      <c r="G69" s="1"/>
      <c r="H69" s="1"/>
      <c r="I69" s="6">
        <v>66</v>
      </c>
      <c r="J69" s="17">
        <f t="shared" si="1"/>
        <v>4.0985105181128239</v>
      </c>
    </row>
    <row r="70" spans="7:10" x14ac:dyDescent="0.25">
      <c r="G70" s="1"/>
      <c r="H70" s="1"/>
      <c r="I70" s="6">
        <v>67</v>
      </c>
      <c r="J70" s="17">
        <f t="shared" si="1"/>
        <v>4.0911797292135699</v>
      </c>
    </row>
    <row r="71" spans="7:10" x14ac:dyDescent="0.25">
      <c r="G71" s="1"/>
      <c r="H71" s="1"/>
      <c r="I71" s="6">
        <v>68</v>
      </c>
      <c r="J71" s="17">
        <f t="shared" si="1"/>
        <v>4.0843682980493705</v>
      </c>
    </row>
    <row r="72" spans="7:10" x14ac:dyDescent="0.25">
      <c r="G72" s="1"/>
      <c r="H72" s="1"/>
      <c r="I72" s="6">
        <v>69</v>
      </c>
      <c r="J72" s="17">
        <f t="shared" si="1"/>
        <v>4.0780356427420754</v>
      </c>
    </row>
    <row r="73" spans="7:10" x14ac:dyDescent="0.25">
      <c r="G73" s="1"/>
      <c r="H73" s="1"/>
      <c r="I73" s="6">
        <v>70</v>
      </c>
      <c r="J73" s="17">
        <f t="shared" si="1"/>
        <v>4.0721446684170299</v>
      </c>
    </row>
    <row r="74" spans="7:10" x14ac:dyDescent="0.25">
      <c r="G74" s="1"/>
      <c r="H74" s="1"/>
      <c r="I74" s="6">
        <v>71</v>
      </c>
      <c r="J74" s="17">
        <f t="shared" si="1"/>
        <v>4.0666614389340356</v>
      </c>
    </row>
    <row r="75" spans="7:10" x14ac:dyDescent="0.25">
      <c r="G75" s="1"/>
      <c r="H75" s="1"/>
      <c r="I75" s="1"/>
    </row>
  </sheetData>
  <pageMargins left="0.7" right="0.7" top="0.75" bottom="0.75" header="0.3" footer="0.3"/>
  <headerFooter>
    <oddFooter>&amp;C_x000D_&amp;1#&amp;"Default"&amp;10&amp;KD89B2B Confidential - Company Proprietary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PFA EColi Inactivation</vt:lpstr>
      <vt:lpstr>PFA Fecal Coli Inactivation</vt:lpstr>
      <vt:lpstr>PFA Total Coli Inactivation</vt:lpstr>
      <vt:lpstr>PFA Enterococci Inactivation</vt:lpstr>
      <vt:lpstr>PAA EColi Inactivation</vt:lpstr>
      <vt:lpstr>PAA Fecal Coli Inactivation</vt:lpstr>
      <vt:lpstr>PAA Total Coli Inactivation</vt:lpstr>
      <vt:lpstr>PAA Enterococci Inactivation</vt:lpstr>
      <vt:lpstr>Cl2 EColi Inactivation</vt:lpstr>
      <vt:lpstr>Cl2 Fecal Coli Inactivation</vt:lpstr>
      <vt:lpstr>Cl2 Total Coli Inactivation</vt:lpstr>
      <vt:lpstr>Cl2 Enterococci Inactivation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Eunkyung Jang</dc:creator>
  <cp:lastModifiedBy>Oliver Nishikawa</cp:lastModifiedBy>
  <dcterms:created xsi:type="dcterms:W3CDTF">2024-01-03T17:06:48Z</dcterms:created>
  <dcterms:modified xsi:type="dcterms:W3CDTF">2025-07-28T18:37:18Z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8fc3b9b-35b0-4549-b8c7-7249a2740519_Enabled">
    <vt:lpwstr>true</vt:lpwstr>
  </property>
  <property fmtid="{D5CDD505-2E9C-101B-9397-08002B2CF9AE}" pid="3" name="MSIP_Label_78fc3b9b-35b0-4549-b8c7-7249a2740519_SetDate">
    <vt:lpwstr>2024-01-03T17:08:26Z</vt:lpwstr>
  </property>
  <property fmtid="{D5CDD505-2E9C-101B-9397-08002B2CF9AE}" pid="4" name="MSIP_Label_78fc3b9b-35b0-4549-b8c7-7249a2740519_Method">
    <vt:lpwstr>Privileged</vt:lpwstr>
  </property>
  <property fmtid="{D5CDD505-2E9C-101B-9397-08002B2CF9AE}" pid="5" name="MSIP_Label_78fc3b9b-35b0-4549-b8c7-7249a2740519_Name">
    <vt:lpwstr>Confidential</vt:lpwstr>
  </property>
  <property fmtid="{D5CDD505-2E9C-101B-9397-08002B2CF9AE}" pid="6" name="MSIP_Label_78fc3b9b-35b0-4549-b8c7-7249a2740519_SiteId">
    <vt:lpwstr>2c518df7-6644-41f8-8350-3f75e61362ac</vt:lpwstr>
  </property>
  <property fmtid="{D5CDD505-2E9C-101B-9397-08002B2CF9AE}" pid="7" name="MSIP_Label_78fc3b9b-35b0-4549-b8c7-7249a2740519_ActionId">
    <vt:lpwstr>d58cade8-bfa5-48fb-8055-f4bca53048d3</vt:lpwstr>
  </property>
  <property fmtid="{D5CDD505-2E9C-101B-9397-08002B2CF9AE}" pid="8" name="MSIP_Label_78fc3b9b-35b0-4549-b8c7-7249a2740519_ContentBits">
    <vt:lpwstr>2</vt:lpwstr>
  </property>
</Properties>
</file>