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0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11.xml" ContentType="application/vnd.openxmlformats-officedocument.drawing+xml"/>
  <Override PartName="/xl/charts/chart3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13.xml" ContentType="application/vnd.openxmlformats-officedocument.drawing+xml"/>
  <Override PartName="/xl/charts/chart4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14.xml" ContentType="application/vnd.openxmlformats-officedocument.drawing+xml"/>
  <Override PartName="/xl/charts/chart4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drawings/drawing15.xml" ContentType="application/vnd.openxmlformats-officedocument.drawing+xml"/>
  <Override PartName="/xl/charts/chart5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6.xml" ContentType="application/vnd.openxmlformats-officedocument.drawing+xml"/>
  <Override PartName="/xl/charts/chart5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drawings/drawing17.xml" ContentType="application/vnd.openxmlformats-officedocument.drawing+xml"/>
  <Override PartName="/xl/charts/chart6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drawings/drawing18.xml" ContentType="application/vnd.openxmlformats-officedocument.drawing+xml"/>
  <Override PartName="/xl/charts/chart6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-partner-integrations.egnyte.com/msoffice/wopi/files/9c33bc69-5daa-41d9-805c-8bd49d3df69a/WOPIServiceId_TP_EGNYTE_PLUS/WOPIUserId_-/"/>
    </mc:Choice>
  </mc:AlternateContent>
  <xr:revisionPtr revIDLastSave="549" documentId="13_ncr:1_{DFC54222-B2FE-46E4-8DDB-CD8E87BB1316}" xr6:coauthVersionLast="47" xr6:coauthVersionMax="47" xr10:uidLastSave="{3FDDA971-01E3-4C13-9B32-EB9A5D1E4064}"/>
  <bookViews>
    <workbookView xWindow="-108" yWindow="-108" windowWidth="23256" windowHeight="12456" tabRatio="779" xr2:uid="{00000000-000D-0000-FFFF-FFFF00000000}"/>
  </bookViews>
  <sheets>
    <sheet name="Sample 1" sheetId="1" r:id="rId1"/>
    <sheet name="Sample 1 plots" sheetId="40" r:id="rId2"/>
    <sheet name="Sample 2" sheetId="18" r:id="rId3"/>
    <sheet name="Sample 2 plots" sheetId="41" r:id="rId4"/>
    <sheet name="Sample 3" sheetId="20" r:id="rId5"/>
    <sheet name="Sample 3 plots" sheetId="42" r:id="rId6"/>
    <sheet name="Sample 4" sheetId="21" r:id="rId7"/>
    <sheet name="Sample 4 plots" sheetId="36" r:id="rId8"/>
    <sheet name="Sample 5" sheetId="22" r:id="rId9"/>
    <sheet name="Sample 5 plots" sheetId="35" r:id="rId10"/>
    <sheet name="Sample 6" sheetId="23" r:id="rId11"/>
    <sheet name="Sample 6 plots" sheetId="34" r:id="rId12"/>
    <sheet name="Sample 7" sheetId="24" r:id="rId13"/>
    <sheet name="Sample 7 plots" sheetId="43" r:id="rId14"/>
    <sheet name="Sample 8" sheetId="25" r:id="rId15"/>
    <sheet name="Sample 8 plots" sheetId="44" r:id="rId16"/>
    <sheet name="Sample 9" sheetId="26" r:id="rId17"/>
    <sheet name="Sample 9 plots" sheetId="45" r:id="rId18"/>
    <sheet name="Sample 10" sheetId="27" r:id="rId19"/>
    <sheet name="Sample 10 plots" sheetId="46" r:id="rId20"/>
    <sheet name="Sample 11" sheetId="28" r:id="rId21"/>
    <sheet name="Sample 11 plots" sheetId="47" r:id="rId22"/>
    <sheet name="Sample 12" sheetId="29" r:id="rId23"/>
    <sheet name="Sample 12 plots" sheetId="48" r:id="rId24"/>
    <sheet name="Sample 13" sheetId="30" r:id="rId25"/>
    <sheet name="Sample 13 plots" sheetId="37" r:id="rId26"/>
    <sheet name="Sample 14" sheetId="31" r:id="rId27"/>
    <sheet name="Sample 14 plots" sheetId="49" r:id="rId28"/>
    <sheet name="Sample 15" sheetId="32" r:id="rId29"/>
    <sheet name="Sample 15 plots" sheetId="38" r:id="rId30"/>
    <sheet name="Sheet1" sheetId="33" r:id="rId31"/>
  </sheets>
  <definedNames>
    <definedName name="solver_adj" localSheetId="0" hidden="1">'Sample 1'!#REF!,'Sample 1'!#REF!</definedName>
    <definedName name="solver_adj" localSheetId="1" hidden="1">'Sample 1 plots'!#REF!,'Sample 1 plots'!#REF!</definedName>
    <definedName name="solver_adj" localSheetId="18" hidden="1">'Sample 10'!#REF!</definedName>
    <definedName name="solver_adj" localSheetId="19" hidden="1">'Sample 10 plots'!#REF!</definedName>
    <definedName name="solver_adj" localSheetId="20" hidden="1">'Sample 11'!#REF!</definedName>
    <definedName name="solver_adj" localSheetId="21" hidden="1">'Sample 11 plots'!#REF!</definedName>
    <definedName name="solver_adj" localSheetId="22" hidden="1">'Sample 12'!#REF!</definedName>
    <definedName name="solver_adj" localSheetId="23" hidden="1">'Sample 12 plots'!#REF!</definedName>
    <definedName name="solver_adj" localSheetId="24" hidden="1">'Sample 13'!#REF!</definedName>
    <definedName name="solver_adj" localSheetId="25" hidden="1">'Sample 13 plots'!#REF!</definedName>
    <definedName name="solver_adj" localSheetId="26" hidden="1">'Sample 14'!#REF!</definedName>
    <definedName name="solver_adj" localSheetId="27" hidden="1">'Sample 14 plots'!#REF!</definedName>
    <definedName name="solver_adj" localSheetId="2" hidden="1">'Sample 2'!#REF!</definedName>
    <definedName name="solver_adj" localSheetId="3" hidden="1">'Sample 2 plots'!#REF!</definedName>
    <definedName name="solver_adj" localSheetId="4" hidden="1">'Sample 3'!#REF!</definedName>
    <definedName name="solver_adj" localSheetId="5" hidden="1">'Sample 3 plots'!#REF!</definedName>
    <definedName name="solver_adj" localSheetId="6" hidden="1">'Sample 4'!#REF!</definedName>
    <definedName name="solver_adj" localSheetId="7" hidden="1">'Sample 4 plots'!#REF!</definedName>
    <definedName name="solver_adj" localSheetId="8" hidden="1">'Sample 5'!#REF!</definedName>
    <definedName name="solver_adj" localSheetId="9" hidden="1">'Sample 5 plots'!#REF!</definedName>
    <definedName name="solver_adj" localSheetId="10" hidden="1">'Sample 6'!#REF!</definedName>
    <definedName name="solver_adj" localSheetId="11" hidden="1">'Sample 6 plots'!#REF!</definedName>
    <definedName name="solver_adj" localSheetId="12" hidden="1">'Sample 7'!#REF!</definedName>
    <definedName name="solver_adj" localSheetId="13" hidden="1">'Sample 7 plots'!#REF!</definedName>
    <definedName name="solver_adj" localSheetId="14" hidden="1">'Sample 8'!#REF!</definedName>
    <definedName name="solver_adj" localSheetId="15" hidden="1">'Sample 8 plots'!#REF!</definedName>
    <definedName name="solver_adj" localSheetId="16" hidden="1">'Sample 9'!#REF!</definedName>
    <definedName name="solver_adj" localSheetId="17" hidden="1">'Sample 9 plots'!#REF!</definedName>
    <definedName name="solver_cvg" localSheetId="0" hidden="1">0.0001</definedName>
    <definedName name="solver_cvg" localSheetId="1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drv" localSheetId="0" hidden="1">1</definedName>
    <definedName name="solver_drv" localSheetId="1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eng" localSheetId="0" hidden="1">1</definedName>
    <definedName name="solver_eng" localSheetId="1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st" localSheetId="0" hidden="1">1</definedName>
    <definedName name="solver_est" localSheetId="1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itr" localSheetId="0" hidden="1">2147483647</definedName>
    <definedName name="solver_itr" localSheetId="1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lhs1" localSheetId="18" hidden="1">'Sample 10'!#REF!</definedName>
    <definedName name="solver_lhs1" localSheetId="19" hidden="1">'Sample 10 plots'!#REF!</definedName>
    <definedName name="solver_lhs1" localSheetId="20" hidden="1">'Sample 11'!#REF!</definedName>
    <definedName name="solver_lhs1" localSheetId="21" hidden="1">'Sample 11 plots'!#REF!</definedName>
    <definedName name="solver_lhs1" localSheetId="22" hidden="1">'Sample 12'!#REF!</definedName>
    <definedName name="solver_lhs1" localSheetId="23" hidden="1">'Sample 12 plots'!#REF!</definedName>
    <definedName name="solver_lhs1" localSheetId="24" hidden="1">'Sample 13'!#REF!</definedName>
    <definedName name="solver_lhs1" localSheetId="25" hidden="1">'Sample 13 plots'!#REF!</definedName>
    <definedName name="solver_lhs1" localSheetId="26" hidden="1">'Sample 14'!#REF!</definedName>
    <definedName name="solver_lhs1" localSheetId="27" hidden="1">'Sample 14 plots'!#REF!</definedName>
    <definedName name="solver_lhs1" localSheetId="14" hidden="1">'Sample 8'!#REF!</definedName>
    <definedName name="solver_lhs1" localSheetId="15" hidden="1">'Sample 8 plots'!#REF!</definedName>
    <definedName name="solver_lhs1" localSheetId="16" hidden="1">'Sample 9'!#REF!</definedName>
    <definedName name="solver_lhs1" localSheetId="17" hidden="1">'Sample 9 plots'!#REF!</definedName>
    <definedName name="solver_lhs2" localSheetId="18" hidden="1">'Sample 10'!#REF!</definedName>
    <definedName name="solver_lhs2" localSheetId="19" hidden="1">'Sample 10 plots'!#REF!</definedName>
    <definedName name="solver_lhs2" localSheetId="20" hidden="1">'Sample 11'!#REF!</definedName>
    <definedName name="solver_lhs2" localSheetId="21" hidden="1">'Sample 11 plots'!#REF!</definedName>
    <definedName name="solver_lhs2" localSheetId="22" hidden="1">'Sample 12'!#REF!</definedName>
    <definedName name="solver_lhs2" localSheetId="23" hidden="1">'Sample 12 plots'!#REF!</definedName>
    <definedName name="solver_lhs2" localSheetId="24" hidden="1">'Sample 13'!#REF!</definedName>
    <definedName name="solver_lhs2" localSheetId="25" hidden="1">'Sample 13 plots'!#REF!</definedName>
    <definedName name="solver_lhs2" localSheetId="26" hidden="1">'Sample 14'!#REF!</definedName>
    <definedName name="solver_lhs2" localSheetId="27" hidden="1">'Sample 14 plots'!#REF!</definedName>
    <definedName name="solver_lhs2" localSheetId="14" hidden="1">'Sample 8'!#REF!</definedName>
    <definedName name="solver_lhs2" localSheetId="15" hidden="1">'Sample 8 plots'!#REF!</definedName>
    <definedName name="solver_lhs2" localSheetId="16" hidden="1">'Sample 9'!#REF!</definedName>
    <definedName name="solver_lhs2" localSheetId="17" hidden="1">'Sample 9 plots'!#REF!</definedName>
    <definedName name="solver_mip" localSheetId="0" hidden="1">2147483647</definedName>
    <definedName name="solver_mip" localSheetId="1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ni" localSheetId="0" hidden="1">30</definedName>
    <definedName name="solver_mni" localSheetId="1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rt" localSheetId="0" hidden="1">0.075</definedName>
    <definedName name="solver_mrt" localSheetId="1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sl" localSheetId="0" hidden="1">2</definedName>
    <definedName name="solver_msl" localSheetId="1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neg" localSheetId="0" hidden="1">1</definedName>
    <definedName name="solver_neg" localSheetId="1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od" localSheetId="0" hidden="1">2147483647</definedName>
    <definedName name="solver_nod" localSheetId="1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um" localSheetId="0" hidden="1">0</definedName>
    <definedName name="solver_num" localSheetId="1" hidden="1">0</definedName>
    <definedName name="solver_num" localSheetId="18" hidden="1">0</definedName>
    <definedName name="solver_num" localSheetId="19" hidden="1">0</definedName>
    <definedName name="solver_num" localSheetId="20" hidden="1">2</definedName>
    <definedName name="solver_num" localSheetId="21" hidden="1">2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wt" localSheetId="0" hidden="1">1</definedName>
    <definedName name="solver_nwt" localSheetId="1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opt" localSheetId="0" hidden="1">'Sample 1'!#REF!</definedName>
    <definedName name="solver_opt" localSheetId="1" hidden="1">'Sample 1 plots'!#REF!</definedName>
    <definedName name="solver_opt" localSheetId="18" hidden="1">'Sample 10'!#REF!</definedName>
    <definedName name="solver_opt" localSheetId="19" hidden="1">'Sample 10 plots'!#REF!</definedName>
    <definedName name="solver_opt" localSheetId="20" hidden="1">'Sample 11'!#REF!</definedName>
    <definedName name="solver_opt" localSheetId="21" hidden="1">'Sample 11 plots'!#REF!</definedName>
    <definedName name="solver_opt" localSheetId="22" hidden="1">'Sample 12'!#REF!</definedName>
    <definedName name="solver_opt" localSheetId="23" hidden="1">'Sample 12 plots'!#REF!</definedName>
    <definedName name="solver_opt" localSheetId="24" hidden="1">'Sample 13'!#REF!</definedName>
    <definedName name="solver_opt" localSheetId="25" hidden="1">'Sample 13 plots'!#REF!</definedName>
    <definedName name="solver_opt" localSheetId="26" hidden="1">'Sample 14'!#REF!</definedName>
    <definedName name="solver_opt" localSheetId="27" hidden="1">'Sample 14 plots'!#REF!</definedName>
    <definedName name="solver_opt" localSheetId="2" hidden="1">'Sample 2'!#REF!</definedName>
    <definedName name="solver_opt" localSheetId="3" hidden="1">'Sample 2 plots'!#REF!</definedName>
    <definedName name="solver_opt" localSheetId="4" hidden="1">'Sample 3'!#REF!</definedName>
    <definedName name="solver_opt" localSheetId="5" hidden="1">'Sample 3 plots'!#REF!</definedName>
    <definedName name="solver_opt" localSheetId="6" hidden="1">'Sample 4'!#REF!</definedName>
    <definedName name="solver_opt" localSheetId="7" hidden="1">'Sample 4 plots'!#REF!</definedName>
    <definedName name="solver_opt" localSheetId="8" hidden="1">'Sample 5'!#REF!</definedName>
    <definedName name="solver_opt" localSheetId="9" hidden="1">'Sample 5 plots'!#REF!</definedName>
    <definedName name="solver_opt" localSheetId="10" hidden="1">'Sample 6'!#REF!</definedName>
    <definedName name="solver_opt" localSheetId="11" hidden="1">'Sample 6 plots'!#REF!</definedName>
    <definedName name="solver_opt" localSheetId="12" hidden="1">'Sample 7'!#REF!</definedName>
    <definedName name="solver_opt" localSheetId="13" hidden="1">'Sample 7 plots'!#REF!</definedName>
    <definedName name="solver_opt" localSheetId="14" hidden="1">'Sample 8'!#REF!</definedName>
    <definedName name="solver_opt" localSheetId="15" hidden="1">'Sample 8 plots'!#REF!</definedName>
    <definedName name="solver_opt" localSheetId="16" hidden="1">'Sample 9'!#REF!</definedName>
    <definedName name="solver_opt" localSheetId="17" hidden="1">'Sample 9 plots'!#REF!</definedName>
    <definedName name="solver_pre" localSheetId="0" hidden="1">0.000001</definedName>
    <definedName name="solver_pre" localSheetId="1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rbv" localSheetId="0" hidden="1">1</definedName>
    <definedName name="solver_rbv" localSheetId="1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el1" localSheetId="18" hidden="1">3</definedName>
    <definedName name="solver_rel1" localSheetId="19" hidden="1">3</definedName>
    <definedName name="solver_rel1" localSheetId="20" hidden="1">3</definedName>
    <definedName name="solver_rel1" localSheetId="21" hidden="1">3</definedName>
    <definedName name="solver_rel1" localSheetId="22" hidden="1">3</definedName>
    <definedName name="solver_rel1" localSheetId="23" hidden="1">3</definedName>
    <definedName name="solver_rel1" localSheetId="24" hidden="1">3</definedName>
    <definedName name="solver_rel1" localSheetId="25" hidden="1">3</definedName>
    <definedName name="solver_rel1" localSheetId="26" hidden="1">3</definedName>
    <definedName name="solver_rel1" localSheetId="27" hidden="1">3</definedName>
    <definedName name="solver_rel1" localSheetId="14" hidden="1">3</definedName>
    <definedName name="solver_rel1" localSheetId="15" hidden="1">3</definedName>
    <definedName name="solver_rel1" localSheetId="16" hidden="1">3</definedName>
    <definedName name="solver_rel1" localSheetId="17" hidden="1">3</definedName>
    <definedName name="solver_rel2" localSheetId="18" hidden="1">3</definedName>
    <definedName name="solver_rel2" localSheetId="19" hidden="1">3</definedName>
    <definedName name="solver_rel2" localSheetId="20" hidden="1">3</definedName>
    <definedName name="solver_rel2" localSheetId="21" hidden="1">3</definedName>
    <definedName name="solver_rel2" localSheetId="22" hidden="1">3</definedName>
    <definedName name="solver_rel2" localSheetId="23" hidden="1">3</definedName>
    <definedName name="solver_rel2" localSheetId="24" hidden="1">3</definedName>
    <definedName name="solver_rel2" localSheetId="25" hidden="1">3</definedName>
    <definedName name="solver_rel2" localSheetId="26" hidden="1">3</definedName>
    <definedName name="solver_rel2" localSheetId="27" hidden="1">3</definedName>
    <definedName name="solver_rel2" localSheetId="14" hidden="1">3</definedName>
    <definedName name="solver_rel2" localSheetId="15" hidden="1">3</definedName>
    <definedName name="solver_rel2" localSheetId="16" hidden="1">3</definedName>
    <definedName name="solver_rel2" localSheetId="17" hidden="1">3</definedName>
    <definedName name="solver_rhs1" localSheetId="18" hidden="1">0.001</definedName>
    <definedName name="solver_rhs1" localSheetId="19" hidden="1">0.001</definedName>
    <definedName name="solver_rhs1" localSheetId="20" hidden="1">0.001</definedName>
    <definedName name="solver_rhs1" localSheetId="21" hidden="1">0.001</definedName>
    <definedName name="solver_rhs1" localSheetId="22" hidden="1">0.001</definedName>
    <definedName name="solver_rhs1" localSheetId="23" hidden="1">0.001</definedName>
    <definedName name="solver_rhs1" localSheetId="24" hidden="1">0.001</definedName>
    <definedName name="solver_rhs1" localSheetId="25" hidden="1">0.001</definedName>
    <definedName name="solver_rhs1" localSheetId="26" hidden="1">0.001</definedName>
    <definedName name="solver_rhs1" localSheetId="27" hidden="1">0.001</definedName>
    <definedName name="solver_rhs1" localSheetId="14" hidden="1">0.001</definedName>
    <definedName name="solver_rhs1" localSheetId="15" hidden="1">0.001</definedName>
    <definedName name="solver_rhs1" localSheetId="16" hidden="1">0.001</definedName>
    <definedName name="solver_rhs1" localSheetId="17" hidden="1">0.001</definedName>
    <definedName name="solver_rhs2" localSheetId="18" hidden="1">0.001</definedName>
    <definedName name="solver_rhs2" localSheetId="19" hidden="1">0.001</definedName>
    <definedName name="solver_rhs2" localSheetId="20" hidden="1">0.001</definedName>
    <definedName name="solver_rhs2" localSheetId="21" hidden="1">0.001</definedName>
    <definedName name="solver_rhs2" localSheetId="22" hidden="1">0.001</definedName>
    <definedName name="solver_rhs2" localSheetId="23" hidden="1">0.001</definedName>
    <definedName name="solver_rhs2" localSheetId="24" hidden="1">0.001</definedName>
    <definedName name="solver_rhs2" localSheetId="25" hidden="1">0.001</definedName>
    <definedName name="solver_rhs2" localSheetId="26" hidden="1">0.001</definedName>
    <definedName name="solver_rhs2" localSheetId="27" hidden="1">0.001</definedName>
    <definedName name="solver_rhs2" localSheetId="14" hidden="1">0.001</definedName>
    <definedName name="solver_rhs2" localSheetId="15" hidden="1">0.001</definedName>
    <definedName name="solver_rhs2" localSheetId="16" hidden="1">0.001</definedName>
    <definedName name="solver_rhs2" localSheetId="17" hidden="1">0.001</definedName>
    <definedName name="solver_rlx" localSheetId="0" hidden="1">2</definedName>
    <definedName name="solver_rlx" localSheetId="1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sd" localSheetId="0" hidden="1">0</definedName>
    <definedName name="solver_rsd" localSheetId="1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scl" localSheetId="0" hidden="1">1</definedName>
    <definedName name="solver_scl" localSheetId="1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ho" localSheetId="0" hidden="1">2</definedName>
    <definedName name="solver_sho" localSheetId="1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sz" localSheetId="0" hidden="1">100</definedName>
    <definedName name="solver_ssz" localSheetId="1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tim" localSheetId="0" hidden="1">2147483647</definedName>
    <definedName name="solver_tim" localSheetId="1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ol" localSheetId="0" hidden="1">0.01</definedName>
    <definedName name="solver_tol" localSheetId="1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yp" localSheetId="0" hidden="1">2</definedName>
    <definedName name="solver_typ" localSheetId="1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val" localSheetId="0" hidden="1">0</definedName>
    <definedName name="solver_val" localSheetId="1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er" localSheetId="0" hidden="1">3</definedName>
    <definedName name="solver_ver" localSheetId="1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34" l="1"/>
  <c r="K4" i="34"/>
  <c r="AH20" i="23"/>
  <c r="AJ9" i="23"/>
  <c r="AJ10" i="23"/>
  <c r="AJ11" i="23"/>
  <c r="AJ12" i="23"/>
  <c r="AJ8" i="23"/>
  <c r="AG22" i="23"/>
  <c r="AH22" i="23" s="1"/>
  <c r="AI22" i="23" s="1"/>
  <c r="AG23" i="23"/>
  <c r="AH23" i="23" s="1"/>
  <c r="AI23" i="23" s="1"/>
  <c r="AG24" i="23"/>
  <c r="AH24" i="23" s="1"/>
  <c r="AI24" i="23" s="1"/>
  <c r="AG25" i="23"/>
  <c r="AH25" i="23" s="1"/>
  <c r="AI25" i="23" s="1"/>
  <c r="AG21" i="23"/>
  <c r="AH21" i="23" s="1"/>
  <c r="AI21" i="23" s="1"/>
  <c r="AH14" i="23"/>
  <c r="AG14" i="23"/>
  <c r="AH13" i="23"/>
  <c r="AG13" i="23"/>
  <c r="AH8" i="23"/>
  <c r="AH9" i="23"/>
  <c r="AH10" i="23"/>
  <c r="AH11" i="23"/>
  <c r="AH12" i="23"/>
  <c r="AH7" i="23"/>
  <c r="AG6" i="23"/>
  <c r="AG7" i="23"/>
  <c r="AG8" i="23"/>
  <c r="AG9" i="23"/>
  <c r="AG10" i="23"/>
  <c r="AG11" i="23"/>
  <c r="AG12" i="23"/>
  <c r="AF12" i="23"/>
  <c r="AF7" i="23"/>
  <c r="AF8" i="23"/>
  <c r="AF9" i="23"/>
  <c r="AF10" i="23"/>
  <c r="AF11" i="23"/>
  <c r="AF6" i="23"/>
  <c r="S5" i="23"/>
  <c r="K4" i="23"/>
  <c r="AI26" i="23" l="1"/>
</calcChain>
</file>

<file path=xl/sharedStrings.xml><?xml version="1.0" encoding="utf-8"?>
<sst xmlns="http://schemas.openxmlformats.org/spreadsheetml/2006/main" count="3291" uniqueCount="106">
  <si>
    <t>City of London (CL)</t>
  </si>
  <si>
    <t>Greenway WWTP (GW)</t>
  </si>
  <si>
    <t>London, ON, Canada</t>
  </si>
  <si>
    <t>Test ID</t>
  </si>
  <si>
    <t>Time (min)</t>
  </si>
  <si>
    <t>Disinfectant concentration (mg/L)</t>
  </si>
  <si>
    <r>
      <rPr>
        <b/>
        <i/>
        <sz val="11"/>
        <color theme="1"/>
        <rFont val="Calibri"/>
        <family val="2"/>
        <scheme val="minor"/>
      </rPr>
      <t>E. coli</t>
    </r>
    <r>
      <rPr>
        <b/>
        <sz val="11"/>
        <color theme="1"/>
        <rFont val="Calibri"/>
        <family val="2"/>
        <scheme val="minor"/>
      </rPr>
      <t xml:space="preserve"> (CFU/100 mL)</t>
    </r>
  </si>
  <si>
    <t>Fecal coliforms (CFU/100 mL)</t>
  </si>
  <si>
    <t>Total coliforms (CFU/100 mL)</t>
  </si>
  <si>
    <t>Enterococci (CFU/100mL)</t>
  </si>
  <si>
    <t>CL-GW-SE-111323</t>
  </si>
  <si>
    <t>Sample ID: A-1-SE-111323</t>
  </si>
  <si>
    <t>PFA</t>
  </si>
  <si>
    <t>PAA</t>
  </si>
  <si>
    <t>Monochloramine (mg/L)</t>
  </si>
  <si>
    <t>Hypochlorite (Total)</t>
  </si>
  <si>
    <t>not measured</t>
  </si>
  <si>
    <t>Hypochlorite (Free)</t>
  </si>
  <si>
    <t xml:space="preserve">
</t>
  </si>
  <si>
    <t>Oxford WWTP (OX)</t>
  </si>
  <si>
    <r>
      <rPr>
        <b/>
        <i/>
        <sz val="11"/>
        <color rgb="FF000000"/>
        <rFont val="Calibri"/>
        <family val="2"/>
        <scheme val="minor"/>
      </rPr>
      <t xml:space="preserve">Enterococci </t>
    </r>
    <r>
      <rPr>
        <b/>
        <sz val="11"/>
        <color rgb="FF000000"/>
        <rFont val="Calibri"/>
        <family val="2"/>
        <scheme val="minor"/>
      </rPr>
      <t>(CFU/100mL)</t>
    </r>
  </si>
  <si>
    <t>CL-OX-SE-112823</t>
  </si>
  <si>
    <t>&lt;4</t>
  </si>
  <si>
    <t>Sample ID: B-1-SE-112823</t>
  </si>
  <si>
    <t>&lt;1</t>
  </si>
  <si>
    <t>Great Lakes Water Authority (GLWA)</t>
  </si>
  <si>
    <t>Detroit, MI, USA</t>
  </si>
  <si>
    <t>GLWA-GLWA-SE-120423</t>
  </si>
  <si>
    <t>Sample ID: C-1-SE-120423</t>
  </si>
  <si>
    <t>Metro Water Recovery (MWR)</t>
  </si>
  <si>
    <t>Denver, CO, USA</t>
  </si>
  <si>
    <r>
      <rPr>
        <b/>
        <sz val="11"/>
        <color rgb="FF000000"/>
        <rFont val="Calibri"/>
        <family val="2"/>
        <scheme val="minor"/>
      </rPr>
      <t>Enterococci (CFU/100mL)</t>
    </r>
  </si>
  <si>
    <t>MWR-MWR-SE-121123</t>
  </si>
  <si>
    <t>Sample ID: D-1-SE-121123</t>
  </si>
  <si>
    <t>Hampton Roads Sanitation District (HRSD)</t>
  </si>
  <si>
    <t>York River (YR)</t>
  </si>
  <si>
    <t>Seaford, VA, USA</t>
  </si>
  <si>
    <t>HRSD-YR-SE-010824</t>
  </si>
  <si>
    <t>Sample ID: E-1-SE-010824</t>
  </si>
  <si>
    <t>Army Base (AB)</t>
  </si>
  <si>
    <t>HRSD-AB-SE-012224</t>
  </si>
  <si>
    <t>Sample ID: F-1-SE-012224</t>
  </si>
  <si>
    <t>Experimental Details</t>
  </si>
  <si>
    <t>**PFA residual @ time = 0 corresponds to Co (added PFA)</t>
  </si>
  <si>
    <t>PFA Residual (mg/L)</t>
  </si>
  <si>
    <t>CL-GW-SE-012924</t>
  </si>
  <si>
    <t>Sample ID: A-2-SE-012924</t>
  </si>
  <si>
    <t>**PAA residual @ time = 0 corresponds to Co (added PAA)</t>
  </si>
  <si>
    <t>**Cl2 residual @ time = 0 corresponds to Co (added Cl2)</t>
  </si>
  <si>
    <t>Cl2 Residual (mg/L)</t>
  </si>
  <si>
    <t>Pinellas County (PC)</t>
  </si>
  <si>
    <t>South Cross Bayou Advanced Water Reclamation Facility (SCB)</t>
  </si>
  <si>
    <t>Kenneth City, FL, USA</t>
  </si>
  <si>
    <t>PC-SCB-SE-020524</t>
  </si>
  <si>
    <t>Sample ID: G-1-SE-020524</t>
  </si>
  <si>
    <t>PAA Residual (mg/L)</t>
  </si>
  <si>
    <t>South Platte Renew (SPR)</t>
  </si>
  <si>
    <t>Englewood, CO, USA</t>
  </si>
  <si>
    <t>SPR-SPR-SE-021224</t>
  </si>
  <si>
    <t>Sample ID: H-1-SE-021224</t>
  </si>
  <si>
    <t>CL-OX-SE-022624</t>
  </si>
  <si>
    <t>Sample ID: B-2-SE-022624</t>
  </si>
  <si>
    <t>&lt;2</t>
  </si>
  <si>
    <t>Narragansett Bay Commission (NBC)</t>
  </si>
  <si>
    <t>Field’s Point Facility (FPF)</t>
  </si>
  <si>
    <t>Providence, RI, USA</t>
  </si>
  <si>
    <t>NBC-FPF-SE-030424</t>
  </si>
  <si>
    <t>Sample ID: I-1-SE-030424</t>
  </si>
  <si>
    <t>It may be repeated.</t>
  </si>
  <si>
    <t>CLWA-GLWA-SE-031124</t>
  </si>
  <si>
    <t>Sample ID: C-2-SE-031124</t>
  </si>
  <si>
    <t>Metro Sewer District of Greater Cincinnati (MSDGC)</t>
  </si>
  <si>
    <t>Cincinnati, OH, USA</t>
  </si>
  <si>
    <t>MSDGC-MSD-SE-040124</t>
  </si>
  <si>
    <t>Sample ID: J-1-SE-040124</t>
  </si>
  <si>
    <t>Philadelphia Water Department (PWD)</t>
  </si>
  <si>
    <t>Philadelphia, PA, USA</t>
  </si>
  <si>
    <t>PWD-PWD-SE-051324</t>
  </si>
  <si>
    <t>Sample ID: K-1-SE-051324</t>
  </si>
  <si>
    <t>NBC-FPF-SE-090924</t>
  </si>
  <si>
    <t>Sample ID: I-2-SE-090924</t>
  </si>
  <si>
    <t>Repeat of Sample 11.</t>
  </si>
  <si>
    <t>SH</t>
  </si>
  <si>
    <t>CSO</t>
  </si>
  <si>
    <t>CT</t>
  </si>
  <si>
    <t>MNV</t>
  </si>
  <si>
    <t>CFD</t>
  </si>
  <si>
    <t>GLWA</t>
  </si>
  <si>
    <t>U.S.</t>
  </si>
  <si>
    <t>DBP</t>
  </si>
  <si>
    <t>ARMY BASE</t>
  </si>
  <si>
    <r>
      <rPr>
        <b/>
        <i/>
        <sz val="12"/>
        <color theme="1"/>
        <rFont val="Calibri"/>
        <family val="2"/>
        <scheme val="minor"/>
      </rPr>
      <t>E. coli</t>
    </r>
    <r>
      <rPr>
        <b/>
        <sz val="12"/>
        <color theme="1"/>
        <rFont val="Calibri"/>
        <family val="2"/>
        <scheme val="minor"/>
      </rPr>
      <t xml:space="preserve"> (CFU/100 mL)</t>
    </r>
  </si>
  <si>
    <r>
      <rPr>
        <b/>
        <sz val="12"/>
        <color rgb="FF000000"/>
        <rFont val="Calibri"/>
        <family val="2"/>
        <scheme val="minor"/>
      </rPr>
      <t>Enterococci (CFU/100mL)</t>
    </r>
  </si>
  <si>
    <t>C(t)=(Co-D)*exp(-k*t)</t>
  </si>
  <si>
    <t>D</t>
  </si>
  <si>
    <t>Co</t>
  </si>
  <si>
    <r>
      <t>ICT = (Co - D) *(1- e</t>
    </r>
    <r>
      <rPr>
        <vertAlign val="superscript"/>
        <sz val="24"/>
        <rFont val="Calibri"/>
        <family val="2"/>
        <scheme val="minor"/>
      </rPr>
      <t>-kt</t>
    </r>
    <r>
      <rPr>
        <sz val="24"/>
        <rFont val="Calibri"/>
        <family val="2"/>
        <scheme val="minor"/>
      </rPr>
      <t>)</t>
    </r>
  </si>
  <si>
    <t>K</t>
  </si>
  <si>
    <t>Co-D</t>
  </si>
  <si>
    <t>X</t>
  </si>
  <si>
    <t>Y</t>
  </si>
  <si>
    <t>ICT</t>
  </si>
  <si>
    <t>1/min</t>
  </si>
  <si>
    <t>mg/L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</si>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</sst>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trike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name val="Calibri"/>
      <family val="2"/>
      <scheme val="minor"/>
    </font>
    <font>
      <sz val="24"/>
      <name val="Calibri"/>
      <family val="2"/>
      <scheme val="minor"/>
    </font>
    <font>
      <vertAlign val="superscript"/>
      <sz val="2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9" xfId="0" applyFont="1" applyBorder="1"/>
    <xf numFmtId="0" fontId="2" fillId="0" borderId="9" xfId="0" applyFont="1" applyBorder="1"/>
    <xf numFmtId="0" fontId="3" fillId="0" borderId="4" xfId="0" applyFont="1" applyBorder="1"/>
    <xf numFmtId="0" fontId="3" fillId="0" borderId="6" xfId="0" applyFont="1" applyBorder="1"/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10" xfId="0" applyFont="1" applyBorder="1"/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horizontal="center"/>
    </xf>
    <xf numFmtId="0" fontId="3" fillId="0" borderId="8" xfId="0" applyFont="1" applyBorder="1"/>
    <xf numFmtId="164" fontId="3" fillId="0" borderId="0" xfId="0" applyNumberFormat="1" applyFont="1"/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9" xfId="0" applyBorder="1"/>
    <xf numFmtId="0" fontId="1" fillId="0" borderId="9" xfId="0" applyFont="1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1" fontId="0" fillId="0" borderId="1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10" xfId="0" applyBorder="1"/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0" xfId="0" applyFont="1" applyFill="1" applyAlignment="1">
      <alignment horizontal="left"/>
    </xf>
    <xf numFmtId="15" fontId="10" fillId="3" borderId="0" xfId="0" applyNumberFormat="1" applyFont="1" applyFill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0" fontId="3" fillId="0" borderId="3" xfId="0" applyFont="1" applyBorder="1"/>
    <xf numFmtId="0" fontId="7" fillId="0" borderId="13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2" fontId="7" fillId="0" borderId="15" xfId="0" applyNumberFormat="1" applyFont="1" applyBorder="1" applyAlignment="1">
      <alignment horizontal="center"/>
    </xf>
    <xf numFmtId="2" fontId="7" fillId="0" borderId="24" xfId="0" applyNumberFormat="1" applyFon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7" fillId="0" borderId="28" xfId="0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6" fillId="0" borderId="1" xfId="0" applyFont="1" applyBorder="1" applyAlignment="1">
      <alignment horizontal="center" vertical="center"/>
    </xf>
    <xf numFmtId="2" fontId="7" fillId="0" borderId="14" xfId="0" applyNumberFormat="1" applyFont="1" applyBorder="1" applyAlignment="1">
      <alignment horizontal="center"/>
    </xf>
    <xf numFmtId="2" fontId="7" fillId="0" borderId="26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5" fontId="7" fillId="0" borderId="26" xfId="0" applyNumberFormat="1" applyFont="1" applyBorder="1" applyAlignment="1">
      <alignment horizontal="center"/>
    </xf>
    <xf numFmtId="165" fontId="7" fillId="0" borderId="37" xfId="0" applyNumberFormat="1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2" fontId="7" fillId="0" borderId="36" xfId="0" applyNumberFormat="1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2" fontId="7" fillId="0" borderId="41" xfId="0" applyNumberFormat="1" applyFont="1" applyBorder="1" applyAlignment="1">
      <alignment horizontal="center"/>
    </xf>
    <xf numFmtId="0" fontId="11" fillId="0" borderId="5" xfId="0" applyFont="1" applyBorder="1"/>
    <xf numFmtId="1" fontId="3" fillId="0" borderId="10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3" fillId="0" borderId="42" xfId="0" applyFont="1" applyBorder="1" applyAlignment="1">
      <alignment vertical="center" wrapText="1"/>
    </xf>
    <xf numFmtId="0" fontId="3" fillId="0" borderId="42" xfId="0" applyFont="1" applyBorder="1" applyAlignment="1">
      <alignment horizontal="center"/>
    </xf>
    <xf numFmtId="0" fontId="3" fillId="0" borderId="42" xfId="0" applyFont="1" applyBorder="1"/>
    <xf numFmtId="0" fontId="3" fillId="0" borderId="43" xfId="0" applyFont="1" applyBorder="1"/>
    <xf numFmtId="0" fontId="3" fillId="0" borderId="9" xfId="0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2" fontId="7" fillId="0" borderId="37" xfId="0" applyNumberFormat="1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2" fontId="7" fillId="0" borderId="40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12" fillId="6" borderId="0" xfId="0" applyFont="1" applyFill="1"/>
    <xf numFmtId="0" fontId="1" fillId="0" borderId="48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1" xfId="0" applyBorder="1"/>
    <xf numFmtId="0" fontId="7" fillId="3" borderId="49" xfId="0" applyFont="1" applyFill="1" applyBorder="1" applyAlignment="1">
      <alignment horizontal="center"/>
    </xf>
    <xf numFmtId="0" fontId="7" fillId="3" borderId="50" xfId="0" applyFont="1" applyFill="1" applyBorder="1" applyAlignment="1">
      <alignment horizontal="center"/>
    </xf>
    <xf numFmtId="2" fontId="7" fillId="3" borderId="28" xfId="0" applyNumberFormat="1" applyFont="1" applyFill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3" fillId="0" borderId="1" xfId="0" applyFont="1" applyBorder="1"/>
    <xf numFmtId="1" fontId="3" fillId="0" borderId="2" xfId="0" applyNumberFormat="1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2" fontId="7" fillId="3" borderId="34" xfId="0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3" fillId="3" borderId="0" xfId="0" applyFont="1" applyFill="1" applyAlignment="1">
      <alignment horizontal="left"/>
    </xf>
    <xf numFmtId="0" fontId="14" fillId="0" borderId="0" xfId="0" applyFont="1"/>
    <xf numFmtId="0" fontId="15" fillId="3" borderId="0" xfId="0" applyFont="1" applyFill="1" applyAlignment="1">
      <alignment horizontal="left"/>
    </xf>
    <xf numFmtId="0" fontId="16" fillId="0" borderId="9" xfId="0" applyFont="1" applyBorder="1"/>
    <xf numFmtId="0" fontId="14" fillId="0" borderId="9" xfId="0" applyFont="1" applyBorder="1"/>
    <xf numFmtId="0" fontId="14" fillId="0" borderId="4" xfId="0" applyFont="1" applyBorder="1"/>
    <xf numFmtId="0" fontId="16" fillId="0" borderId="5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6" fillId="0" borderId="0" xfId="0" applyFont="1"/>
    <xf numFmtId="15" fontId="13" fillId="3" borderId="0" xfId="0" applyNumberFormat="1" applyFont="1" applyFill="1" applyAlignment="1">
      <alignment horizontal="left"/>
    </xf>
    <xf numFmtId="0" fontId="19" fillId="4" borderId="1" xfId="0" applyFont="1" applyFill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2" fontId="20" fillId="0" borderId="1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164" fontId="14" fillId="0" borderId="0" xfId="0" applyNumberFormat="1" applyFont="1"/>
    <xf numFmtId="0" fontId="14" fillId="0" borderId="6" xfId="0" applyFont="1" applyBorder="1"/>
    <xf numFmtId="0" fontId="16" fillId="0" borderId="7" xfId="0" applyFont="1" applyBorder="1" applyAlignment="1">
      <alignment horizontal="center" vertical="center" wrapText="1"/>
    </xf>
    <xf numFmtId="0" fontId="14" fillId="0" borderId="10" xfId="0" applyFont="1" applyBorder="1"/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center"/>
    </xf>
    <xf numFmtId="2" fontId="14" fillId="0" borderId="10" xfId="0" applyNumberFormat="1" applyFont="1" applyBorder="1" applyAlignment="1">
      <alignment horizontal="center"/>
    </xf>
    <xf numFmtId="164" fontId="14" fillId="0" borderId="10" xfId="0" applyNumberFormat="1" applyFont="1" applyBorder="1"/>
    <xf numFmtId="0" fontId="14" fillId="0" borderId="8" xfId="0" applyFont="1" applyBorder="1"/>
    <xf numFmtId="0" fontId="16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9" fillId="0" borderId="1" xfId="0" applyFont="1" applyBorder="1"/>
    <xf numFmtId="0" fontId="20" fillId="3" borderId="51" xfId="0" applyFont="1" applyFill="1" applyBorder="1" applyAlignment="1">
      <alignment horizontal="center"/>
    </xf>
    <xf numFmtId="2" fontId="20" fillId="3" borderId="51" xfId="0" applyNumberFormat="1" applyFont="1" applyFill="1" applyBorder="1" applyAlignment="1">
      <alignment horizontal="center"/>
    </xf>
    <xf numFmtId="2" fontId="20" fillId="3" borderId="55" xfId="0" applyNumberFormat="1" applyFont="1" applyFill="1" applyBorder="1" applyAlignment="1">
      <alignment horizontal="center"/>
    </xf>
    <xf numFmtId="0" fontId="14" fillId="0" borderId="1" xfId="0" applyFont="1" applyBorder="1"/>
    <xf numFmtId="0" fontId="19" fillId="0" borderId="18" xfId="0" applyFont="1" applyBorder="1" applyAlignment="1">
      <alignment horizontal="center"/>
    </xf>
    <xf numFmtId="1" fontId="14" fillId="0" borderId="18" xfId="0" applyNumberFormat="1" applyFont="1" applyBorder="1" applyAlignment="1">
      <alignment horizontal="center"/>
    </xf>
    <xf numFmtId="1" fontId="14" fillId="0" borderId="54" xfId="0" applyNumberFormat="1" applyFont="1" applyBorder="1" applyAlignment="1">
      <alignment horizontal="center"/>
    </xf>
    <xf numFmtId="1" fontId="14" fillId="0" borderId="0" xfId="0" applyNumberFormat="1" applyFont="1" applyAlignment="1">
      <alignment horizontal="center"/>
    </xf>
    <xf numFmtId="1" fontId="14" fillId="0" borderId="6" xfId="0" applyNumberFormat="1" applyFont="1" applyBorder="1" applyAlignment="1">
      <alignment horizontal="center"/>
    </xf>
    <xf numFmtId="0" fontId="13" fillId="3" borderId="0" xfId="0" applyFont="1" applyFill="1" applyAlignment="1">
      <alignment horizontal="left" wrapText="1"/>
    </xf>
    <xf numFmtId="0" fontId="14" fillId="0" borderId="0" xfId="0" applyFont="1" applyAlignment="1">
      <alignment wrapText="1"/>
    </xf>
    <xf numFmtId="0" fontId="16" fillId="2" borderId="1" xfId="0" applyFont="1" applyFill="1" applyBorder="1" applyAlignment="1">
      <alignment horizontal="center" wrapText="1"/>
    </xf>
    <xf numFmtId="0" fontId="16" fillId="2" borderId="22" xfId="0" applyFont="1" applyFill="1" applyBorder="1" applyAlignment="1">
      <alignment horizont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3" fillId="0" borderId="1" xfId="0" applyFont="1" applyBorder="1" applyAlignment="1">
      <alignment horizontal="center" vertical="center" wrapText="1"/>
    </xf>
    <xf numFmtId="15" fontId="13" fillId="3" borderId="0" xfId="0" applyNumberFormat="1" applyFont="1" applyFill="1" applyAlignment="1">
      <alignment horizontal="left" wrapText="1"/>
    </xf>
    <xf numFmtId="0" fontId="18" fillId="0" borderId="1" xfId="0" applyFont="1" applyBorder="1" applyAlignment="1">
      <alignment horizontal="center" vertical="center" wrapText="1"/>
    </xf>
    <xf numFmtId="2" fontId="19" fillId="0" borderId="30" xfId="0" applyNumberFormat="1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38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2" fontId="20" fillId="0" borderId="30" xfId="0" applyNumberFormat="1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2" fontId="19" fillId="0" borderId="32" xfId="0" applyNumberFormat="1" applyFon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2" fontId="20" fillId="0" borderId="32" xfId="0" applyNumberFormat="1" applyFont="1" applyBorder="1" applyAlignment="1">
      <alignment horizontal="center"/>
    </xf>
    <xf numFmtId="2" fontId="20" fillId="3" borderId="30" xfId="0" applyNumberFormat="1" applyFont="1" applyFill="1" applyBorder="1" applyAlignment="1">
      <alignment horizontal="center"/>
    </xf>
    <xf numFmtId="0" fontId="20" fillId="0" borderId="51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20" fillId="0" borderId="34" xfId="0" applyFont="1" applyBorder="1" applyAlignment="1">
      <alignment horizontal="center"/>
    </xf>
    <xf numFmtId="0" fontId="20" fillId="0" borderId="35" xfId="0" applyFont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2" fontId="19" fillId="0" borderId="36" xfId="0" applyNumberFormat="1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2" fontId="20" fillId="0" borderId="26" xfId="0" applyNumberFormat="1" applyFont="1" applyBorder="1" applyAlignment="1">
      <alignment horizontal="center"/>
    </xf>
    <xf numFmtId="0" fontId="20" fillId="0" borderId="37" xfId="0" applyFont="1" applyBorder="1" applyAlignment="1">
      <alignment horizontal="center"/>
    </xf>
    <xf numFmtId="0" fontId="14" fillId="0" borderId="5" xfId="0" applyFont="1" applyBorder="1"/>
    <xf numFmtId="0" fontId="14" fillId="0" borderId="7" xfId="0" applyFont="1" applyBorder="1"/>
    <xf numFmtId="2" fontId="14" fillId="0" borderId="0" xfId="0" applyNumberFormat="1" applyFont="1"/>
    <xf numFmtId="0" fontId="14" fillId="0" borderId="56" xfId="0" applyFont="1" applyBorder="1"/>
    <xf numFmtId="2" fontId="14" fillId="0" borderId="56" xfId="0" applyNumberFormat="1" applyFont="1" applyBorder="1"/>
    <xf numFmtId="0" fontId="22" fillId="0" borderId="0" xfId="0" applyFont="1"/>
    <xf numFmtId="166" fontId="14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23" fillId="0" borderId="56" xfId="0" applyFont="1" applyBorder="1" applyAlignment="1">
      <alignment horizontal="center" wrapText="1"/>
    </xf>
    <xf numFmtId="0" fontId="14" fillId="2" borderId="30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0" fillId="7" borderId="0" xfId="0" applyFill="1"/>
    <xf numFmtId="0" fontId="0" fillId="7" borderId="9" xfId="0" applyFill="1" applyBorder="1"/>
    <xf numFmtId="0" fontId="1" fillId="7" borderId="11" xfId="0" applyFon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0" xfId="0" applyFill="1" applyBorder="1" applyAlignment="1">
      <alignment horizontal="center"/>
    </xf>
    <xf numFmtId="0" fontId="1" fillId="7" borderId="11" xfId="0" applyFont="1" applyFill="1" applyBorder="1" applyAlignment="1">
      <alignment horizontal="center" vertical="center"/>
    </xf>
    <xf numFmtId="0" fontId="1" fillId="7" borderId="48" xfId="0" applyFont="1" applyFill="1" applyBorder="1" applyAlignment="1">
      <alignment horizontal="center" vertical="center"/>
    </xf>
    <xf numFmtId="1" fontId="0" fillId="7" borderId="2" xfId="0" applyNumberFormat="1" applyFill="1" applyBorder="1" applyAlignment="1">
      <alignment horizontal="center"/>
    </xf>
    <xf numFmtId="1" fontId="0" fillId="7" borderId="0" xfId="0" applyNumberFormat="1" applyFill="1" applyAlignment="1">
      <alignment horizontal="center"/>
    </xf>
    <xf numFmtId="0" fontId="0" fillId="7" borderId="10" xfId="0" applyFill="1" applyBorder="1"/>
    <xf numFmtId="0" fontId="0" fillId="7" borderId="4" xfId="0" applyFill="1" applyBorder="1"/>
    <xf numFmtId="0" fontId="1" fillId="7" borderId="12" xfId="0" applyFont="1" applyFill="1" applyBorder="1" applyAlignment="1">
      <alignment horizontal="center" vertical="center" wrapText="1"/>
    </xf>
    <xf numFmtId="1" fontId="0" fillId="7" borderId="13" xfId="0" applyNumberFormat="1" applyFill="1" applyBorder="1" applyAlignment="1">
      <alignment horizontal="center"/>
    </xf>
    <xf numFmtId="0" fontId="0" fillId="7" borderId="6" xfId="0" applyFill="1" applyBorder="1"/>
    <xf numFmtId="0" fontId="0" fillId="7" borderId="8" xfId="0" applyFill="1" applyBorder="1"/>
    <xf numFmtId="0" fontId="1" fillId="7" borderId="12" xfId="0" applyFont="1" applyFill="1" applyBorder="1" applyAlignment="1">
      <alignment horizontal="center" vertical="center"/>
    </xf>
    <xf numFmtId="1" fontId="0" fillId="7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1'!$E$4:$E$9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 plots'!$F$4:$F$9</c:f>
              <c:numCache>
                <c:formatCode>0.00</c:formatCode>
                <c:ptCount val="6"/>
                <c:pt idx="0">
                  <c:v>0.98</c:v>
                </c:pt>
                <c:pt idx="1">
                  <c:v>0.73</c:v>
                </c:pt>
                <c:pt idx="2">
                  <c:v>0.68</c:v>
                </c:pt>
                <c:pt idx="3">
                  <c:v>0.62</c:v>
                </c:pt>
                <c:pt idx="4">
                  <c:v>0.52</c:v>
                </c:pt>
                <c:pt idx="5" formatCode="General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0-435D-8A11-A9CF8F5BAB09}"/>
            </c:ext>
          </c:extLst>
        </c:ser>
        <c:ser>
          <c:idx val="1"/>
          <c:order val="1"/>
          <c:tx>
            <c:v>2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1 plots'!$M$4:$M$9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 plots'!$N$4:$N$9</c:f>
              <c:numCache>
                <c:formatCode>0.00</c:formatCode>
                <c:ptCount val="6"/>
                <c:pt idx="0">
                  <c:v>2.15</c:v>
                </c:pt>
                <c:pt idx="1">
                  <c:v>1.66</c:v>
                </c:pt>
                <c:pt idx="2">
                  <c:v>1.57</c:v>
                </c:pt>
                <c:pt idx="3">
                  <c:v>1.54</c:v>
                </c:pt>
                <c:pt idx="4">
                  <c:v>1.34</c:v>
                </c:pt>
                <c:pt idx="5" formatCode="General">
                  <c:v>0.88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0-435D-8A11-A9CF8F5BA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70078442125864782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1 plots'!$E$16:$E$21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 plots'!$F$16:$F$21</c:f>
              <c:numCache>
                <c:formatCode>0.00</c:formatCode>
                <c:ptCount val="6"/>
                <c:pt idx="0">
                  <c:v>2.08</c:v>
                </c:pt>
                <c:pt idx="1">
                  <c:v>1.71</c:v>
                </c:pt>
                <c:pt idx="2">
                  <c:v>1.59</c:v>
                </c:pt>
                <c:pt idx="3">
                  <c:v>1.59</c:v>
                </c:pt>
                <c:pt idx="4">
                  <c:v>1.52</c:v>
                </c:pt>
                <c:pt idx="5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6C-4F5B-917B-B6866C3F9978}"/>
            </c:ext>
          </c:extLst>
        </c:ser>
        <c:ser>
          <c:idx val="3"/>
          <c:order val="1"/>
          <c:tx>
            <c:v>4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1 plots'!$M$16:$M$21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 plots'!$N$16:$N$21</c:f>
              <c:numCache>
                <c:formatCode>0.00</c:formatCode>
                <c:ptCount val="6"/>
                <c:pt idx="0">
                  <c:v>3.09</c:v>
                </c:pt>
                <c:pt idx="1">
                  <c:v>2.63</c:v>
                </c:pt>
                <c:pt idx="2">
                  <c:v>2.63</c:v>
                </c:pt>
                <c:pt idx="3">
                  <c:v>2.5299999999999998</c:v>
                </c:pt>
                <c:pt idx="4">
                  <c:v>2.48</c:v>
                </c:pt>
                <c:pt idx="5">
                  <c:v>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6C-4F5B-917B-B6866C3F9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1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1 plots'!$E$28:$E$33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 plots'!$F$28:$F$33</c:f>
              <c:numCache>
                <c:formatCode>0.00</c:formatCode>
                <c:ptCount val="6"/>
                <c:pt idx="0">
                  <c:v>1.08</c:v>
                </c:pt>
                <c:pt idx="1">
                  <c:v>0.38</c:v>
                </c:pt>
                <c:pt idx="2">
                  <c:v>0.37</c:v>
                </c:pt>
                <c:pt idx="3">
                  <c:v>0.39</c:v>
                </c:pt>
                <c:pt idx="4">
                  <c:v>0.33</c:v>
                </c:pt>
                <c:pt idx="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D8-412C-84D1-13B434045A29}"/>
            </c:ext>
          </c:extLst>
        </c:ser>
        <c:ser>
          <c:idx val="3"/>
          <c:order val="1"/>
          <c:tx>
            <c:v>2 mg/L Cl2</c:v>
          </c:tx>
          <c:spPr>
            <a:ln w="25400" cmpd="sng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1 plots'!$M$28:$M$33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 plots'!$N$28:$N$33</c:f>
              <c:numCache>
                <c:formatCode>0.00</c:formatCode>
                <c:ptCount val="6"/>
                <c:pt idx="0">
                  <c:v>2.0299999999999998</c:v>
                </c:pt>
                <c:pt idx="1">
                  <c:v>0.88</c:v>
                </c:pt>
                <c:pt idx="2">
                  <c:v>0.83</c:v>
                </c:pt>
                <c:pt idx="3">
                  <c:v>0.82</c:v>
                </c:pt>
                <c:pt idx="4">
                  <c:v>0.79</c:v>
                </c:pt>
                <c:pt idx="5" formatCode="General">
                  <c:v>0.77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D8-412C-84D1-13B434045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1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1 plots'!$E$40:$E$45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 plots'!$F$40:$F$45</c:f>
              <c:numCache>
                <c:formatCode>General</c:formatCode>
                <c:ptCount val="6"/>
                <c:pt idx="0">
                  <c:v>1.08</c:v>
                </c:pt>
                <c:pt idx="1">
                  <c:v>0.03</c:v>
                </c:pt>
                <c:pt idx="2">
                  <c:v>0.03</c:v>
                </c:pt>
                <c:pt idx="3">
                  <c:v>0.17</c:v>
                </c:pt>
                <c:pt idx="4">
                  <c:v>0.01</c:v>
                </c:pt>
                <c:pt idx="5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F1-4D2D-B047-61806CE08FE5}"/>
            </c:ext>
          </c:extLst>
        </c:ser>
        <c:ser>
          <c:idx val="3"/>
          <c:order val="1"/>
          <c:tx>
            <c:v>2 mg/L Cl2</c:v>
          </c:tx>
          <c:spPr>
            <a:ln w="25400"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1 plots'!$M$40:$M$45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 plots'!$N$40:$N$45</c:f>
              <c:numCache>
                <c:formatCode>General</c:formatCode>
                <c:ptCount val="6"/>
                <c:pt idx="0">
                  <c:v>2.0299999999999998</c:v>
                </c:pt>
                <c:pt idx="1">
                  <c:v>0.06</c:v>
                </c:pt>
                <c:pt idx="2">
                  <c:v>0.05</c:v>
                </c:pt>
                <c:pt idx="3">
                  <c:v>0.05</c:v>
                </c:pt>
                <c:pt idx="4">
                  <c:v>0.06</c:v>
                </c:pt>
                <c:pt idx="5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F1-4D2D-B047-61806CE08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2 plots'!$E$4:$E$9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2 plots'!$F$4:$F$9</c:f>
              <c:numCache>
                <c:formatCode>0.00</c:formatCode>
                <c:ptCount val="6"/>
                <c:pt idx="0">
                  <c:v>0.93149999999999999</c:v>
                </c:pt>
                <c:pt idx="1">
                  <c:v>0.72495000000000009</c:v>
                </c:pt>
                <c:pt idx="2">
                  <c:v>0.6885</c:v>
                </c:pt>
                <c:pt idx="3">
                  <c:v>0.65205000000000013</c:v>
                </c:pt>
                <c:pt idx="4">
                  <c:v>0.58320000000000005</c:v>
                </c:pt>
                <c:pt idx="5">
                  <c:v>0.34425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C8-4AF4-9C04-E25C2882C528}"/>
            </c:ext>
          </c:extLst>
        </c:ser>
        <c:ser>
          <c:idx val="1"/>
          <c:order val="1"/>
          <c:tx>
            <c:v>2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2 plots'!$M$4:$M$9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2 plots'!$N$4:$N$9</c:f>
              <c:numCache>
                <c:formatCode>0.00</c:formatCode>
                <c:ptCount val="6"/>
                <c:pt idx="0">
                  <c:v>1.863</c:v>
                </c:pt>
                <c:pt idx="1">
                  <c:v>1.7091000000000003</c:v>
                </c:pt>
                <c:pt idx="2">
                  <c:v>1.6604999999999999</c:v>
                </c:pt>
                <c:pt idx="3">
                  <c:v>1.6524000000000001</c:v>
                </c:pt>
                <c:pt idx="4">
                  <c:v>1.5794999999999999</c:v>
                </c:pt>
                <c:pt idx="5">
                  <c:v>1.2514500000000002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C8-4AF4-9C04-E25C2882C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74204566483382972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2 plots'!$E$16:$E$21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2 plots'!$F$16:$F$21</c:f>
              <c:numCache>
                <c:formatCode>0.00</c:formatCode>
                <c:ptCount val="6"/>
                <c:pt idx="0">
                  <c:v>2.0099999999999998</c:v>
                </c:pt>
                <c:pt idx="1">
                  <c:v>1.7450000000000001</c:v>
                </c:pt>
                <c:pt idx="2">
                  <c:v>1.7349999999999999</c:v>
                </c:pt>
                <c:pt idx="3">
                  <c:v>1.68</c:v>
                </c:pt>
                <c:pt idx="4">
                  <c:v>1.6850000000000001</c:v>
                </c:pt>
                <c:pt idx="5" formatCode="General">
                  <c:v>1.55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7-4870-9389-4691BEFE3E36}"/>
            </c:ext>
          </c:extLst>
        </c:ser>
        <c:ser>
          <c:idx val="3"/>
          <c:order val="1"/>
          <c:tx>
            <c:v>4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2 plots'!$M$16:$M$21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2 plots'!$N$16:$N$21</c:f>
              <c:numCache>
                <c:formatCode>0.00</c:formatCode>
                <c:ptCount val="6"/>
                <c:pt idx="0">
                  <c:v>4.07</c:v>
                </c:pt>
                <c:pt idx="1">
                  <c:v>3.665</c:v>
                </c:pt>
                <c:pt idx="2">
                  <c:v>3.665</c:v>
                </c:pt>
                <c:pt idx="3">
                  <c:v>3.62</c:v>
                </c:pt>
                <c:pt idx="4">
                  <c:v>3.2450000000000001</c:v>
                </c:pt>
                <c:pt idx="5" formatCode="General">
                  <c:v>2.95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27-4870-9389-4691BEFE3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2 plots'!$E$28:$E$33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2 plots'!$F$28:$F$33</c:f>
              <c:numCache>
                <c:formatCode>0.00</c:formatCode>
                <c:ptCount val="6"/>
                <c:pt idx="0">
                  <c:v>1.9</c:v>
                </c:pt>
                <c:pt idx="1">
                  <c:v>0.91</c:v>
                </c:pt>
                <c:pt idx="2">
                  <c:v>0.68</c:v>
                </c:pt>
                <c:pt idx="3">
                  <c:v>0.56500000000000006</c:v>
                </c:pt>
                <c:pt idx="4">
                  <c:v>0.43500000000000005</c:v>
                </c:pt>
                <c:pt idx="5">
                  <c:v>0.28500000000000003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90-45DC-A5BB-32151F981357}"/>
            </c:ext>
          </c:extLst>
        </c:ser>
        <c:ser>
          <c:idx val="3"/>
          <c:order val="1"/>
          <c:tx>
            <c:v>4 mg/L Cl2</c:v>
          </c:tx>
          <c:spPr>
            <a:ln w="25400" cmpd="sng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2 plots'!$M$28:$M$33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2 plots'!$N$28:$N$33</c:f>
              <c:numCache>
                <c:formatCode>0.00</c:formatCode>
                <c:ptCount val="6"/>
                <c:pt idx="0">
                  <c:v>3.98</c:v>
                </c:pt>
                <c:pt idx="1">
                  <c:v>3.02</c:v>
                </c:pt>
                <c:pt idx="2">
                  <c:v>2.48</c:v>
                </c:pt>
                <c:pt idx="3">
                  <c:v>2.58</c:v>
                </c:pt>
                <c:pt idx="4">
                  <c:v>2.2000000000000002</c:v>
                </c:pt>
                <c:pt idx="5" formatCode="General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90-45DC-A5BB-32151F981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2 plots'!$E$40:$E$45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2 plots'!$F$40:$F$45</c:f>
              <c:numCache>
                <c:formatCode>0.00</c:formatCode>
                <c:ptCount val="6"/>
                <c:pt idx="0">
                  <c:v>1.9</c:v>
                </c:pt>
                <c:pt idx="1">
                  <c:v>0.72</c:v>
                </c:pt>
                <c:pt idx="2">
                  <c:v>0.44</c:v>
                </c:pt>
                <c:pt idx="3">
                  <c:v>0.34</c:v>
                </c:pt>
                <c:pt idx="4">
                  <c:v>0.2</c:v>
                </c:pt>
                <c:pt idx="5" formatCode="General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72-4A7E-A984-4B0824231B17}"/>
            </c:ext>
          </c:extLst>
        </c:ser>
        <c:ser>
          <c:idx val="3"/>
          <c:order val="1"/>
          <c:tx>
            <c:v>4 mg/L Cl2</c:v>
          </c:tx>
          <c:spPr>
            <a:ln w="25400"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2 plots'!$M$40:$M$45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2 plots'!$N$40:$N$45</c:f>
              <c:numCache>
                <c:formatCode>0.00</c:formatCode>
                <c:ptCount val="6"/>
                <c:pt idx="0">
                  <c:v>3.98</c:v>
                </c:pt>
                <c:pt idx="1">
                  <c:v>2.56</c:v>
                </c:pt>
                <c:pt idx="2">
                  <c:v>2.2000000000000002</c:v>
                </c:pt>
                <c:pt idx="3">
                  <c:v>1.91</c:v>
                </c:pt>
                <c:pt idx="4">
                  <c:v>1.67</c:v>
                </c:pt>
                <c:pt idx="5" formatCode="General">
                  <c:v>1.21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72-4A7E-A984-4B0824231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3 plots'!$E$4:$E$9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3 plots'!$F$4:$F$9</c:f>
              <c:numCache>
                <c:formatCode>General</c:formatCode>
                <c:ptCount val="6"/>
                <c:pt idx="0">
                  <c:v>1.0900000000000001</c:v>
                </c:pt>
                <c:pt idx="1">
                  <c:v>0.88</c:v>
                </c:pt>
                <c:pt idx="2">
                  <c:v>0.82</c:v>
                </c:pt>
                <c:pt idx="3">
                  <c:v>0.78</c:v>
                </c:pt>
                <c:pt idx="4">
                  <c:v>0.72</c:v>
                </c:pt>
                <c:pt idx="5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2A-4E50-9FCC-EB7C72CC4DC8}"/>
            </c:ext>
          </c:extLst>
        </c:ser>
        <c:ser>
          <c:idx val="1"/>
          <c:order val="1"/>
          <c:tx>
            <c:v>2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3 plots'!$M$4:$M$9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3 plots'!$N$4:$N$9</c:f>
              <c:numCache>
                <c:formatCode>General</c:formatCode>
                <c:ptCount val="6"/>
                <c:pt idx="0">
                  <c:v>2.08</c:v>
                </c:pt>
                <c:pt idx="1">
                  <c:v>1.77</c:v>
                </c:pt>
                <c:pt idx="2">
                  <c:v>1.68</c:v>
                </c:pt>
                <c:pt idx="3">
                  <c:v>1.58</c:v>
                </c:pt>
                <c:pt idx="4" formatCode="0.00">
                  <c:v>1.5</c:v>
                </c:pt>
                <c:pt idx="5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2A-4E50-9FCC-EB7C72CC4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74204566483382972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3 plots'!$E$16:$E$21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3 plots'!$F$16:$F$21</c:f>
              <c:numCache>
                <c:formatCode>General</c:formatCode>
                <c:ptCount val="6"/>
                <c:pt idx="0">
                  <c:v>2.12</c:v>
                </c:pt>
                <c:pt idx="1">
                  <c:v>1.1299999999999999</c:v>
                </c:pt>
                <c:pt idx="2">
                  <c:v>1.06</c:v>
                </c:pt>
                <c:pt idx="3">
                  <c:v>1.05</c:v>
                </c:pt>
                <c:pt idx="4">
                  <c:v>0.96</c:v>
                </c:pt>
                <c:pt idx="5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E-484C-A2E0-7F8992C60244}"/>
            </c:ext>
          </c:extLst>
        </c:ser>
        <c:ser>
          <c:idx val="3"/>
          <c:order val="1"/>
          <c:tx>
            <c:v>4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3 plots'!$M$16:$M$21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3 plots'!$N$16:$N$21</c:f>
              <c:numCache>
                <c:formatCode>General</c:formatCode>
                <c:ptCount val="6"/>
                <c:pt idx="0">
                  <c:v>4.34</c:v>
                </c:pt>
                <c:pt idx="1">
                  <c:v>3.88</c:v>
                </c:pt>
                <c:pt idx="2">
                  <c:v>3.77</c:v>
                </c:pt>
                <c:pt idx="3">
                  <c:v>3.73</c:v>
                </c:pt>
                <c:pt idx="4" formatCode="0.00">
                  <c:v>3.6</c:v>
                </c:pt>
                <c:pt idx="5">
                  <c:v>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3E-484C-A2E0-7F8992C60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3 plots'!$E$28:$E$33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3 plots'!$F$28:$F$33</c:f>
              <c:numCache>
                <c:formatCode>General</c:formatCode>
                <c:ptCount val="6"/>
                <c:pt idx="0">
                  <c:v>2.08</c:v>
                </c:pt>
                <c:pt idx="1">
                  <c:v>1.79</c:v>
                </c:pt>
                <c:pt idx="2">
                  <c:v>1.82</c:v>
                </c:pt>
                <c:pt idx="3">
                  <c:v>1.74</c:v>
                </c:pt>
                <c:pt idx="4">
                  <c:v>1.76</c:v>
                </c:pt>
                <c:pt idx="5">
                  <c:v>1.63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B-426D-B7D0-C3F2736C321E}"/>
            </c:ext>
          </c:extLst>
        </c:ser>
        <c:ser>
          <c:idx val="3"/>
          <c:order val="1"/>
          <c:tx>
            <c:v>4 mg/L Cl2</c:v>
          </c:tx>
          <c:spPr>
            <a:ln w="25400" cmpd="sng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3 plots'!$M$28:$M$33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3 plots'!$N$28:$N$33</c:f>
              <c:numCache>
                <c:formatCode>0.00</c:formatCode>
                <c:ptCount val="6"/>
                <c:pt idx="0" formatCode="General">
                  <c:v>3.96</c:v>
                </c:pt>
                <c:pt idx="1">
                  <c:v>3.7</c:v>
                </c:pt>
                <c:pt idx="2" formatCode="General">
                  <c:v>3.52</c:v>
                </c:pt>
                <c:pt idx="3" formatCode="General">
                  <c:v>3.56</c:v>
                </c:pt>
                <c:pt idx="4" formatCode="General">
                  <c:v>3.46</c:v>
                </c:pt>
                <c:pt idx="5" formatCode="General">
                  <c:v>3.54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1B-426D-B7D0-C3F2736C3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3 plots'!$E$40:$E$45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3 plots'!$F$40:$F$45</c:f>
              <c:numCache>
                <c:formatCode>General</c:formatCode>
                <c:ptCount val="6"/>
                <c:pt idx="0">
                  <c:v>2.08</c:v>
                </c:pt>
                <c:pt idx="1">
                  <c:v>0.22</c:v>
                </c:pt>
                <c:pt idx="2">
                  <c:v>0.18</c:v>
                </c:pt>
                <c:pt idx="3">
                  <c:v>0.17</c:v>
                </c:pt>
                <c:pt idx="4">
                  <c:v>0.18</c:v>
                </c:pt>
                <c:pt idx="5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AE-4D1B-BF82-9F5753DD7F34}"/>
            </c:ext>
          </c:extLst>
        </c:ser>
        <c:ser>
          <c:idx val="3"/>
          <c:order val="1"/>
          <c:tx>
            <c:v>4 mg/L Cl2</c:v>
          </c:tx>
          <c:spPr>
            <a:ln w="25400"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3 plots'!$M$40:$M$45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3 plots'!$N$40:$N$45</c:f>
              <c:numCache>
                <c:formatCode>0.00</c:formatCode>
                <c:ptCount val="6"/>
                <c:pt idx="0">
                  <c:v>3.96</c:v>
                </c:pt>
                <c:pt idx="1">
                  <c:v>0.66</c:v>
                </c:pt>
                <c:pt idx="2">
                  <c:v>0.2</c:v>
                </c:pt>
                <c:pt idx="3">
                  <c:v>0.2</c:v>
                </c:pt>
                <c:pt idx="4">
                  <c:v>0.13</c:v>
                </c:pt>
                <c:pt idx="5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AE-4D1B-BF82-9F5753DD7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4 plots'!$E$4:$E$9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4 plots'!$F$4:$F$9</c:f>
              <c:numCache>
                <c:formatCode>0.00</c:formatCode>
                <c:ptCount val="6"/>
                <c:pt idx="0">
                  <c:v>1.0772999999999999</c:v>
                </c:pt>
                <c:pt idx="1">
                  <c:v>0.61560000000000004</c:v>
                </c:pt>
                <c:pt idx="2">
                  <c:v>0.56700000000000006</c:v>
                </c:pt>
                <c:pt idx="3">
                  <c:v>0.52245000000000008</c:v>
                </c:pt>
                <c:pt idx="4">
                  <c:v>0.44550000000000006</c:v>
                </c:pt>
                <c:pt idx="5">
                  <c:v>0.21870000000000003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04-4BC4-B1F0-F18753A5DBA7}"/>
            </c:ext>
          </c:extLst>
        </c:ser>
        <c:ser>
          <c:idx val="1"/>
          <c:order val="1"/>
          <c:tx>
            <c:v>2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4 plots'!$M$4:$M$9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4 plots'!$N$4:$N$9</c:f>
              <c:numCache>
                <c:formatCode>0.00</c:formatCode>
                <c:ptCount val="6"/>
                <c:pt idx="0">
                  <c:v>2.0655000000000001</c:v>
                </c:pt>
                <c:pt idx="1">
                  <c:v>1.5389999999999999</c:v>
                </c:pt>
                <c:pt idx="2">
                  <c:v>1.4094000000000002</c:v>
                </c:pt>
                <c:pt idx="3">
                  <c:v>1.3648500000000001</c:v>
                </c:pt>
                <c:pt idx="4">
                  <c:v>1.2069000000000001</c:v>
                </c:pt>
                <c:pt idx="5">
                  <c:v>0.76139999999999997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04-4BC4-B1F0-F18753A5D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72615380765127835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4 plots'!$E$16:$E$21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4 plots'!$F$16:$F$21</c:f>
              <c:numCache>
                <c:formatCode>0.00</c:formatCode>
                <c:ptCount val="6"/>
                <c:pt idx="0">
                  <c:v>1.94</c:v>
                </c:pt>
                <c:pt idx="1">
                  <c:v>1.5350000000000001</c:v>
                </c:pt>
                <c:pt idx="2">
                  <c:v>1.4</c:v>
                </c:pt>
                <c:pt idx="3">
                  <c:v>1.34</c:v>
                </c:pt>
                <c:pt idx="4">
                  <c:v>1.3</c:v>
                </c:pt>
                <c:pt idx="5" formatCode="General">
                  <c:v>1.0900000000000001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75-447A-86F8-6112DC0DA2D6}"/>
            </c:ext>
          </c:extLst>
        </c:ser>
        <c:ser>
          <c:idx val="3"/>
          <c:order val="1"/>
          <c:tx>
            <c:v>4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4 plots'!$M$16:$M$21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4 plots'!$N$16:$N$21</c:f>
              <c:numCache>
                <c:formatCode>0.00</c:formatCode>
                <c:ptCount val="6"/>
                <c:pt idx="0">
                  <c:v>3.93</c:v>
                </c:pt>
                <c:pt idx="1">
                  <c:v>3.2850000000000001</c:v>
                </c:pt>
                <c:pt idx="2">
                  <c:v>3.1950000000000003</c:v>
                </c:pt>
                <c:pt idx="3">
                  <c:v>3.1</c:v>
                </c:pt>
                <c:pt idx="4">
                  <c:v>3.0350000000000001</c:v>
                </c:pt>
                <c:pt idx="5">
                  <c:v>2.7350000000000003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75-447A-86F8-6112DC0DA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  <c:txPr>
        <a:bodyPr/>
        <a:lstStyle/>
        <a:p>
          <a:pPr>
            <a:defRPr b="0"/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4 plots'!$E$28:$E$33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4 plots'!$F$28:$F$33</c:f>
              <c:numCache>
                <c:formatCode>0.00</c:formatCode>
                <c:ptCount val="6"/>
                <c:pt idx="0">
                  <c:v>1.97</c:v>
                </c:pt>
                <c:pt idx="1">
                  <c:v>0.84</c:v>
                </c:pt>
                <c:pt idx="2">
                  <c:v>0.81</c:v>
                </c:pt>
                <c:pt idx="3">
                  <c:v>0.78</c:v>
                </c:pt>
                <c:pt idx="4">
                  <c:v>0.78</c:v>
                </c:pt>
                <c:pt idx="5" formatCode="General">
                  <c:v>0.72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46-44E8-B136-96F17A3EF3AD}"/>
            </c:ext>
          </c:extLst>
        </c:ser>
        <c:ser>
          <c:idx val="3"/>
          <c:order val="1"/>
          <c:tx>
            <c:v>4 mg/L Cl2</c:v>
          </c:tx>
          <c:spPr>
            <a:ln w="25400" cmpd="sng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4 plots'!$M$28:$M$33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4 plots'!$N$28:$N$33</c:f>
              <c:numCache>
                <c:formatCode>0.00</c:formatCode>
                <c:ptCount val="6"/>
                <c:pt idx="0">
                  <c:v>4.0199999999999996</c:v>
                </c:pt>
                <c:pt idx="1">
                  <c:v>1.56</c:v>
                </c:pt>
                <c:pt idx="2">
                  <c:v>1.56</c:v>
                </c:pt>
                <c:pt idx="3">
                  <c:v>1.56</c:v>
                </c:pt>
                <c:pt idx="4">
                  <c:v>1.54</c:v>
                </c:pt>
                <c:pt idx="5" formatCode="General">
                  <c:v>1.41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46-44E8-B136-96F17A3E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4 plots'!$E$40:$E$45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4 plots'!$F$40:$F$45</c:f>
              <c:numCache>
                <c:formatCode>0.00</c:formatCode>
                <c:ptCount val="6"/>
                <c:pt idx="0">
                  <c:v>1.97</c:v>
                </c:pt>
                <c:pt idx="1">
                  <c:v>0.14000000000000001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0.08</c:v>
                </c:pt>
                <c:pt idx="5" formatCode="General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C8-40F4-98F9-0E7CF119163A}"/>
            </c:ext>
          </c:extLst>
        </c:ser>
        <c:ser>
          <c:idx val="3"/>
          <c:order val="1"/>
          <c:tx>
            <c:v>4 mg/L Cl2</c:v>
          </c:tx>
          <c:spPr>
            <a:ln w="25400"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4 plots'!$M$40:$M$45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4 plots'!$N$40:$N$45</c:f>
              <c:numCache>
                <c:formatCode>0.00</c:formatCode>
                <c:ptCount val="6"/>
                <c:pt idx="0">
                  <c:v>4.0199999999999996</c:v>
                </c:pt>
                <c:pt idx="1">
                  <c:v>0.2</c:v>
                </c:pt>
                <c:pt idx="2">
                  <c:v>0.2</c:v>
                </c:pt>
                <c:pt idx="3">
                  <c:v>0.08</c:v>
                </c:pt>
                <c:pt idx="4">
                  <c:v>0.08</c:v>
                </c:pt>
                <c:pt idx="5" formatCode="General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C8-40F4-98F9-0E7CF1191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06349958495904"/>
          <c:y val="9.8060967104174834E-2"/>
          <c:w val="0.7959990724590924"/>
          <c:h val="0.7493831460244283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2540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circle"/>
            <c:size val="1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'Sample 5'!$D$4:$D$9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5'!$E$4:$E$9</c:f>
              <c:numCache>
                <c:formatCode>0.00</c:formatCode>
                <c:ptCount val="6"/>
                <c:pt idx="0">
                  <c:v>1.01</c:v>
                </c:pt>
                <c:pt idx="1">
                  <c:v>0.88</c:v>
                </c:pt>
                <c:pt idx="2">
                  <c:v>0.83</c:v>
                </c:pt>
                <c:pt idx="3">
                  <c:v>0.8</c:v>
                </c:pt>
                <c:pt idx="4">
                  <c:v>0.73</c:v>
                </c:pt>
                <c:pt idx="5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B8-411E-A490-D974BF1A1AB3}"/>
            </c:ext>
          </c:extLst>
        </c:ser>
        <c:ser>
          <c:idx val="1"/>
          <c:order val="1"/>
          <c:tx>
            <c:v>2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1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5'!$L$4:$L$9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5'!$M$4:$M$9</c:f>
              <c:numCache>
                <c:formatCode>General</c:formatCode>
                <c:ptCount val="6"/>
                <c:pt idx="0">
                  <c:v>1.94</c:v>
                </c:pt>
                <c:pt idx="1">
                  <c:v>1.77</c:v>
                </c:pt>
                <c:pt idx="2">
                  <c:v>1.64</c:v>
                </c:pt>
                <c:pt idx="3">
                  <c:v>1.59</c:v>
                </c:pt>
                <c:pt idx="4">
                  <c:v>1.45</c:v>
                </c:pt>
                <c:pt idx="5">
                  <c:v>1.0900000000000001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B8-411E-A490-D974BF1A1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124335"/>
        <c:axId val="987736527"/>
      </c:scatterChart>
      <c:valAx>
        <c:axId val="164312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736527"/>
        <c:crosses val="autoZero"/>
        <c:crossBetween val="midCat"/>
      </c:valAx>
      <c:valAx>
        <c:axId val="9877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Disinfectant</a:t>
                </a:r>
                <a:r>
                  <a:rPr lang="en-US" baseline="0"/>
                  <a:t> Residual</a:t>
                </a:r>
                <a:r>
                  <a:rPr lang="en-US"/>
                  <a:t>  (mg/L)</a:t>
                </a:r>
              </a:p>
            </c:rich>
          </c:tx>
          <c:layout>
            <c:manualLayout>
              <c:xMode val="edge"/>
              <c:yMode val="edge"/>
              <c:x val="1.7851801815426039E-4"/>
              <c:y val="0.22060749406855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124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5302899237467276"/>
          <c:y val="4.610620863054915E-3"/>
          <c:w val="0.54527979137050897"/>
          <c:h val="8.10045976883490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5 plots'!$D$4:$D$9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5 plots'!$E$4:$E$9</c:f>
              <c:numCache>
                <c:formatCode>0.00</c:formatCode>
                <c:ptCount val="6"/>
                <c:pt idx="0">
                  <c:v>1.01</c:v>
                </c:pt>
                <c:pt idx="1">
                  <c:v>0.88</c:v>
                </c:pt>
                <c:pt idx="2">
                  <c:v>0.83</c:v>
                </c:pt>
                <c:pt idx="3">
                  <c:v>0.8</c:v>
                </c:pt>
                <c:pt idx="4">
                  <c:v>0.73</c:v>
                </c:pt>
                <c:pt idx="5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59-4533-8875-7DC7E7BF1377}"/>
            </c:ext>
          </c:extLst>
        </c:ser>
        <c:ser>
          <c:idx val="1"/>
          <c:order val="1"/>
          <c:tx>
            <c:v>2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5 plots'!$L$4:$L$9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5 plots'!$M$4:$M$9</c:f>
              <c:numCache>
                <c:formatCode>General</c:formatCode>
                <c:ptCount val="6"/>
                <c:pt idx="0">
                  <c:v>1.94</c:v>
                </c:pt>
                <c:pt idx="1">
                  <c:v>1.77</c:v>
                </c:pt>
                <c:pt idx="2">
                  <c:v>1.64</c:v>
                </c:pt>
                <c:pt idx="3">
                  <c:v>1.59</c:v>
                </c:pt>
                <c:pt idx="4">
                  <c:v>1.45</c:v>
                </c:pt>
                <c:pt idx="5">
                  <c:v>1.0900000000000001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59-4533-8875-7DC7E7BF1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7244064686874776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5 plots'!$D$16:$D$21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5 plots'!$E$16:$E$21</c:f>
              <c:numCache>
                <c:formatCode>0.00</c:formatCode>
                <c:ptCount val="6"/>
                <c:pt idx="0">
                  <c:v>2.1</c:v>
                </c:pt>
                <c:pt idx="1">
                  <c:v>1.99</c:v>
                </c:pt>
                <c:pt idx="2">
                  <c:v>1.95</c:v>
                </c:pt>
                <c:pt idx="3">
                  <c:v>1.91</c:v>
                </c:pt>
                <c:pt idx="4">
                  <c:v>1.83</c:v>
                </c:pt>
                <c:pt idx="5">
                  <c:v>1.77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1A-4FB8-997D-DEDC38CC75FC}"/>
            </c:ext>
          </c:extLst>
        </c:ser>
        <c:ser>
          <c:idx val="3"/>
          <c:order val="1"/>
          <c:tx>
            <c:v>4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5 plots'!$L$16:$L$21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5 plots'!$M$16:$M$21</c:f>
              <c:numCache>
                <c:formatCode>General</c:formatCode>
                <c:ptCount val="6"/>
                <c:pt idx="0">
                  <c:v>4.1399999999999997</c:v>
                </c:pt>
                <c:pt idx="1">
                  <c:v>3.89</c:v>
                </c:pt>
                <c:pt idx="2">
                  <c:v>3.84</c:v>
                </c:pt>
                <c:pt idx="3">
                  <c:v>3.82</c:v>
                </c:pt>
                <c:pt idx="4">
                  <c:v>3.74</c:v>
                </c:pt>
                <c:pt idx="5">
                  <c:v>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1A-4FB8-997D-DEDC38CC7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5 plots'!$D$27:$D$32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5 plots'!$E$27:$E$32</c:f>
              <c:numCache>
                <c:formatCode>General</c:formatCode>
                <c:ptCount val="6"/>
                <c:pt idx="0">
                  <c:v>1.99</c:v>
                </c:pt>
                <c:pt idx="1">
                  <c:v>0.97</c:v>
                </c:pt>
                <c:pt idx="2">
                  <c:v>0.95</c:v>
                </c:pt>
                <c:pt idx="3">
                  <c:v>0.93</c:v>
                </c:pt>
                <c:pt idx="4">
                  <c:v>0.91</c:v>
                </c:pt>
                <c:pt idx="5">
                  <c:v>0.82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06-41C0-8B05-1275048EC39C}"/>
            </c:ext>
          </c:extLst>
        </c:ser>
        <c:ser>
          <c:idx val="3"/>
          <c:order val="1"/>
          <c:tx>
            <c:v>4 mg/L Cl2</c:v>
          </c:tx>
          <c:spPr>
            <a:ln w="25400" cmpd="sng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6 plots'!$M$28:$M$33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6 plots'!$N$28:$N$33</c:f>
              <c:numCache>
                <c:formatCode>General</c:formatCode>
                <c:ptCount val="6"/>
                <c:pt idx="0">
                  <c:v>3.92</c:v>
                </c:pt>
                <c:pt idx="1">
                  <c:v>2.34</c:v>
                </c:pt>
                <c:pt idx="2" formatCode="0.00">
                  <c:v>1.8</c:v>
                </c:pt>
                <c:pt idx="3">
                  <c:v>1.64</c:v>
                </c:pt>
                <c:pt idx="4">
                  <c:v>1.26</c:v>
                </c:pt>
                <c:pt idx="5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06-41C0-8B05-1275048EC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5 plots'!$D$38:$D$43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5 plots'!$E$38:$E$43</c:f>
              <c:numCache>
                <c:formatCode>General</c:formatCode>
                <c:ptCount val="6"/>
                <c:pt idx="0">
                  <c:v>1.99</c:v>
                </c:pt>
                <c:pt idx="1">
                  <c:v>0.19</c:v>
                </c:pt>
                <c:pt idx="2">
                  <c:v>0.17</c:v>
                </c:pt>
                <c:pt idx="3">
                  <c:v>0.11</c:v>
                </c:pt>
                <c:pt idx="4">
                  <c:v>0.11</c:v>
                </c:pt>
                <c:pt idx="5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A-4793-A7AB-F6148604A16C}"/>
            </c:ext>
          </c:extLst>
        </c:ser>
        <c:ser>
          <c:idx val="3"/>
          <c:order val="1"/>
          <c:tx>
            <c:v>4 mg/L Cl2</c:v>
          </c:tx>
          <c:spPr>
            <a:ln w="25400"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5 plots'!$L$38:$L$43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5 plots'!$M$38:$M$43</c:f>
              <c:numCache>
                <c:formatCode>0.00</c:formatCode>
                <c:ptCount val="6"/>
                <c:pt idx="0" formatCode="General">
                  <c:v>3.92</c:v>
                </c:pt>
                <c:pt idx="1">
                  <c:v>0.3</c:v>
                </c:pt>
                <c:pt idx="2" formatCode="General">
                  <c:v>0.28999999999999998</c:v>
                </c:pt>
                <c:pt idx="3" formatCode="General">
                  <c:v>0.32</c:v>
                </c:pt>
                <c:pt idx="4" formatCode="General">
                  <c:v>0.16</c:v>
                </c:pt>
                <c:pt idx="5" formatCode="General">
                  <c:v>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6A-4793-A7AB-F6148604A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06349958495904"/>
          <c:y val="9.8060967104174834E-2"/>
          <c:w val="0.7959990724590924"/>
          <c:h val="0.7493831460244283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1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'Sample 6'!$E$4:$E$9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6'!$F$4:$F$9</c:f>
              <c:numCache>
                <c:formatCode>0.00</c:formatCode>
                <c:ptCount val="6"/>
                <c:pt idx="0">
                  <c:v>0.91</c:v>
                </c:pt>
                <c:pt idx="1">
                  <c:v>0.7</c:v>
                </c:pt>
                <c:pt idx="2">
                  <c:v>0.62</c:v>
                </c:pt>
                <c:pt idx="3">
                  <c:v>0.56000000000000005</c:v>
                </c:pt>
                <c:pt idx="4">
                  <c:v>0.52</c:v>
                </c:pt>
                <c:pt idx="5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77-495C-9354-9C26DB1A25E2}"/>
            </c:ext>
          </c:extLst>
        </c:ser>
        <c:ser>
          <c:idx val="1"/>
          <c:order val="1"/>
          <c:tx>
            <c:v>2 mg/L PFA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circle"/>
            <c:size val="1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6'!$M$4:$M$9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6'!$N$4:$N$9</c:f>
              <c:numCache>
                <c:formatCode>General</c:formatCode>
                <c:ptCount val="6"/>
                <c:pt idx="0">
                  <c:v>1.94</c:v>
                </c:pt>
                <c:pt idx="1">
                  <c:v>1.56</c:v>
                </c:pt>
                <c:pt idx="2">
                  <c:v>1.41</c:v>
                </c:pt>
                <c:pt idx="3">
                  <c:v>1.39</c:v>
                </c:pt>
                <c:pt idx="4">
                  <c:v>1.24</c:v>
                </c:pt>
                <c:pt idx="5">
                  <c:v>0.87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77-495C-9354-9C26DB1A2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124335"/>
        <c:axId val="987736527"/>
      </c:scatterChart>
      <c:valAx>
        <c:axId val="164312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736527"/>
        <c:crosses val="autoZero"/>
        <c:crossBetween val="midCat"/>
      </c:valAx>
      <c:valAx>
        <c:axId val="9877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Disinfectant</a:t>
                </a:r>
                <a:r>
                  <a:rPr lang="en-US" baseline="0"/>
                  <a:t> Residual</a:t>
                </a:r>
                <a:r>
                  <a:rPr lang="en-US"/>
                  <a:t>  (mg/L)</a:t>
                </a:r>
              </a:p>
            </c:rich>
          </c:tx>
          <c:layout>
            <c:manualLayout>
              <c:xMode val="edge"/>
              <c:yMode val="edge"/>
              <c:x val="1.7851801815426039E-4"/>
              <c:y val="0.22060749406855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124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5302899237467276"/>
          <c:y val="4.610620863054915E-3"/>
          <c:w val="0.40248807171072654"/>
          <c:h val="5.9111820458602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06349958495904"/>
          <c:y val="9.8060967104174834E-2"/>
          <c:w val="0.7959990724590924"/>
          <c:h val="0.74938314602442835"/>
        </c:manualLayout>
      </c:layout>
      <c:scatterChart>
        <c:scatterStyle val="lineMarker"/>
        <c:varyColors val="0"/>
        <c:ser>
          <c:idx val="1"/>
          <c:order val="1"/>
          <c:tx>
            <c:v>2 mg/L PFA</c:v>
          </c:tx>
          <c:spPr>
            <a:ln w="19050" cap="rnd">
              <a:noFill/>
              <a:prstDash val="solid"/>
              <a:round/>
            </a:ln>
            <a:effectLst/>
          </c:spPr>
          <c:marker>
            <c:symbol val="circle"/>
            <c:size val="1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'Sample 6'!$M$4:$M$9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6'!$N$4:$N$9</c:f>
              <c:numCache>
                <c:formatCode>General</c:formatCode>
                <c:ptCount val="6"/>
                <c:pt idx="0">
                  <c:v>1.94</c:v>
                </c:pt>
                <c:pt idx="1">
                  <c:v>1.56</c:v>
                </c:pt>
                <c:pt idx="2">
                  <c:v>1.41</c:v>
                </c:pt>
                <c:pt idx="3">
                  <c:v>1.39</c:v>
                </c:pt>
                <c:pt idx="4">
                  <c:v>1.24</c:v>
                </c:pt>
                <c:pt idx="5">
                  <c:v>0.87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21-4ED3-9D04-B94E4ED1FA3E}"/>
            </c:ext>
          </c:extLst>
        </c:ser>
        <c:ser>
          <c:idx val="2"/>
          <c:order val="2"/>
          <c:tx>
            <c:v>Model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'Sample 6'!$AF$20:$AF$25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6'!$AH$20:$AH$25</c:f>
              <c:numCache>
                <c:formatCode>0.00</c:formatCode>
                <c:ptCount val="6"/>
                <c:pt idx="0" formatCode="General">
                  <c:v>1.94</c:v>
                </c:pt>
                <c:pt idx="1">
                  <c:v>1.506455734023872</c:v>
                </c:pt>
                <c:pt idx="2">
                  <c:v>1.4467504184301312</c:v>
                </c:pt>
                <c:pt idx="3">
                  <c:v>1.390189521142509</c:v>
                </c:pt>
                <c:pt idx="4">
                  <c:v>1.2613518419222614</c:v>
                </c:pt>
                <c:pt idx="5">
                  <c:v>0.88466252865862971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21-4ED3-9D04-B94E4ED1F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124335"/>
        <c:axId val="98773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1 mg/L PFA</c:v>
                </c:tx>
                <c:spPr>
                  <a:ln w="19050" cap="rnd">
                    <a:solidFill>
                      <a:schemeClr val="accent1"/>
                    </a:solidFill>
                    <a:prstDash val="dash"/>
                    <a:round/>
                  </a:ln>
                  <a:effectLst/>
                </c:spPr>
                <c:marker>
                  <c:symbol val="circle"/>
                  <c:size val="11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'Sample 6'!$E$4:$E$9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5</c:v>
                      </c:pt>
                      <c:pt idx="4">
                        <c:v>10</c:v>
                      </c:pt>
                      <c:pt idx="5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'Sample 6'!$F$4:$F$9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0.91</c:v>
                      </c:pt>
                      <c:pt idx="1">
                        <c:v>0.7</c:v>
                      </c:pt>
                      <c:pt idx="2">
                        <c:v>0.62</c:v>
                      </c:pt>
                      <c:pt idx="3">
                        <c:v>0.56000000000000005</c:v>
                      </c:pt>
                      <c:pt idx="4">
                        <c:v>0.52</c:v>
                      </c:pt>
                      <c:pt idx="5">
                        <c:v>0.26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121-4ED3-9D04-B94E4ED1FA3E}"/>
                  </c:ext>
                </c:extLst>
              </c15:ser>
            </c15:filteredScatterSeries>
          </c:ext>
        </c:extLst>
      </c:scatterChart>
      <c:valAx>
        <c:axId val="164312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 (minutes)</a:t>
                </a:r>
              </a:p>
            </c:rich>
          </c:tx>
          <c:layout>
            <c:manualLayout>
              <c:xMode val="edge"/>
              <c:yMode val="edge"/>
              <c:x val="0.42513390876495466"/>
              <c:y val="0.933139847692902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736527"/>
        <c:crosses val="autoZero"/>
        <c:crossBetween val="midCat"/>
      </c:valAx>
      <c:valAx>
        <c:axId val="9877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Disinfectant</a:t>
                </a:r>
                <a:r>
                  <a:rPr lang="en-US" baseline="0"/>
                  <a:t> Residual</a:t>
                </a:r>
                <a:r>
                  <a:rPr lang="en-US"/>
                  <a:t>  (mg/L)</a:t>
                </a:r>
              </a:p>
            </c:rich>
          </c:tx>
          <c:layout>
            <c:manualLayout>
              <c:xMode val="edge"/>
              <c:yMode val="edge"/>
              <c:x val="1.7851801815426039E-4"/>
              <c:y val="0.22060749406855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12433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2384951078519459"/>
          <c:y val="8.7672721435362979E-4"/>
          <c:w val="0.46637054543050876"/>
          <c:h val="6.44288660230277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6 plots'!$E$4:$E$9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6 plots'!$F$4:$F$9</c:f>
              <c:numCache>
                <c:formatCode>0.00</c:formatCode>
                <c:ptCount val="6"/>
                <c:pt idx="0">
                  <c:v>0.91</c:v>
                </c:pt>
                <c:pt idx="1">
                  <c:v>0.7</c:v>
                </c:pt>
                <c:pt idx="2">
                  <c:v>0.62</c:v>
                </c:pt>
                <c:pt idx="3">
                  <c:v>0.56000000000000005</c:v>
                </c:pt>
                <c:pt idx="4">
                  <c:v>0.52</c:v>
                </c:pt>
                <c:pt idx="5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19-442C-A4AF-E168882ACB9A}"/>
            </c:ext>
          </c:extLst>
        </c:ser>
        <c:ser>
          <c:idx val="1"/>
          <c:order val="1"/>
          <c:tx>
            <c:v>2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6 plots'!$E$4:$E$9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6 plots'!$N$4:$N$9</c:f>
              <c:numCache>
                <c:formatCode>General</c:formatCode>
                <c:ptCount val="6"/>
                <c:pt idx="0">
                  <c:v>1.94</c:v>
                </c:pt>
                <c:pt idx="1">
                  <c:v>1.56</c:v>
                </c:pt>
                <c:pt idx="2">
                  <c:v>1.41</c:v>
                </c:pt>
                <c:pt idx="3">
                  <c:v>1.39</c:v>
                </c:pt>
                <c:pt idx="4">
                  <c:v>1.24</c:v>
                </c:pt>
                <c:pt idx="5">
                  <c:v>0.87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19-442C-A4AF-E168882AC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7115501443643697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6 plots'!$E$16:$E$21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6 plots'!$F$16:$F$21</c:f>
              <c:numCache>
                <c:formatCode>General</c:formatCode>
                <c:ptCount val="6"/>
                <c:pt idx="0">
                  <c:v>1.91</c:v>
                </c:pt>
                <c:pt idx="1">
                  <c:v>1.61</c:v>
                </c:pt>
                <c:pt idx="2">
                  <c:v>1.56</c:v>
                </c:pt>
                <c:pt idx="3">
                  <c:v>1.54</c:v>
                </c:pt>
                <c:pt idx="4">
                  <c:v>1.44</c:v>
                </c:pt>
                <c:pt idx="5">
                  <c:v>1.23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55-46D4-A0CC-AA22839F10E0}"/>
            </c:ext>
          </c:extLst>
        </c:ser>
        <c:ser>
          <c:idx val="3"/>
          <c:order val="1"/>
          <c:tx>
            <c:v>4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6 plots'!$M$16:$M$21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6 plots'!$N$16:$N$22</c:f>
              <c:numCache>
                <c:formatCode>General</c:formatCode>
                <c:ptCount val="7"/>
                <c:pt idx="0">
                  <c:v>3.96</c:v>
                </c:pt>
                <c:pt idx="1">
                  <c:v>3.47</c:v>
                </c:pt>
                <c:pt idx="2">
                  <c:v>3.46</c:v>
                </c:pt>
                <c:pt idx="3">
                  <c:v>3.29</c:v>
                </c:pt>
                <c:pt idx="4">
                  <c:v>3.26</c:v>
                </c:pt>
                <c:pt idx="5" formatCode="0.0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355-46D4-A0CC-AA22839F1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6 plots'!$E$28:$E$33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6 plots'!$F$28:$F$33</c:f>
              <c:numCache>
                <c:formatCode>General</c:formatCode>
                <c:ptCount val="6"/>
                <c:pt idx="0" formatCode="0.00">
                  <c:v>1.9</c:v>
                </c:pt>
                <c:pt idx="1">
                  <c:v>0.71</c:v>
                </c:pt>
                <c:pt idx="2">
                  <c:v>0.67</c:v>
                </c:pt>
                <c:pt idx="3">
                  <c:v>0.62</c:v>
                </c:pt>
                <c:pt idx="4">
                  <c:v>0.57999999999999996</c:v>
                </c:pt>
                <c:pt idx="5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7B-4D65-BAC0-0FB84B1E0796}"/>
            </c:ext>
          </c:extLst>
        </c:ser>
        <c:ser>
          <c:idx val="3"/>
          <c:order val="1"/>
          <c:tx>
            <c:v>4 mg/L Cl2</c:v>
          </c:tx>
          <c:spPr>
            <a:ln w="25400" cmpd="sng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6 plots'!$M$28:$M$33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6 plots'!$N$28:$N$33</c:f>
              <c:numCache>
                <c:formatCode>General</c:formatCode>
                <c:ptCount val="6"/>
                <c:pt idx="0">
                  <c:v>3.92</c:v>
                </c:pt>
                <c:pt idx="1">
                  <c:v>2.34</c:v>
                </c:pt>
                <c:pt idx="2" formatCode="0.00">
                  <c:v>1.8</c:v>
                </c:pt>
                <c:pt idx="3">
                  <c:v>1.64</c:v>
                </c:pt>
                <c:pt idx="4">
                  <c:v>1.26</c:v>
                </c:pt>
                <c:pt idx="5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7B-4D65-BAC0-0FB84B1E0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6 plots'!$E$40:$E$45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6 plots'!$F$40:$F$45</c:f>
              <c:numCache>
                <c:formatCode>General</c:formatCode>
                <c:ptCount val="6"/>
                <c:pt idx="0" formatCode="0.00">
                  <c:v>1.9</c:v>
                </c:pt>
                <c:pt idx="1">
                  <c:v>0.16</c:v>
                </c:pt>
                <c:pt idx="2">
                  <c:v>0.13</c:v>
                </c:pt>
                <c:pt idx="3">
                  <c:v>0.08</c:v>
                </c:pt>
                <c:pt idx="4">
                  <c:v>0.05</c:v>
                </c:pt>
                <c:pt idx="5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16-4FC8-96E5-70FCAE492FAC}"/>
            </c:ext>
          </c:extLst>
        </c:ser>
        <c:ser>
          <c:idx val="3"/>
          <c:order val="1"/>
          <c:tx>
            <c:v>4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6 plots'!$M$40:$M$45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6 plots'!$N$40:$N$45</c:f>
              <c:numCache>
                <c:formatCode>General</c:formatCode>
                <c:ptCount val="6"/>
                <c:pt idx="0">
                  <c:v>3.92</c:v>
                </c:pt>
                <c:pt idx="1">
                  <c:v>1.36</c:v>
                </c:pt>
                <c:pt idx="2" formatCode="0.00">
                  <c:v>0.9</c:v>
                </c:pt>
                <c:pt idx="3">
                  <c:v>0.68</c:v>
                </c:pt>
                <c:pt idx="4">
                  <c:v>0.44</c:v>
                </c:pt>
                <c:pt idx="5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16-4FC8-96E5-70FCAE492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88842136571199"/>
          <c:y val="4.8431337421877829E-2"/>
          <c:w val="0.75767294469618773"/>
          <c:h val="0.70740810094322182"/>
        </c:manualLayout>
      </c:layout>
      <c:scatterChart>
        <c:scatterStyle val="lineMarker"/>
        <c:varyColors val="0"/>
        <c:ser>
          <c:idx val="0"/>
          <c:order val="0"/>
          <c:tx>
            <c:v>2 mg/L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'Sample 7'!$D$36:$D$41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7'!$E$36:$E$41</c:f>
              <c:numCache>
                <c:formatCode>General</c:formatCode>
                <c:ptCount val="6"/>
                <c:pt idx="0">
                  <c:v>1.9</c:v>
                </c:pt>
                <c:pt idx="1">
                  <c:v>0.97</c:v>
                </c:pt>
                <c:pt idx="2">
                  <c:v>0.73</c:v>
                </c:pt>
                <c:pt idx="3">
                  <c:v>0.67</c:v>
                </c:pt>
                <c:pt idx="4">
                  <c:v>0.56999999999999995</c:v>
                </c:pt>
                <c:pt idx="5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8-465E-A000-FF094E162648}"/>
            </c:ext>
          </c:extLst>
        </c:ser>
        <c:ser>
          <c:idx val="1"/>
          <c:order val="1"/>
          <c:tx>
            <c:v>4 mg/L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'Sample 7'!$L$36:$L$41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7'!$M$36:$M$41</c:f>
              <c:numCache>
                <c:formatCode>0.0</c:formatCode>
                <c:ptCount val="6"/>
                <c:pt idx="0">
                  <c:v>4</c:v>
                </c:pt>
                <c:pt idx="1">
                  <c:v>2.76</c:v>
                </c:pt>
                <c:pt idx="2">
                  <c:v>2.5</c:v>
                </c:pt>
                <c:pt idx="3">
                  <c:v>2.2400000000000002</c:v>
                </c:pt>
                <c:pt idx="4">
                  <c:v>1.96</c:v>
                </c:pt>
                <c:pt idx="5">
                  <c:v>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A8-465E-A000-FF094E162648}"/>
            </c:ext>
          </c:extLst>
        </c:ser>
        <c:ser>
          <c:idx val="2"/>
          <c:order val="2"/>
          <c:spPr>
            <a:ln w="9525">
              <a:solidFill>
                <a:schemeClr val="tx1"/>
              </a:solidFill>
            </a:ln>
          </c:spPr>
          <c:marker>
            <c:symbol val="none"/>
          </c:marker>
          <c:xVal>
            <c:strRef>
              <c:f>'Sample 7'!#REF!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'Sample 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A8-465E-A000-FF094E162648}"/>
            </c:ext>
          </c:extLst>
        </c:ser>
        <c:ser>
          <c:idx val="3"/>
          <c:order val="3"/>
          <c:spPr>
            <a:ln w="9525">
              <a:solidFill>
                <a:schemeClr val="tx1"/>
              </a:solidFill>
            </a:ln>
          </c:spPr>
          <c:marker>
            <c:symbol val="none"/>
          </c:marker>
          <c:xVal>
            <c:strRef>
              <c:f>'Sample 7'!#REF!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'Sample 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A8-465E-A000-FF094E162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640960"/>
        <c:axId val="283642880"/>
      </c:scatterChart>
      <c:valAx>
        <c:axId val="283640960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(min)</a:t>
                </a:r>
              </a:p>
            </c:rich>
          </c:tx>
          <c:layout>
            <c:manualLayout>
              <c:xMode val="edge"/>
              <c:yMode val="edge"/>
              <c:x val="0.42629376730177082"/>
              <c:y val="0.86926738671386894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83642880"/>
        <c:crosses val="autoZero"/>
        <c:crossBetween val="midCat"/>
        <c:majorUnit val="10"/>
      </c:valAx>
      <c:valAx>
        <c:axId val="283642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Total Cl2 (mg/L)</a:t>
                </a:r>
              </a:p>
            </c:rich>
          </c:tx>
          <c:layout>
            <c:manualLayout>
              <c:xMode val="edge"/>
              <c:yMode val="edge"/>
              <c:x val="2.745857900169708E-2"/>
              <c:y val="0.22011678992016293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83640960"/>
        <c:crosses val="autoZero"/>
        <c:crossBetween val="midCat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88842136571199"/>
          <c:y val="4.8431337421877829E-2"/>
          <c:w val="0.75767294469618773"/>
          <c:h val="0.71488651071532461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'Sample 7'!$D$36:$D$41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7'!$E$52:$E$57</c:f>
              <c:numCache>
                <c:formatCode>General</c:formatCode>
                <c:ptCount val="6"/>
                <c:pt idx="0">
                  <c:v>1.9</c:v>
                </c:pt>
                <c:pt idx="1">
                  <c:v>0.41</c:v>
                </c:pt>
                <c:pt idx="2">
                  <c:v>0.25</c:v>
                </c:pt>
                <c:pt idx="3">
                  <c:v>0.16</c:v>
                </c:pt>
                <c:pt idx="4">
                  <c:v>0.11</c:v>
                </c:pt>
                <c:pt idx="5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2F-4C4C-B810-CF9C17EB125E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'Sample 7'!$L$36:$L$41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7'!$M$52:$M$57</c:f>
              <c:numCache>
                <c:formatCode>0.00</c:formatCode>
                <c:ptCount val="6"/>
                <c:pt idx="0">
                  <c:v>4</c:v>
                </c:pt>
                <c:pt idx="1">
                  <c:v>2.11</c:v>
                </c:pt>
                <c:pt idx="2">
                  <c:v>1.76</c:v>
                </c:pt>
                <c:pt idx="3">
                  <c:v>1.61</c:v>
                </c:pt>
                <c:pt idx="4">
                  <c:v>1.3</c:v>
                </c:pt>
                <c:pt idx="5">
                  <c:v>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2F-4C4C-B810-CF9C17EB125E}"/>
            </c:ext>
          </c:extLst>
        </c:ser>
        <c:ser>
          <c:idx val="2"/>
          <c:order val="2"/>
          <c:spPr>
            <a:ln w="9525">
              <a:solidFill>
                <a:schemeClr val="tx1"/>
              </a:solidFill>
            </a:ln>
          </c:spPr>
          <c:marker>
            <c:symbol val="none"/>
          </c:marker>
          <c:xVal>
            <c:strRef>
              <c:f>'Sample 7'!#REF!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'Sample 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2F-4C4C-B810-CF9C17EB125E}"/>
            </c:ext>
          </c:extLst>
        </c:ser>
        <c:ser>
          <c:idx val="3"/>
          <c:order val="3"/>
          <c:spPr>
            <a:ln w="9525">
              <a:solidFill>
                <a:schemeClr val="tx1"/>
              </a:solidFill>
            </a:ln>
          </c:spPr>
          <c:marker>
            <c:symbol val="none"/>
          </c:marker>
          <c:xVal>
            <c:strRef>
              <c:f>'Sample 7'!#REF!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'Sample 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2F-4C4C-B810-CF9C17EB1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691648"/>
        <c:axId val="283702016"/>
      </c:scatterChart>
      <c:valAx>
        <c:axId val="283691648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(min)</a:t>
                </a:r>
              </a:p>
            </c:rich>
          </c:tx>
          <c:layout>
            <c:manualLayout>
              <c:xMode val="edge"/>
              <c:yMode val="edge"/>
              <c:x val="0.43096085853899463"/>
              <c:y val="0.86552818182781754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83702016"/>
        <c:crosses val="autoZero"/>
        <c:crossBetween val="midCat"/>
        <c:majorUnit val="10"/>
      </c:valAx>
      <c:valAx>
        <c:axId val="283702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Free Cl2 (mg/L)</a:t>
                </a:r>
              </a:p>
            </c:rich>
          </c:tx>
          <c:layout>
            <c:manualLayout>
              <c:xMode val="edge"/>
              <c:yMode val="edge"/>
              <c:x val="2.745857900169708E-2"/>
              <c:y val="0.22011678992016293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83691648"/>
        <c:crosses val="autoZero"/>
        <c:crossBetween val="midCat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88842136571199"/>
          <c:y val="4.8431337421877829E-2"/>
          <c:w val="0.75767294469618773"/>
          <c:h val="0.70740810094322182"/>
        </c:manualLayout>
      </c:layout>
      <c:scatterChart>
        <c:scatterStyle val="lineMarker"/>
        <c:varyColors val="0"/>
        <c:ser>
          <c:idx val="0"/>
          <c:order val="0"/>
          <c:tx>
            <c:v>2 mg/L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'Sample 7 plots'!$D$36:$D$41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 plots'!$E$36:$E$41</c:f>
              <c:numCache>
                <c:formatCode>General</c:formatCode>
                <c:ptCount val="6"/>
                <c:pt idx="0">
                  <c:v>1.9</c:v>
                </c:pt>
                <c:pt idx="1">
                  <c:v>0.97</c:v>
                </c:pt>
                <c:pt idx="2">
                  <c:v>0.73</c:v>
                </c:pt>
                <c:pt idx="3">
                  <c:v>0.67</c:v>
                </c:pt>
                <c:pt idx="4">
                  <c:v>0.56999999999999995</c:v>
                </c:pt>
                <c:pt idx="5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72-41CE-8501-3A3A09E631AB}"/>
            </c:ext>
          </c:extLst>
        </c:ser>
        <c:ser>
          <c:idx val="1"/>
          <c:order val="1"/>
          <c:tx>
            <c:v>4 mg/L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'Sample 7 plots'!$L$36:$L$41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 plots'!$M$36:$M$41</c:f>
              <c:numCache>
                <c:formatCode>0.0</c:formatCode>
                <c:ptCount val="6"/>
                <c:pt idx="0">
                  <c:v>4</c:v>
                </c:pt>
                <c:pt idx="1">
                  <c:v>2.76</c:v>
                </c:pt>
                <c:pt idx="2">
                  <c:v>2.5</c:v>
                </c:pt>
                <c:pt idx="3">
                  <c:v>2.2400000000000002</c:v>
                </c:pt>
                <c:pt idx="4">
                  <c:v>1.96</c:v>
                </c:pt>
                <c:pt idx="5">
                  <c:v>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72-41CE-8501-3A3A09E631AB}"/>
            </c:ext>
          </c:extLst>
        </c:ser>
        <c:ser>
          <c:idx val="2"/>
          <c:order val="2"/>
          <c:spPr>
            <a:ln w="9525">
              <a:solidFill>
                <a:schemeClr val="tx1"/>
              </a:solidFill>
            </a:ln>
          </c:spPr>
          <c:marker>
            <c:symbol val="none"/>
          </c:marker>
          <c:xVal>
            <c:strRef>
              <c:f>'Sample 7'!#REF!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'Sample 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72-41CE-8501-3A3A09E631AB}"/>
            </c:ext>
          </c:extLst>
        </c:ser>
        <c:ser>
          <c:idx val="3"/>
          <c:order val="3"/>
          <c:spPr>
            <a:ln w="9525">
              <a:solidFill>
                <a:schemeClr val="tx1"/>
              </a:solidFill>
            </a:ln>
          </c:spPr>
          <c:marker>
            <c:symbol val="none"/>
          </c:marker>
          <c:xVal>
            <c:strRef>
              <c:f>'Sample 7'!#REF!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'Sample 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72-41CE-8501-3A3A09E63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640960"/>
        <c:axId val="283642880"/>
      </c:scatterChart>
      <c:valAx>
        <c:axId val="283640960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(min)</a:t>
                </a:r>
              </a:p>
            </c:rich>
          </c:tx>
          <c:layout>
            <c:manualLayout>
              <c:xMode val="edge"/>
              <c:yMode val="edge"/>
              <c:x val="0.42629376730177082"/>
              <c:y val="0.86926738671386894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83642880"/>
        <c:crosses val="autoZero"/>
        <c:crossBetween val="midCat"/>
        <c:majorUnit val="10"/>
      </c:valAx>
      <c:valAx>
        <c:axId val="283642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Total Cl2 (mg/L)</a:t>
                </a:r>
              </a:p>
            </c:rich>
          </c:tx>
          <c:layout>
            <c:manualLayout>
              <c:xMode val="edge"/>
              <c:yMode val="edge"/>
              <c:x val="2.745857900169708E-2"/>
              <c:y val="0.22011678992016293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83640960"/>
        <c:crosses val="autoZero"/>
        <c:crossBetween val="midCat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88842136571199"/>
          <c:y val="4.8431337421877829E-2"/>
          <c:w val="0.75767294469618773"/>
          <c:h val="0.71488651071532461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'Sample 7 plots'!$D$36:$D$41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 plots'!$E$52:$E$57</c:f>
              <c:numCache>
                <c:formatCode>General</c:formatCode>
                <c:ptCount val="6"/>
                <c:pt idx="0">
                  <c:v>1.9</c:v>
                </c:pt>
                <c:pt idx="1">
                  <c:v>0.41</c:v>
                </c:pt>
                <c:pt idx="2">
                  <c:v>0.25</c:v>
                </c:pt>
                <c:pt idx="3">
                  <c:v>0.16</c:v>
                </c:pt>
                <c:pt idx="4">
                  <c:v>0.11</c:v>
                </c:pt>
                <c:pt idx="5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76-4E08-BDA6-60065B865C49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'Sample 7 plots'!$L$36:$L$41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 plots'!$M$52:$M$57</c:f>
              <c:numCache>
                <c:formatCode>0.00</c:formatCode>
                <c:ptCount val="6"/>
                <c:pt idx="0">
                  <c:v>4</c:v>
                </c:pt>
                <c:pt idx="1">
                  <c:v>2.11</c:v>
                </c:pt>
                <c:pt idx="2">
                  <c:v>1.76</c:v>
                </c:pt>
                <c:pt idx="3">
                  <c:v>1.61</c:v>
                </c:pt>
                <c:pt idx="4">
                  <c:v>1.3</c:v>
                </c:pt>
                <c:pt idx="5">
                  <c:v>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76-4E08-BDA6-60065B865C49}"/>
            </c:ext>
          </c:extLst>
        </c:ser>
        <c:ser>
          <c:idx val="2"/>
          <c:order val="2"/>
          <c:spPr>
            <a:ln w="9525">
              <a:solidFill>
                <a:schemeClr val="tx1"/>
              </a:solidFill>
            </a:ln>
          </c:spPr>
          <c:marker>
            <c:symbol val="none"/>
          </c:marker>
          <c:xVal>
            <c:strRef>
              <c:f>'Sample 7'!#REF!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'Sample 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76-4E08-BDA6-60065B865C49}"/>
            </c:ext>
          </c:extLst>
        </c:ser>
        <c:ser>
          <c:idx val="3"/>
          <c:order val="3"/>
          <c:spPr>
            <a:ln w="9525">
              <a:solidFill>
                <a:schemeClr val="tx1"/>
              </a:solidFill>
            </a:ln>
          </c:spPr>
          <c:marker>
            <c:symbol val="none"/>
          </c:marker>
          <c:xVal>
            <c:strRef>
              <c:f>'Sample 7'!#REF!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'Sample 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76-4E08-BDA6-60065B865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691648"/>
        <c:axId val="283702016"/>
      </c:scatterChart>
      <c:valAx>
        <c:axId val="283691648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(min)</a:t>
                </a:r>
              </a:p>
            </c:rich>
          </c:tx>
          <c:layout>
            <c:manualLayout>
              <c:xMode val="edge"/>
              <c:yMode val="edge"/>
              <c:x val="0.43096085853899463"/>
              <c:y val="0.86552818182781754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83702016"/>
        <c:crosses val="autoZero"/>
        <c:crossBetween val="midCat"/>
        <c:majorUnit val="10"/>
      </c:valAx>
      <c:valAx>
        <c:axId val="283702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Free Cl2 (mg/L)</a:t>
                </a:r>
              </a:p>
            </c:rich>
          </c:tx>
          <c:layout>
            <c:manualLayout>
              <c:xMode val="edge"/>
              <c:yMode val="edge"/>
              <c:x val="2.745857900169708E-2"/>
              <c:y val="0.22011678992016293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83691648"/>
        <c:crosses val="autoZero"/>
        <c:crossBetween val="midCat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7 plots'!$D$4:$D$9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 plots'!$E$4:$E$9</c:f>
              <c:numCache>
                <c:formatCode>General</c:formatCode>
                <c:ptCount val="6"/>
                <c:pt idx="0">
                  <c:v>0.96</c:v>
                </c:pt>
                <c:pt idx="1">
                  <c:v>0.67</c:v>
                </c:pt>
                <c:pt idx="2">
                  <c:v>0.27</c:v>
                </c:pt>
                <c:pt idx="3">
                  <c:v>0.15</c:v>
                </c:pt>
                <c:pt idx="4">
                  <c:v>0.06</c:v>
                </c:pt>
                <c:pt idx="5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F5-4DCD-8760-946476631A6A}"/>
            </c:ext>
          </c:extLst>
        </c:ser>
        <c:ser>
          <c:idx val="1"/>
          <c:order val="1"/>
          <c:tx>
            <c:v>2 mg/L PFA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7 plots'!$L$4:$L$9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 plots'!$M$4:$M$9</c:f>
              <c:numCache>
                <c:formatCode>General</c:formatCode>
                <c:ptCount val="6"/>
                <c:pt idx="0">
                  <c:v>2</c:v>
                </c:pt>
                <c:pt idx="1">
                  <c:v>1.7</c:v>
                </c:pt>
                <c:pt idx="2">
                  <c:v>1.63</c:v>
                </c:pt>
                <c:pt idx="3">
                  <c:v>1.55</c:v>
                </c:pt>
                <c:pt idx="4">
                  <c:v>1.35</c:v>
                </c:pt>
                <c:pt idx="5">
                  <c:v>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F5-4DCD-8760-946476631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7115501443643697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7 plots'!$D$19:$D$24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 plots'!$E$19:$E$24</c:f>
              <c:numCache>
                <c:formatCode>General</c:formatCode>
                <c:ptCount val="6"/>
                <c:pt idx="0">
                  <c:v>1.97</c:v>
                </c:pt>
                <c:pt idx="1">
                  <c:v>1.67</c:v>
                </c:pt>
                <c:pt idx="2">
                  <c:v>1.62</c:v>
                </c:pt>
                <c:pt idx="3">
                  <c:v>1.57</c:v>
                </c:pt>
                <c:pt idx="4">
                  <c:v>1.52</c:v>
                </c:pt>
                <c:pt idx="5">
                  <c:v>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E1-4075-9E9E-4D0D498541F6}"/>
            </c:ext>
          </c:extLst>
        </c:ser>
        <c:ser>
          <c:idx val="3"/>
          <c:order val="1"/>
          <c:tx>
            <c:v>4 mg/L PAA</c:v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7 plots'!$L$19:$L$24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 plots'!$M$19:$M$24</c:f>
              <c:numCache>
                <c:formatCode>General</c:formatCode>
                <c:ptCount val="6"/>
                <c:pt idx="0">
                  <c:v>4</c:v>
                </c:pt>
                <c:pt idx="1">
                  <c:v>3.58</c:v>
                </c:pt>
                <c:pt idx="2">
                  <c:v>3.55</c:v>
                </c:pt>
                <c:pt idx="3">
                  <c:v>3.51</c:v>
                </c:pt>
                <c:pt idx="4">
                  <c:v>3.34</c:v>
                </c:pt>
                <c:pt idx="5">
                  <c:v>3.03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E1-4075-9E9E-4D0D49854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7 plots'!$D$36:$D$41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 plots'!$E$36:$E$41</c:f>
              <c:numCache>
                <c:formatCode>General</c:formatCode>
                <c:ptCount val="6"/>
                <c:pt idx="0">
                  <c:v>1.9</c:v>
                </c:pt>
                <c:pt idx="1">
                  <c:v>0.97</c:v>
                </c:pt>
                <c:pt idx="2">
                  <c:v>0.73</c:v>
                </c:pt>
                <c:pt idx="3">
                  <c:v>0.67</c:v>
                </c:pt>
                <c:pt idx="4">
                  <c:v>0.56999999999999995</c:v>
                </c:pt>
                <c:pt idx="5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A6-4630-903E-0234606D8455}"/>
            </c:ext>
          </c:extLst>
        </c:ser>
        <c:ser>
          <c:idx val="3"/>
          <c:order val="1"/>
          <c:tx>
            <c:v>4 mg/L Cl2</c:v>
          </c:tx>
          <c:spPr>
            <a:ln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7 plots'!$L$36:$L$41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 plots'!$M$36:$M$41</c:f>
              <c:numCache>
                <c:formatCode>0.0</c:formatCode>
                <c:ptCount val="6"/>
                <c:pt idx="0">
                  <c:v>4</c:v>
                </c:pt>
                <c:pt idx="1">
                  <c:v>2.76</c:v>
                </c:pt>
                <c:pt idx="2">
                  <c:v>2.5</c:v>
                </c:pt>
                <c:pt idx="3">
                  <c:v>2.2400000000000002</c:v>
                </c:pt>
                <c:pt idx="4">
                  <c:v>1.96</c:v>
                </c:pt>
                <c:pt idx="5">
                  <c:v>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A6-4630-903E-0234606D8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7 plots'!$D$52:$D$57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 plots'!$E$52:$E$58</c:f>
              <c:numCache>
                <c:formatCode>General</c:formatCode>
                <c:ptCount val="7"/>
                <c:pt idx="0">
                  <c:v>1.9</c:v>
                </c:pt>
                <c:pt idx="1">
                  <c:v>0.41</c:v>
                </c:pt>
                <c:pt idx="2">
                  <c:v>0.25</c:v>
                </c:pt>
                <c:pt idx="3">
                  <c:v>0.16</c:v>
                </c:pt>
                <c:pt idx="4">
                  <c:v>0.11</c:v>
                </c:pt>
                <c:pt idx="5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C0-4775-B3DA-EF2B0DF7EF9E}"/>
            </c:ext>
          </c:extLst>
        </c:ser>
        <c:ser>
          <c:idx val="3"/>
          <c:order val="1"/>
          <c:tx>
            <c:v>4 mg/L Cl2</c:v>
          </c:tx>
          <c:spPr>
            <a:ln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7 plots'!$L$52:$L$57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7 plots'!$M$52:$M$57</c:f>
              <c:numCache>
                <c:formatCode>0.00</c:formatCode>
                <c:ptCount val="6"/>
                <c:pt idx="0">
                  <c:v>4</c:v>
                </c:pt>
                <c:pt idx="1">
                  <c:v>2.11</c:v>
                </c:pt>
                <c:pt idx="2">
                  <c:v>1.76</c:v>
                </c:pt>
                <c:pt idx="3">
                  <c:v>1.61</c:v>
                </c:pt>
                <c:pt idx="4">
                  <c:v>1.3</c:v>
                </c:pt>
                <c:pt idx="5">
                  <c:v>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C0-4775-B3DA-EF2B0DF7E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8 plots'!$D$4:$D$9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8 plots'!$E$4:$E$9</c:f>
              <c:numCache>
                <c:formatCode>General</c:formatCode>
                <c:ptCount val="6"/>
                <c:pt idx="0">
                  <c:v>0.91</c:v>
                </c:pt>
                <c:pt idx="1">
                  <c:v>0.63</c:v>
                </c:pt>
                <c:pt idx="2">
                  <c:v>0.57999999999999996</c:v>
                </c:pt>
                <c:pt idx="3">
                  <c:v>0.56999999999999995</c:v>
                </c:pt>
                <c:pt idx="4">
                  <c:v>0.49</c:v>
                </c:pt>
                <c:pt idx="5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2D-4ED5-9645-15E72E41F2F1}"/>
            </c:ext>
          </c:extLst>
        </c:ser>
        <c:ser>
          <c:idx val="1"/>
          <c:order val="1"/>
          <c:tx>
            <c:v>2 mg/L PFA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8 plots'!$L$4:$L$9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8 plots'!$M$4:$M$9</c:f>
              <c:numCache>
                <c:formatCode>General</c:formatCode>
                <c:ptCount val="6"/>
                <c:pt idx="0">
                  <c:v>2</c:v>
                </c:pt>
                <c:pt idx="1">
                  <c:v>1.94</c:v>
                </c:pt>
                <c:pt idx="2">
                  <c:v>1.9</c:v>
                </c:pt>
                <c:pt idx="3">
                  <c:v>1.72</c:v>
                </c:pt>
                <c:pt idx="4">
                  <c:v>1.61</c:v>
                </c:pt>
                <c:pt idx="5">
                  <c:v>1.17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2D-4ED5-9645-15E72E41F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72615380765127835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8 plots'!$D$16:$D$21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8 plots'!$E$16:$E$21</c:f>
              <c:numCache>
                <c:formatCode>General</c:formatCode>
                <c:ptCount val="6"/>
                <c:pt idx="0">
                  <c:v>2.0499999999999998</c:v>
                </c:pt>
                <c:pt idx="1">
                  <c:v>1.75</c:v>
                </c:pt>
                <c:pt idx="2">
                  <c:v>1.72</c:v>
                </c:pt>
                <c:pt idx="3">
                  <c:v>1.68</c:v>
                </c:pt>
                <c:pt idx="4">
                  <c:v>1.66</c:v>
                </c:pt>
                <c:pt idx="5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B1-4F02-8FB2-3C896BB510B0}"/>
            </c:ext>
          </c:extLst>
        </c:ser>
        <c:ser>
          <c:idx val="3"/>
          <c:order val="1"/>
          <c:tx>
            <c:v>4 mg/L PAA</c:v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8 plots'!$L$16:$L$21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8 plots'!$M$16:$M$21</c:f>
              <c:numCache>
                <c:formatCode>General</c:formatCode>
                <c:ptCount val="6"/>
                <c:pt idx="0">
                  <c:v>4.0999999999999996</c:v>
                </c:pt>
                <c:pt idx="1">
                  <c:v>3.68</c:v>
                </c:pt>
                <c:pt idx="2">
                  <c:v>3.58</c:v>
                </c:pt>
                <c:pt idx="3">
                  <c:v>3.53</c:v>
                </c:pt>
                <c:pt idx="4">
                  <c:v>3.56</c:v>
                </c:pt>
                <c:pt idx="5">
                  <c:v>3.31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B1-4F02-8FB2-3C896BB51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  <c:txPr>
        <a:bodyPr/>
        <a:lstStyle/>
        <a:p>
          <a:pPr>
            <a:defRPr b="0"/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8 plots'!$D$29:$D$34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8 plots'!$E$29:$E$34</c:f>
              <c:numCache>
                <c:formatCode>General</c:formatCode>
                <c:ptCount val="6"/>
                <c:pt idx="0">
                  <c:v>1.9</c:v>
                </c:pt>
                <c:pt idx="1">
                  <c:v>0.84</c:v>
                </c:pt>
                <c:pt idx="2">
                  <c:v>0.81</c:v>
                </c:pt>
                <c:pt idx="3">
                  <c:v>0.78</c:v>
                </c:pt>
                <c:pt idx="4">
                  <c:v>0.74</c:v>
                </c:pt>
                <c:pt idx="5">
                  <c:v>0.69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42-41C3-8BEA-D149C2978800}"/>
            </c:ext>
          </c:extLst>
        </c:ser>
        <c:ser>
          <c:idx val="3"/>
          <c:order val="1"/>
          <c:tx>
            <c:v>4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8 plots'!$L$29:$L$34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8 plots'!$M$29:$M$34</c:f>
              <c:numCache>
                <c:formatCode>General</c:formatCode>
                <c:ptCount val="6"/>
                <c:pt idx="0">
                  <c:v>3.98</c:v>
                </c:pt>
                <c:pt idx="1">
                  <c:v>1.94</c:v>
                </c:pt>
                <c:pt idx="2">
                  <c:v>1.8</c:v>
                </c:pt>
                <c:pt idx="3">
                  <c:v>1.58</c:v>
                </c:pt>
                <c:pt idx="4">
                  <c:v>1.56</c:v>
                </c:pt>
                <c:pt idx="5">
                  <c:v>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42-41C3-8BEA-D149C2978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8 plots'!$D$42:$D$47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8 plots'!$E$42:$E$48</c:f>
              <c:numCache>
                <c:formatCode>General</c:formatCode>
                <c:ptCount val="7"/>
                <c:pt idx="0">
                  <c:v>1.9</c:v>
                </c:pt>
                <c:pt idx="1">
                  <c:v>0.12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D-45B3-9855-29EBBE2C7113}"/>
            </c:ext>
          </c:extLst>
        </c:ser>
        <c:ser>
          <c:idx val="3"/>
          <c:order val="1"/>
          <c:tx>
            <c:v>4 mg/L Cl2</c:v>
          </c:tx>
          <c:spPr>
            <a:ln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8 plots'!$L$42:$L$47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8 plots'!$M$42:$M$47</c:f>
              <c:numCache>
                <c:formatCode>General</c:formatCode>
                <c:ptCount val="6"/>
                <c:pt idx="0">
                  <c:v>3.98</c:v>
                </c:pt>
                <c:pt idx="1">
                  <c:v>0.56999999999999995</c:v>
                </c:pt>
                <c:pt idx="2">
                  <c:v>0.28000000000000003</c:v>
                </c:pt>
                <c:pt idx="3">
                  <c:v>0.28000000000000003</c:v>
                </c:pt>
                <c:pt idx="4">
                  <c:v>0.24</c:v>
                </c:pt>
                <c:pt idx="5">
                  <c:v>0.18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ED-45B3-9855-29EBBE2C7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9 plots'!$D$4:$D$9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9 plots'!$E$4:$E$9</c:f>
              <c:numCache>
                <c:formatCode>General</c:formatCode>
                <c:ptCount val="6"/>
                <c:pt idx="0">
                  <c:v>1.04</c:v>
                </c:pt>
                <c:pt idx="1">
                  <c:v>0.65</c:v>
                </c:pt>
                <c:pt idx="2">
                  <c:v>0.62</c:v>
                </c:pt>
                <c:pt idx="3">
                  <c:v>0.57999999999999996</c:v>
                </c:pt>
                <c:pt idx="4">
                  <c:v>0.51</c:v>
                </c:pt>
                <c:pt idx="5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8B-4F20-810C-84740728C4C0}"/>
            </c:ext>
          </c:extLst>
        </c:ser>
        <c:ser>
          <c:idx val="1"/>
          <c:order val="1"/>
          <c:tx>
            <c:v>2 mg/L PFA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9 plots'!$L$4:$L$9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9 plots'!$M$4:$M$9</c:f>
              <c:numCache>
                <c:formatCode>0.00</c:formatCode>
                <c:ptCount val="6"/>
                <c:pt idx="0">
                  <c:v>2</c:v>
                </c:pt>
                <c:pt idx="1">
                  <c:v>1.64</c:v>
                </c:pt>
                <c:pt idx="2">
                  <c:v>1.54</c:v>
                </c:pt>
                <c:pt idx="3">
                  <c:v>1.44</c:v>
                </c:pt>
                <c:pt idx="4">
                  <c:v>1.32</c:v>
                </c:pt>
                <c:pt idx="5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8B-4F20-810C-84740728C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72615380765127835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9 plots'!$D$18:$D$23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9 plots'!$E$18:$E$23</c:f>
              <c:numCache>
                <c:formatCode>General</c:formatCode>
                <c:ptCount val="6"/>
                <c:pt idx="0">
                  <c:v>2.02</c:v>
                </c:pt>
                <c:pt idx="1">
                  <c:v>1.62</c:v>
                </c:pt>
                <c:pt idx="2">
                  <c:v>1.61</c:v>
                </c:pt>
                <c:pt idx="3">
                  <c:v>1.57</c:v>
                </c:pt>
                <c:pt idx="4">
                  <c:v>1.53</c:v>
                </c:pt>
                <c:pt idx="5">
                  <c:v>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36-4A94-9DCA-6D522200578A}"/>
            </c:ext>
          </c:extLst>
        </c:ser>
        <c:ser>
          <c:idx val="3"/>
          <c:order val="1"/>
          <c:tx>
            <c:v>4 mg/L PAA</c:v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9 plots'!$L$18:$L$23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9 plots'!$M$18:$M$23</c:f>
              <c:numCache>
                <c:formatCode>General</c:formatCode>
                <c:ptCount val="6"/>
                <c:pt idx="0">
                  <c:v>3.95</c:v>
                </c:pt>
                <c:pt idx="1">
                  <c:v>3.42</c:v>
                </c:pt>
                <c:pt idx="2">
                  <c:v>3.35</c:v>
                </c:pt>
                <c:pt idx="3">
                  <c:v>3.36</c:v>
                </c:pt>
                <c:pt idx="4">
                  <c:v>3.29</c:v>
                </c:pt>
                <c:pt idx="5">
                  <c:v>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36-4A94-9DCA-6D5222005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  <c:txPr>
        <a:bodyPr/>
        <a:lstStyle/>
        <a:p>
          <a:pPr>
            <a:defRPr b="0"/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9 plots'!$D$32:$D$37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9 plots'!$E$32:$E$37</c:f>
              <c:numCache>
                <c:formatCode>General</c:formatCode>
                <c:ptCount val="6"/>
                <c:pt idx="0">
                  <c:v>2.0499999999999998</c:v>
                </c:pt>
                <c:pt idx="1">
                  <c:v>0.69</c:v>
                </c:pt>
                <c:pt idx="2">
                  <c:v>0.64</c:v>
                </c:pt>
                <c:pt idx="3">
                  <c:v>0.66</c:v>
                </c:pt>
                <c:pt idx="4">
                  <c:v>0.59</c:v>
                </c:pt>
                <c:pt idx="5">
                  <c:v>0.57999999999999996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0-46E9-8371-0836BE639E37}"/>
            </c:ext>
          </c:extLst>
        </c:ser>
        <c:ser>
          <c:idx val="3"/>
          <c:order val="1"/>
          <c:tx>
            <c:v>4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9 plots'!$L$32:$L$37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9 plots'!$M$32:$M$37</c:f>
              <c:numCache>
                <c:formatCode>0.00</c:formatCode>
                <c:ptCount val="6"/>
                <c:pt idx="0">
                  <c:v>4</c:v>
                </c:pt>
                <c:pt idx="1">
                  <c:v>1.68</c:v>
                </c:pt>
                <c:pt idx="2">
                  <c:v>1.4</c:v>
                </c:pt>
                <c:pt idx="3">
                  <c:v>1.32</c:v>
                </c:pt>
                <c:pt idx="4">
                  <c:v>1.3</c:v>
                </c:pt>
                <c:pt idx="5">
                  <c:v>1.22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F0-46E9-8371-0836BE639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9 plots'!$D$46:$D$51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9 plots'!$E$46:$E$51</c:f>
              <c:numCache>
                <c:formatCode>General</c:formatCode>
                <c:ptCount val="6"/>
                <c:pt idx="0">
                  <c:v>2.0499999999999998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0.06</c:v>
                </c:pt>
                <c:pt idx="4">
                  <c:v>0.08</c:v>
                </c:pt>
                <c:pt idx="5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8-4FCE-BB65-81AA6C3D4598}"/>
            </c:ext>
          </c:extLst>
        </c:ser>
        <c:ser>
          <c:idx val="3"/>
          <c:order val="1"/>
          <c:tx>
            <c:v>4 mg/L Cl2</c:v>
          </c:tx>
          <c:spPr>
            <a:ln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9 plots'!$L$46:$L$51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9 plots'!$M$46:$M$51</c:f>
              <c:numCache>
                <c:formatCode>0.00</c:formatCode>
                <c:ptCount val="6"/>
                <c:pt idx="0">
                  <c:v>4</c:v>
                </c:pt>
                <c:pt idx="1">
                  <c:v>0.54</c:v>
                </c:pt>
                <c:pt idx="2">
                  <c:v>0.25</c:v>
                </c:pt>
                <c:pt idx="3">
                  <c:v>0.27</c:v>
                </c:pt>
                <c:pt idx="4">
                  <c:v>0.11</c:v>
                </c:pt>
                <c:pt idx="5">
                  <c:v>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88-4FCE-BB65-81AA6C3D4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10 plots'!$D$4:$D$9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10 plots'!$E$4:$E$9</c:f>
              <c:numCache>
                <c:formatCode>0.00</c:formatCode>
                <c:ptCount val="6"/>
                <c:pt idx="0">
                  <c:v>0.96</c:v>
                </c:pt>
                <c:pt idx="1">
                  <c:v>0.89</c:v>
                </c:pt>
                <c:pt idx="2">
                  <c:v>0.8</c:v>
                </c:pt>
                <c:pt idx="3">
                  <c:v>0.76</c:v>
                </c:pt>
                <c:pt idx="4">
                  <c:v>0.7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E1-44A3-9E73-FE53A00D7FF2}"/>
            </c:ext>
          </c:extLst>
        </c:ser>
        <c:ser>
          <c:idx val="1"/>
          <c:order val="1"/>
          <c:tx>
            <c:v>2 mg/L PFA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10 plots'!$L$4:$L$9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10 plots'!$M$4:$M$9</c:f>
              <c:numCache>
                <c:formatCode>0.00</c:formatCode>
                <c:ptCount val="6"/>
                <c:pt idx="0">
                  <c:v>2</c:v>
                </c:pt>
                <c:pt idx="1">
                  <c:v>1.74</c:v>
                </c:pt>
                <c:pt idx="2">
                  <c:v>1.7</c:v>
                </c:pt>
                <c:pt idx="3">
                  <c:v>1.61</c:v>
                </c:pt>
                <c:pt idx="4">
                  <c:v>1.51</c:v>
                </c:pt>
                <c:pt idx="5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E1-44A3-9E73-FE53A00D7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72615380765127835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10 plots'!$D$17:$D$22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10 plots'!$E$17:$E$22</c:f>
              <c:numCache>
                <c:formatCode>0.00</c:formatCode>
                <c:ptCount val="6"/>
                <c:pt idx="0">
                  <c:v>2.0499999999999998</c:v>
                </c:pt>
                <c:pt idx="1">
                  <c:v>1.85</c:v>
                </c:pt>
                <c:pt idx="2">
                  <c:v>1.81</c:v>
                </c:pt>
                <c:pt idx="3">
                  <c:v>1.8</c:v>
                </c:pt>
                <c:pt idx="4">
                  <c:v>1.73</c:v>
                </c:pt>
                <c:pt idx="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5-4AEC-9057-1374BC88797D}"/>
            </c:ext>
          </c:extLst>
        </c:ser>
        <c:ser>
          <c:idx val="3"/>
          <c:order val="1"/>
          <c:tx>
            <c:v>4 mg/L PAA</c:v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10 plots'!$L$17:$L$23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10 plots'!$M$17:$M$22</c:f>
              <c:numCache>
                <c:formatCode>0.00</c:formatCode>
                <c:ptCount val="6"/>
                <c:pt idx="0">
                  <c:v>4</c:v>
                </c:pt>
                <c:pt idx="1">
                  <c:v>3.6</c:v>
                </c:pt>
                <c:pt idx="2">
                  <c:v>3.5</c:v>
                </c:pt>
                <c:pt idx="3">
                  <c:v>3.52</c:v>
                </c:pt>
                <c:pt idx="4">
                  <c:v>3.4</c:v>
                </c:pt>
                <c:pt idx="5">
                  <c:v>3.18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55-4AEC-9057-1374BC887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  <c:txPr>
        <a:bodyPr/>
        <a:lstStyle/>
        <a:p>
          <a:pPr>
            <a:defRPr b="0"/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10 plots'!$D$30:$D$35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10 plots'!$E$30:$E$35</c:f>
              <c:numCache>
                <c:formatCode>0.00</c:formatCode>
                <c:ptCount val="6"/>
                <c:pt idx="0">
                  <c:v>1.92</c:v>
                </c:pt>
                <c:pt idx="1">
                  <c:v>1.07</c:v>
                </c:pt>
                <c:pt idx="2">
                  <c:v>0.93</c:v>
                </c:pt>
                <c:pt idx="3">
                  <c:v>0.9</c:v>
                </c:pt>
                <c:pt idx="4">
                  <c:v>0.85</c:v>
                </c:pt>
                <c:pt idx="5">
                  <c:v>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AB-47BB-938A-13653228A6F5}"/>
            </c:ext>
          </c:extLst>
        </c:ser>
        <c:ser>
          <c:idx val="3"/>
          <c:order val="1"/>
          <c:tx>
            <c:v>4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10 plots'!$L$30:$L$35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10 plots'!$M$30:$M$35</c:f>
              <c:numCache>
                <c:formatCode>0.00</c:formatCode>
                <c:ptCount val="6"/>
                <c:pt idx="0">
                  <c:v>4.04</c:v>
                </c:pt>
                <c:pt idx="1">
                  <c:v>3</c:v>
                </c:pt>
                <c:pt idx="2">
                  <c:v>2.52</c:v>
                </c:pt>
                <c:pt idx="3">
                  <c:v>2.3199999999999998</c:v>
                </c:pt>
                <c:pt idx="4">
                  <c:v>1.92</c:v>
                </c:pt>
                <c:pt idx="5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AB-47BB-938A-13653228A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10 plots'!$D$43:$D$48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10 plots'!$E$43:$E$48</c:f>
              <c:numCache>
                <c:formatCode>0.00</c:formatCode>
                <c:ptCount val="6"/>
                <c:pt idx="0">
                  <c:v>1.92</c:v>
                </c:pt>
                <c:pt idx="1">
                  <c:v>0.28999999999999998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0.12</c:v>
                </c:pt>
                <c:pt idx="5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5D-4E8A-9DAD-E86C12483067}"/>
            </c:ext>
          </c:extLst>
        </c:ser>
        <c:ser>
          <c:idx val="3"/>
          <c:order val="1"/>
          <c:tx>
            <c:v>4 mg/L Cl2</c:v>
          </c:tx>
          <c:spPr>
            <a:ln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10 plots'!$L$43:$L$48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10 plots'!$M$43:$M$48</c:f>
              <c:numCache>
                <c:formatCode>General</c:formatCode>
                <c:ptCount val="6"/>
                <c:pt idx="0">
                  <c:v>4.04</c:v>
                </c:pt>
                <c:pt idx="1">
                  <c:v>1.59</c:v>
                </c:pt>
                <c:pt idx="2">
                  <c:v>1.27</c:v>
                </c:pt>
                <c:pt idx="3">
                  <c:v>1.17</c:v>
                </c:pt>
                <c:pt idx="4">
                  <c:v>0.94</c:v>
                </c:pt>
                <c:pt idx="5">
                  <c:v>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5D-4E8A-9DAD-E86C12483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11 plots'!$D$4:$D$9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11 plots'!$E$4:$E$9</c:f>
              <c:numCache>
                <c:formatCode>General</c:formatCode>
                <c:ptCount val="6"/>
                <c:pt idx="0">
                  <c:v>1</c:v>
                </c:pt>
                <c:pt idx="1">
                  <c:v>0.93</c:v>
                </c:pt>
                <c:pt idx="2">
                  <c:v>0.87</c:v>
                </c:pt>
                <c:pt idx="3">
                  <c:v>0.85</c:v>
                </c:pt>
                <c:pt idx="4">
                  <c:v>0.81</c:v>
                </c:pt>
                <c:pt idx="5">
                  <c:v>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87-43B9-B842-ED136CAC09A4}"/>
            </c:ext>
          </c:extLst>
        </c:ser>
        <c:ser>
          <c:idx val="1"/>
          <c:order val="1"/>
          <c:tx>
            <c:v>2 mg/L PFA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11 plots'!$L$4:$L$9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11 plots'!$M$4:$M$10</c:f>
              <c:numCache>
                <c:formatCode>General</c:formatCode>
                <c:ptCount val="7"/>
                <c:pt idx="0">
                  <c:v>2</c:v>
                </c:pt>
                <c:pt idx="1">
                  <c:v>2.0699999999999998</c:v>
                </c:pt>
                <c:pt idx="2">
                  <c:v>1.66</c:v>
                </c:pt>
                <c:pt idx="3">
                  <c:v>1.79</c:v>
                </c:pt>
                <c:pt idx="4">
                  <c:v>1.46</c:v>
                </c:pt>
                <c:pt idx="5">
                  <c:v>1.23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87-43B9-B842-ED136CAC0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72615380765127835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11 plots'!$D$17:$D$22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11 plots'!$E$17:$E$22</c:f>
              <c:numCache>
                <c:formatCode>General</c:formatCode>
                <c:ptCount val="6"/>
                <c:pt idx="0">
                  <c:v>2</c:v>
                </c:pt>
                <c:pt idx="1">
                  <c:v>1.97</c:v>
                </c:pt>
                <c:pt idx="2">
                  <c:v>1.88</c:v>
                </c:pt>
                <c:pt idx="3">
                  <c:v>1.88</c:v>
                </c:pt>
                <c:pt idx="4">
                  <c:v>1.87</c:v>
                </c:pt>
                <c:pt idx="5">
                  <c:v>1.74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98-494A-B04E-DB3C4D2A0662}"/>
            </c:ext>
          </c:extLst>
        </c:ser>
        <c:ser>
          <c:idx val="3"/>
          <c:order val="1"/>
          <c:tx>
            <c:v>4 mg/L PAA</c:v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11 plots'!$L$17:$L$23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11 plots'!$M$17:$M$22</c:f>
              <c:numCache>
                <c:formatCode>General</c:formatCode>
                <c:ptCount val="6"/>
                <c:pt idx="0">
                  <c:v>4.12</c:v>
                </c:pt>
                <c:pt idx="1">
                  <c:v>3.84</c:v>
                </c:pt>
                <c:pt idx="2">
                  <c:v>3.89</c:v>
                </c:pt>
                <c:pt idx="3">
                  <c:v>3.85</c:v>
                </c:pt>
                <c:pt idx="4">
                  <c:v>3.84</c:v>
                </c:pt>
                <c:pt idx="5">
                  <c:v>3.59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98-494A-B04E-DB3C4D2A0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  <c:txPr>
        <a:bodyPr/>
        <a:lstStyle/>
        <a:p>
          <a:pPr>
            <a:defRPr b="0"/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11 plots'!$D$30:$D$35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11 plots'!$E$30:$E$35</c:f>
              <c:numCache>
                <c:formatCode>General</c:formatCode>
                <c:ptCount val="6"/>
                <c:pt idx="0">
                  <c:v>1.95</c:v>
                </c:pt>
                <c:pt idx="1">
                  <c:v>1.75</c:v>
                </c:pt>
                <c:pt idx="2">
                  <c:v>1.7</c:v>
                </c:pt>
                <c:pt idx="3">
                  <c:v>1.7</c:v>
                </c:pt>
                <c:pt idx="4">
                  <c:v>1.67</c:v>
                </c:pt>
                <c:pt idx="5">
                  <c:v>1.66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95-4D12-BF02-496E2CD9AEF8}"/>
            </c:ext>
          </c:extLst>
        </c:ser>
        <c:ser>
          <c:idx val="3"/>
          <c:order val="1"/>
          <c:tx>
            <c:v>4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11 plots'!$L$30:$L$35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11 plots'!$M$30:$M$35</c:f>
              <c:numCache>
                <c:formatCode>General</c:formatCode>
                <c:ptCount val="6"/>
                <c:pt idx="0">
                  <c:v>4.0199999999999996</c:v>
                </c:pt>
                <c:pt idx="1">
                  <c:v>3.44</c:v>
                </c:pt>
                <c:pt idx="2">
                  <c:v>3.46</c:v>
                </c:pt>
                <c:pt idx="3">
                  <c:v>3.44</c:v>
                </c:pt>
                <c:pt idx="4">
                  <c:v>3.44</c:v>
                </c:pt>
                <c:pt idx="5">
                  <c:v>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95-4D12-BF02-496E2CD9A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11 plots'!$D$43:$D$48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11 plots'!$E$43:$E$48</c:f>
              <c:numCache>
                <c:formatCode>General</c:formatCode>
                <c:ptCount val="6"/>
                <c:pt idx="0">
                  <c:v>1.95</c:v>
                </c:pt>
                <c:pt idx="1">
                  <c:v>0.05</c:v>
                </c:pt>
                <c:pt idx="2">
                  <c:v>0.06</c:v>
                </c:pt>
                <c:pt idx="3">
                  <c:v>0.04</c:v>
                </c:pt>
                <c:pt idx="4">
                  <c:v>0.04</c:v>
                </c:pt>
                <c:pt idx="5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4C-40ED-B74E-F36B72490904}"/>
            </c:ext>
          </c:extLst>
        </c:ser>
        <c:ser>
          <c:idx val="3"/>
          <c:order val="1"/>
          <c:tx>
            <c:v>4 mg/L Cl2</c:v>
          </c:tx>
          <c:spPr>
            <a:ln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11 plots'!$L$43:$L$48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11 plots'!$M$43:$M$48</c:f>
              <c:numCache>
                <c:formatCode>General</c:formatCode>
                <c:ptCount val="6"/>
                <c:pt idx="0">
                  <c:v>4.0199999999999996</c:v>
                </c:pt>
                <c:pt idx="1">
                  <c:v>0.18</c:v>
                </c:pt>
                <c:pt idx="2">
                  <c:v>0.15</c:v>
                </c:pt>
                <c:pt idx="3">
                  <c:v>0.08</c:v>
                </c:pt>
                <c:pt idx="4">
                  <c:v>0.13</c:v>
                </c:pt>
                <c:pt idx="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4C-40ED-B74E-F36B72490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12 plots'!$D$4:$D$9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12 plots'!$E$4:$E$9</c:f>
              <c:numCache>
                <c:formatCode>General</c:formatCode>
                <c:ptCount val="6"/>
                <c:pt idx="0">
                  <c:v>1.04</c:v>
                </c:pt>
                <c:pt idx="1">
                  <c:v>0.82</c:v>
                </c:pt>
                <c:pt idx="2">
                  <c:v>0.83</c:v>
                </c:pt>
                <c:pt idx="3">
                  <c:v>0.74</c:v>
                </c:pt>
                <c:pt idx="4">
                  <c:v>0.68</c:v>
                </c:pt>
                <c:pt idx="5">
                  <c:v>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5A-4926-B805-15CB253B4806}"/>
            </c:ext>
          </c:extLst>
        </c:ser>
        <c:ser>
          <c:idx val="1"/>
          <c:order val="1"/>
          <c:tx>
            <c:v>2 mg/L PFA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12 plots'!$L$4:$L$9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12 plots'!$M$4:$M$10</c:f>
              <c:numCache>
                <c:formatCode>0.00</c:formatCode>
                <c:ptCount val="7"/>
                <c:pt idx="0">
                  <c:v>2</c:v>
                </c:pt>
                <c:pt idx="1">
                  <c:v>1.64</c:v>
                </c:pt>
                <c:pt idx="2">
                  <c:v>1.51</c:v>
                </c:pt>
                <c:pt idx="3">
                  <c:v>1.49</c:v>
                </c:pt>
                <c:pt idx="4">
                  <c:v>1.34</c:v>
                </c:pt>
                <c:pt idx="5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5A-4926-B805-15CB253B4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72615380765127835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12 plots'!$D$17:$D$22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12 plots'!$E$17:$E$22</c:f>
              <c:numCache>
                <c:formatCode>0.00</c:formatCode>
                <c:ptCount val="6"/>
                <c:pt idx="0">
                  <c:v>1.9</c:v>
                </c:pt>
                <c:pt idx="1">
                  <c:v>1.76</c:v>
                </c:pt>
                <c:pt idx="2">
                  <c:v>1.63</c:v>
                </c:pt>
                <c:pt idx="3">
                  <c:v>1.61</c:v>
                </c:pt>
                <c:pt idx="4">
                  <c:v>1.55</c:v>
                </c:pt>
                <c:pt idx="5">
                  <c:v>1.38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0B-44B9-96BD-2997F216C56E}"/>
            </c:ext>
          </c:extLst>
        </c:ser>
        <c:ser>
          <c:idx val="3"/>
          <c:order val="1"/>
          <c:tx>
            <c:v>4 mg/L PAA</c:v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12 plots'!$L$17:$L$23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12 plots'!$M$17:$M$22</c:f>
              <c:numCache>
                <c:formatCode>General</c:formatCode>
                <c:ptCount val="6"/>
                <c:pt idx="0">
                  <c:v>3.99</c:v>
                </c:pt>
                <c:pt idx="1">
                  <c:v>3.69</c:v>
                </c:pt>
                <c:pt idx="2">
                  <c:v>3.62</c:v>
                </c:pt>
                <c:pt idx="3">
                  <c:v>3.56</c:v>
                </c:pt>
                <c:pt idx="4">
                  <c:v>3.52</c:v>
                </c:pt>
                <c:pt idx="5">
                  <c:v>3.39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0B-44B9-96BD-2997F216C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  <c:txPr>
        <a:bodyPr/>
        <a:lstStyle/>
        <a:p>
          <a:pPr>
            <a:defRPr b="0"/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12 plots'!$D$30:$D$35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12 plots'!$E$30:$E$35</c:f>
              <c:numCache>
                <c:formatCode>0.00</c:formatCode>
                <c:ptCount val="6"/>
                <c:pt idx="0">
                  <c:v>2.1</c:v>
                </c:pt>
                <c:pt idx="1">
                  <c:v>1.63</c:v>
                </c:pt>
                <c:pt idx="2">
                  <c:v>1.62</c:v>
                </c:pt>
                <c:pt idx="3">
                  <c:v>1.58</c:v>
                </c:pt>
                <c:pt idx="4">
                  <c:v>1.58</c:v>
                </c:pt>
                <c:pt idx="5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68-4F17-A6DE-3CAEE1145364}"/>
            </c:ext>
          </c:extLst>
        </c:ser>
        <c:ser>
          <c:idx val="3"/>
          <c:order val="1"/>
          <c:tx>
            <c:v>4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12 plots'!$L$30:$L$35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12 plots'!$M$30:$M$35</c:f>
              <c:numCache>
                <c:formatCode>General</c:formatCode>
                <c:ptCount val="6"/>
                <c:pt idx="0">
                  <c:v>4.0599999999999996</c:v>
                </c:pt>
                <c:pt idx="1">
                  <c:v>3.46</c:v>
                </c:pt>
                <c:pt idx="2">
                  <c:v>3.34</c:v>
                </c:pt>
                <c:pt idx="3">
                  <c:v>3.4</c:v>
                </c:pt>
                <c:pt idx="4">
                  <c:v>3.38</c:v>
                </c:pt>
                <c:pt idx="5">
                  <c:v>3.26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68-4F17-A6DE-3CAEE1145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12 plots'!$D$43:$D$48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12 plots'!$E$43:$E$48</c:f>
              <c:numCache>
                <c:formatCode>0.00</c:formatCode>
                <c:ptCount val="6"/>
                <c:pt idx="0">
                  <c:v>2.1</c:v>
                </c:pt>
                <c:pt idx="1">
                  <c:v>0.17</c:v>
                </c:pt>
                <c:pt idx="2">
                  <c:v>0.08</c:v>
                </c:pt>
                <c:pt idx="3">
                  <c:v>0.06</c:v>
                </c:pt>
                <c:pt idx="4">
                  <c:v>0.05</c:v>
                </c:pt>
                <c:pt idx="5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0-4CC4-986F-8040C5657E5B}"/>
            </c:ext>
          </c:extLst>
        </c:ser>
        <c:ser>
          <c:idx val="3"/>
          <c:order val="1"/>
          <c:tx>
            <c:v>4 mg/L Cl2</c:v>
          </c:tx>
          <c:spPr>
            <a:ln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12 plots'!$L$43:$L$48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12 plots'!$M$43:$M$48</c:f>
              <c:numCache>
                <c:formatCode>General</c:formatCode>
                <c:ptCount val="6"/>
                <c:pt idx="0">
                  <c:v>4.0599999999999996</c:v>
                </c:pt>
                <c:pt idx="1">
                  <c:v>0.19</c:v>
                </c:pt>
                <c:pt idx="2">
                  <c:v>0.17</c:v>
                </c:pt>
                <c:pt idx="3">
                  <c:v>0.12</c:v>
                </c:pt>
                <c:pt idx="4">
                  <c:v>0.09</c:v>
                </c:pt>
                <c:pt idx="5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90-4CC4-986F-8040C5657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13 plots'!$D$4:$D$10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13 plots'!$E$4:$E$9</c:f>
              <c:numCache>
                <c:formatCode>General</c:formatCode>
                <c:ptCount val="6"/>
                <c:pt idx="0">
                  <c:v>0.99</c:v>
                </c:pt>
                <c:pt idx="1">
                  <c:v>0.71</c:v>
                </c:pt>
                <c:pt idx="2">
                  <c:v>0.65</c:v>
                </c:pt>
                <c:pt idx="3">
                  <c:v>0.62</c:v>
                </c:pt>
                <c:pt idx="4">
                  <c:v>0.56000000000000005</c:v>
                </c:pt>
                <c:pt idx="5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63-4D69-85F3-2A32C45A101F}"/>
            </c:ext>
          </c:extLst>
        </c:ser>
        <c:ser>
          <c:idx val="1"/>
          <c:order val="1"/>
          <c:tx>
            <c:v>2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13 plots'!$L$4:$L$10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13 plots'!$M$4:$M$10</c:f>
              <c:numCache>
                <c:formatCode>General</c:formatCode>
                <c:ptCount val="7"/>
                <c:pt idx="0">
                  <c:v>2.08</c:v>
                </c:pt>
                <c:pt idx="1">
                  <c:v>1.67</c:v>
                </c:pt>
                <c:pt idx="2">
                  <c:v>1.58</c:v>
                </c:pt>
                <c:pt idx="3">
                  <c:v>1.55</c:v>
                </c:pt>
                <c:pt idx="4">
                  <c:v>1.42</c:v>
                </c:pt>
                <c:pt idx="5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63-4D69-85F3-2A32C45A1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74204566483382972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13 plots'!$D$17:$D$22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13 plots'!$E$17:$E$22</c:f>
              <c:numCache>
                <c:formatCode>General</c:formatCode>
                <c:ptCount val="6"/>
                <c:pt idx="0">
                  <c:v>1.97</c:v>
                </c:pt>
                <c:pt idx="1">
                  <c:v>1.65</c:v>
                </c:pt>
                <c:pt idx="2">
                  <c:v>1.56</c:v>
                </c:pt>
                <c:pt idx="3">
                  <c:v>1.55</c:v>
                </c:pt>
                <c:pt idx="4">
                  <c:v>1.53</c:v>
                </c:pt>
                <c:pt idx="5">
                  <c:v>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A5-4E3C-9B82-BF4CA530DA49}"/>
            </c:ext>
          </c:extLst>
        </c:ser>
        <c:ser>
          <c:idx val="3"/>
          <c:order val="1"/>
          <c:tx>
            <c:v>4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13 plots'!$L$17:$L$22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13 plots'!$M$17:$M$22</c:f>
              <c:numCache>
                <c:formatCode>General</c:formatCode>
                <c:ptCount val="6"/>
                <c:pt idx="0">
                  <c:v>4</c:v>
                </c:pt>
                <c:pt idx="1">
                  <c:v>3.63</c:v>
                </c:pt>
                <c:pt idx="2">
                  <c:v>3.54</c:v>
                </c:pt>
                <c:pt idx="3">
                  <c:v>3.34</c:v>
                </c:pt>
                <c:pt idx="4">
                  <c:v>3.31</c:v>
                </c:pt>
                <c:pt idx="5">
                  <c:v>2.99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A5-4E3C-9B82-BF4CA530D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13 plots'!$D$30:$D$35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13 plots'!$E$30:$E$35</c:f>
              <c:numCache>
                <c:formatCode>0.00</c:formatCode>
                <c:ptCount val="6"/>
                <c:pt idx="0">
                  <c:v>2</c:v>
                </c:pt>
                <c:pt idx="1">
                  <c:v>0.63</c:v>
                </c:pt>
                <c:pt idx="2">
                  <c:v>0.61</c:v>
                </c:pt>
                <c:pt idx="3">
                  <c:v>0.52</c:v>
                </c:pt>
                <c:pt idx="4">
                  <c:v>0.51</c:v>
                </c:pt>
                <c:pt idx="5">
                  <c:v>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73-4A9A-970D-1C281A8A3BB8}"/>
            </c:ext>
          </c:extLst>
        </c:ser>
        <c:ser>
          <c:idx val="3"/>
          <c:order val="1"/>
          <c:tx>
            <c:v>4 mg/L Cl2</c:v>
          </c:tx>
          <c:spPr>
            <a:ln w="25400"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13 plots'!$L$30:$L$35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13 plots'!$M$30:$M$35</c:f>
              <c:numCache>
                <c:formatCode>0.00</c:formatCode>
                <c:ptCount val="6"/>
                <c:pt idx="0">
                  <c:v>4</c:v>
                </c:pt>
                <c:pt idx="1">
                  <c:v>2.38</c:v>
                </c:pt>
                <c:pt idx="2">
                  <c:v>2.02</c:v>
                </c:pt>
                <c:pt idx="3">
                  <c:v>1.82</c:v>
                </c:pt>
                <c:pt idx="4">
                  <c:v>1.54</c:v>
                </c:pt>
                <c:pt idx="5">
                  <c:v>1.06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73-4A9A-970D-1C281A8A3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13 plots'!$D$43:$D$48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13 plots'!$E$43:$E$48</c:f>
              <c:numCache>
                <c:formatCode>0.00</c:formatCode>
                <c:ptCount val="6"/>
                <c:pt idx="0">
                  <c:v>2</c:v>
                </c:pt>
                <c:pt idx="1">
                  <c:v>0.17</c:v>
                </c:pt>
                <c:pt idx="2">
                  <c:v>0.17</c:v>
                </c:pt>
                <c:pt idx="3">
                  <c:v>0.14000000000000001</c:v>
                </c:pt>
                <c:pt idx="4">
                  <c:v>7.0000000000000007E-2</c:v>
                </c:pt>
                <c:pt idx="5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E4-4346-ABF2-311AE63F442E}"/>
            </c:ext>
          </c:extLst>
        </c:ser>
        <c:ser>
          <c:idx val="3"/>
          <c:order val="1"/>
          <c:tx>
            <c:v>4 mg/L Cl2</c:v>
          </c:tx>
          <c:spPr>
            <a:ln w="25400"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13 plots'!$L$43:$L$48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13 plots'!$M$43:$M$48</c:f>
              <c:numCache>
                <c:formatCode>0.00</c:formatCode>
                <c:ptCount val="6"/>
                <c:pt idx="0">
                  <c:v>4</c:v>
                </c:pt>
                <c:pt idx="1">
                  <c:v>1.63</c:v>
                </c:pt>
                <c:pt idx="2">
                  <c:v>1.06</c:v>
                </c:pt>
                <c:pt idx="3">
                  <c:v>0.9</c:v>
                </c:pt>
                <c:pt idx="4">
                  <c:v>0.64</c:v>
                </c:pt>
                <c:pt idx="5">
                  <c:v>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4-4346-ABF2-311AE63F4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14 plots'!$D$4:$D$10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14 plots'!$E$4:$E$9</c:f>
              <c:numCache>
                <c:formatCode>General</c:formatCode>
                <c:ptCount val="6"/>
                <c:pt idx="0">
                  <c:v>0.97</c:v>
                </c:pt>
                <c:pt idx="1">
                  <c:v>0.87</c:v>
                </c:pt>
                <c:pt idx="2">
                  <c:v>0.83</c:v>
                </c:pt>
                <c:pt idx="3">
                  <c:v>0.84</c:v>
                </c:pt>
                <c:pt idx="4">
                  <c:v>0.76</c:v>
                </c:pt>
                <c:pt idx="5">
                  <c:v>0.51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15-4BC2-8314-4492D094EF93}"/>
            </c:ext>
          </c:extLst>
        </c:ser>
        <c:ser>
          <c:idx val="1"/>
          <c:order val="1"/>
          <c:tx>
            <c:v>2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14 plots'!$L$4:$L$10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14 plots'!$M$4:$M$10</c:f>
              <c:numCache>
                <c:formatCode>0.00</c:formatCode>
                <c:ptCount val="7"/>
                <c:pt idx="0">
                  <c:v>2</c:v>
                </c:pt>
                <c:pt idx="1">
                  <c:v>1.77</c:v>
                </c:pt>
                <c:pt idx="2">
                  <c:v>1.67</c:v>
                </c:pt>
                <c:pt idx="3">
                  <c:v>1.61</c:v>
                </c:pt>
                <c:pt idx="4">
                  <c:v>1.51</c:v>
                </c:pt>
                <c:pt idx="5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15-4BC2-8314-4492D094E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74204566483382972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14 plots'!$D$17:$D$22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14 plots'!$E$17:$E$22</c:f>
              <c:numCache>
                <c:formatCode>0.00</c:formatCode>
                <c:ptCount val="6"/>
                <c:pt idx="0">
                  <c:v>2</c:v>
                </c:pt>
                <c:pt idx="1">
                  <c:v>1.91</c:v>
                </c:pt>
                <c:pt idx="2">
                  <c:v>1.86</c:v>
                </c:pt>
                <c:pt idx="3">
                  <c:v>1.83</c:v>
                </c:pt>
                <c:pt idx="4">
                  <c:v>1.85</c:v>
                </c:pt>
                <c:pt idx="5">
                  <c:v>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BF-45E6-B507-8F863DFC30C4}"/>
            </c:ext>
          </c:extLst>
        </c:ser>
        <c:ser>
          <c:idx val="3"/>
          <c:order val="1"/>
          <c:tx>
            <c:v>4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14 plots'!$L$17:$L$22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14 plots'!$M$17:$M$22</c:f>
              <c:numCache>
                <c:formatCode>General</c:formatCode>
                <c:ptCount val="6"/>
                <c:pt idx="0">
                  <c:v>3.97</c:v>
                </c:pt>
                <c:pt idx="1">
                  <c:v>3.47</c:v>
                </c:pt>
                <c:pt idx="2">
                  <c:v>3.61</c:v>
                </c:pt>
                <c:pt idx="3">
                  <c:v>3.55</c:v>
                </c:pt>
                <c:pt idx="4">
                  <c:v>3.28</c:v>
                </c:pt>
                <c:pt idx="5">
                  <c:v>3.02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BF-45E6-B507-8F863DFC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14 plots'!$D$30:$D$35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14 plots'!$E$30:$E$35</c:f>
              <c:numCache>
                <c:formatCode>0.00</c:formatCode>
                <c:ptCount val="6"/>
                <c:pt idx="0">
                  <c:v>1.9</c:v>
                </c:pt>
                <c:pt idx="1">
                  <c:v>1.8</c:v>
                </c:pt>
                <c:pt idx="2">
                  <c:v>1.83</c:v>
                </c:pt>
                <c:pt idx="3">
                  <c:v>1.79</c:v>
                </c:pt>
                <c:pt idx="4">
                  <c:v>1.8</c:v>
                </c:pt>
                <c:pt idx="5">
                  <c:v>1.74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F3-448A-9C26-DB37C1D54783}"/>
            </c:ext>
          </c:extLst>
        </c:ser>
        <c:ser>
          <c:idx val="3"/>
          <c:order val="1"/>
          <c:tx>
            <c:v>4 mg/L Cl2</c:v>
          </c:tx>
          <c:spPr>
            <a:ln w="25400"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14 plots'!$L$30:$L$35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14 plots'!$M$30:$M$35</c:f>
              <c:numCache>
                <c:formatCode>General</c:formatCode>
                <c:ptCount val="6"/>
                <c:pt idx="0">
                  <c:v>3.98</c:v>
                </c:pt>
                <c:pt idx="1">
                  <c:v>3.84</c:v>
                </c:pt>
                <c:pt idx="2">
                  <c:v>3.76</c:v>
                </c:pt>
                <c:pt idx="3">
                  <c:v>3.74</c:v>
                </c:pt>
                <c:pt idx="4">
                  <c:v>3.82</c:v>
                </c:pt>
                <c:pt idx="5">
                  <c:v>3.74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F3-448A-9C26-DB37C1D54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14 plots'!$D$43:$D$48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14 plots'!$E$43:$E$48</c:f>
              <c:numCache>
                <c:formatCode>0.00</c:formatCode>
                <c:ptCount val="6"/>
                <c:pt idx="0">
                  <c:v>1.9</c:v>
                </c:pt>
                <c:pt idx="1">
                  <c:v>0.1</c:v>
                </c:pt>
                <c:pt idx="2">
                  <c:v>0.12</c:v>
                </c:pt>
                <c:pt idx="3">
                  <c:v>0.1</c:v>
                </c:pt>
                <c:pt idx="4">
                  <c:v>0.09</c:v>
                </c:pt>
                <c:pt idx="5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3-4ED4-A65C-1ADE8F075828}"/>
            </c:ext>
          </c:extLst>
        </c:ser>
        <c:ser>
          <c:idx val="3"/>
          <c:order val="1"/>
          <c:tx>
            <c:v>4 mg/L Cl2</c:v>
          </c:tx>
          <c:spPr>
            <a:ln w="25400"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14 plots'!$L$43:$L$48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14 plots'!$M$43:$M$48</c:f>
              <c:numCache>
                <c:formatCode>General</c:formatCode>
                <c:ptCount val="6"/>
                <c:pt idx="0">
                  <c:v>3.98</c:v>
                </c:pt>
                <c:pt idx="1">
                  <c:v>0.15</c:v>
                </c:pt>
                <c:pt idx="2">
                  <c:v>0.34</c:v>
                </c:pt>
                <c:pt idx="3">
                  <c:v>0.12</c:v>
                </c:pt>
                <c:pt idx="4">
                  <c:v>0.71</c:v>
                </c:pt>
                <c:pt idx="5">
                  <c:v>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B3-4ED4-A65C-1ADE8F075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3826633007129"/>
          <c:y val="0.10125895195175412"/>
          <c:w val="0.8305456906487475"/>
          <c:h val="0.67038626018602565"/>
        </c:manualLayout>
      </c:layout>
      <c:scatterChart>
        <c:scatterStyle val="lineMarker"/>
        <c:varyColors val="0"/>
        <c:ser>
          <c:idx val="0"/>
          <c:order val="0"/>
          <c:tx>
            <c:v>1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'Sample 15 plots'!$D$4:$D$9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15 plots'!$E$4:$E$9</c:f>
              <c:numCache>
                <c:formatCode>General</c:formatCode>
                <c:ptCount val="6"/>
                <c:pt idx="0">
                  <c:v>0.99</c:v>
                </c:pt>
                <c:pt idx="1">
                  <c:v>0.69</c:v>
                </c:pt>
                <c:pt idx="2">
                  <c:v>0.57999999999999996</c:v>
                </c:pt>
                <c:pt idx="3">
                  <c:v>0.64</c:v>
                </c:pt>
                <c:pt idx="4">
                  <c:v>0.48</c:v>
                </c:pt>
                <c:pt idx="5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F-4BEA-8BDD-BA569A3D258E}"/>
            </c:ext>
          </c:extLst>
        </c:ser>
        <c:ser>
          <c:idx val="1"/>
          <c:order val="1"/>
          <c:tx>
            <c:v>2 mg/L PFA</c:v>
          </c:tx>
          <c:spPr>
            <a:ln w="254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'Sample 15 plots'!$L$4:$L$10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15 plots'!$M$4:$M$10</c:f>
              <c:numCache>
                <c:formatCode>0.00</c:formatCode>
                <c:ptCount val="7"/>
                <c:pt idx="0">
                  <c:v>1.93</c:v>
                </c:pt>
                <c:pt idx="1">
                  <c:v>1.54</c:v>
                </c:pt>
                <c:pt idx="2">
                  <c:v>1.44</c:v>
                </c:pt>
                <c:pt idx="3">
                  <c:v>1.32</c:v>
                </c:pt>
                <c:pt idx="4">
                  <c:v>1.18</c:v>
                </c:pt>
                <c:pt idx="5">
                  <c:v>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9F-4BEA-8BDD-BA569A3D2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PFA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6943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438038654555638"/>
          <c:y val="2.1803824546863353E-2"/>
          <c:w val="0.45626399509369453"/>
          <c:h val="7.8052464361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0006534677163"/>
          <c:y val="0.1084965427128239"/>
          <c:w val="0.79049488388231959"/>
          <c:h val="0.69850927188596335"/>
        </c:manualLayout>
      </c:layout>
      <c:scatterChart>
        <c:scatterStyle val="lineMarker"/>
        <c:varyColors val="0"/>
        <c:ser>
          <c:idx val="2"/>
          <c:order val="0"/>
          <c:tx>
            <c:v>2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'Sample 15 plots'!$D$17:$D$22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15 plots'!$E$17:$E$22</c:f>
              <c:numCache>
                <c:formatCode>0.00</c:formatCode>
                <c:ptCount val="6"/>
                <c:pt idx="0">
                  <c:v>2.04</c:v>
                </c:pt>
                <c:pt idx="1">
                  <c:v>1.69</c:v>
                </c:pt>
                <c:pt idx="2">
                  <c:v>1.91</c:v>
                </c:pt>
                <c:pt idx="3">
                  <c:v>1.58</c:v>
                </c:pt>
                <c:pt idx="4">
                  <c:v>1.49</c:v>
                </c:pt>
                <c:pt idx="5">
                  <c:v>1.42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2-4533-99DF-F2EA3CF2EA0D}"/>
            </c:ext>
          </c:extLst>
        </c:ser>
        <c:ser>
          <c:idx val="3"/>
          <c:order val="1"/>
          <c:tx>
            <c:v>4 mg/L PAA</c:v>
          </c:tx>
          <c:spPr>
            <a:ln w="25400">
              <a:solidFill>
                <a:schemeClr val="accent1"/>
              </a:solidFill>
              <a:prstDash val="sysDot"/>
            </a:ln>
          </c:spPr>
          <c:marker>
            <c:symbol val="square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'Sample 15 plots'!$L$17:$L$22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15 plots'!$M$17:$M$22</c:f>
              <c:numCache>
                <c:formatCode>General</c:formatCode>
                <c:ptCount val="6"/>
                <c:pt idx="0">
                  <c:v>3.91</c:v>
                </c:pt>
                <c:pt idx="1">
                  <c:v>3.46</c:v>
                </c:pt>
                <c:pt idx="2">
                  <c:v>3.43</c:v>
                </c:pt>
                <c:pt idx="3">
                  <c:v>3.43</c:v>
                </c:pt>
                <c:pt idx="4">
                  <c:v>3.21</c:v>
                </c:pt>
                <c:pt idx="5">
                  <c:v>2.96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72-4533-99DF-F2EA3CF2E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PAA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24176307920350554"/>
          <c:y val="1.394533028879652E-2"/>
          <c:w val="0.58441043913289481"/>
          <c:h val="0.1137813565567769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8838047272354"/>
          <c:y val="0.12040197788378074"/>
          <c:w val="0.80972735874665247"/>
          <c:h val="0.68721471742092743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15 plots'!$D$30:$D$35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15 plots'!$E$30:$E$35</c:f>
              <c:numCache>
                <c:formatCode>0.00</c:formatCode>
                <c:ptCount val="6"/>
                <c:pt idx="0">
                  <c:v>1.91</c:v>
                </c:pt>
                <c:pt idx="1">
                  <c:v>1.57</c:v>
                </c:pt>
                <c:pt idx="2">
                  <c:v>1.54</c:v>
                </c:pt>
                <c:pt idx="3">
                  <c:v>1.52</c:v>
                </c:pt>
                <c:pt idx="4">
                  <c:v>1.5</c:v>
                </c:pt>
                <c:pt idx="5">
                  <c:v>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89-4326-963F-EB8EB5A1C19A}"/>
            </c:ext>
          </c:extLst>
        </c:ser>
        <c:ser>
          <c:idx val="3"/>
          <c:order val="1"/>
          <c:tx>
            <c:v>4 mg/L Cl2</c:v>
          </c:tx>
          <c:spPr>
            <a:ln w="25400"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15 plots'!$L$30:$L$35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15 plots'!$M$30:$M$35</c:f>
              <c:numCache>
                <c:formatCode>0.00</c:formatCode>
                <c:ptCount val="6"/>
                <c:pt idx="0">
                  <c:v>4.0199999999999996</c:v>
                </c:pt>
                <c:pt idx="1">
                  <c:v>3.38</c:v>
                </c:pt>
                <c:pt idx="2">
                  <c:v>3.32</c:v>
                </c:pt>
                <c:pt idx="3">
                  <c:v>3.4</c:v>
                </c:pt>
                <c:pt idx="4">
                  <c:v>3.3</c:v>
                </c:pt>
                <c:pt idx="5">
                  <c:v>3.12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89-4326-963F-EB8EB5A1C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Total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922608307155014"/>
          <c:y val="2.7495429497883264E-2"/>
          <c:w val="0.66740938323769927"/>
          <c:h val="7.8690549122997014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5856644093188"/>
          <c:y val="0.12548916362062865"/>
          <c:w val="0.80363043255833544"/>
          <c:h val="0.6971636493023492"/>
        </c:manualLayout>
      </c:layout>
      <c:scatterChart>
        <c:scatterStyle val="lineMarker"/>
        <c:varyColors val="0"/>
        <c:ser>
          <c:idx val="2"/>
          <c:order val="0"/>
          <c:tx>
            <c:v>2 mg/L Cl2</c:v>
          </c:tx>
          <c:spPr>
            <a:ln w="25400">
              <a:solidFill>
                <a:schemeClr val="accent4"/>
              </a:solidFill>
              <a:prstDash val="sysDot"/>
            </a:ln>
          </c:spPr>
          <c:marker>
            <c:symbol val="triangle"/>
            <c:size val="8"/>
            <c:spPr>
              <a:noFill/>
              <a:ln>
                <a:solidFill>
                  <a:schemeClr val="accent4"/>
                </a:solidFill>
              </a:ln>
            </c:spPr>
          </c:marker>
          <c:xVal>
            <c:numRef>
              <c:f>'Sample 15 plots'!$D$43:$D$48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15 plots'!$E$43:$E$48</c:f>
              <c:numCache>
                <c:formatCode>0.00</c:formatCode>
                <c:ptCount val="6"/>
                <c:pt idx="0">
                  <c:v>1.91</c:v>
                </c:pt>
                <c:pt idx="1">
                  <c:v>0.09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0.06</c:v>
                </c:pt>
                <c:pt idx="5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35-4C00-810B-0A9976F23613}"/>
            </c:ext>
          </c:extLst>
        </c:ser>
        <c:ser>
          <c:idx val="3"/>
          <c:order val="1"/>
          <c:tx>
            <c:v>4 mg/L Cl2</c:v>
          </c:tx>
          <c:spPr>
            <a:ln w="25400">
              <a:prstDash val="sysDot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xVal>
            <c:numRef>
              <c:f>'Sample 15 plots'!$L$43:$L$48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</c:numCache>
            </c:numRef>
          </c:xVal>
          <c:yVal>
            <c:numRef>
              <c:f>'Sample 15 plots'!$M$43:$M$48</c:f>
              <c:numCache>
                <c:formatCode>0.00</c:formatCode>
                <c:ptCount val="6"/>
                <c:pt idx="0">
                  <c:v>4.0199999999999996</c:v>
                </c:pt>
                <c:pt idx="1">
                  <c:v>0.21</c:v>
                </c:pt>
                <c:pt idx="2">
                  <c:v>0.2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35-4C00-810B-0A9976F23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776943"/>
        <c:axId val="849888159"/>
      </c:scatterChart>
      <c:valAx>
        <c:axId val="8567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49888159"/>
        <c:crosses val="autoZero"/>
        <c:crossBetween val="midCat"/>
      </c:valAx>
      <c:valAx>
        <c:axId val="849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Free Cl2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56776943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643280674041849"/>
          <c:y val="3.2047426306950705E-2"/>
          <c:w val="0.73607286398662919"/>
          <c:h val="9.5863361978798398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4" Type="http://schemas.openxmlformats.org/officeDocument/2006/relationships/chart" Target="../charts/chart4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4" Type="http://schemas.openxmlformats.org/officeDocument/2006/relationships/chart" Target="../charts/chart4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4" Type="http://schemas.openxmlformats.org/officeDocument/2006/relationships/chart" Target="../charts/chart51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Relationship Id="rId4" Type="http://schemas.openxmlformats.org/officeDocument/2006/relationships/chart" Target="../charts/chart55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4" Type="http://schemas.openxmlformats.org/officeDocument/2006/relationships/chart" Target="../charts/chart5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Relationship Id="rId4" Type="http://schemas.openxmlformats.org/officeDocument/2006/relationships/chart" Target="../charts/chart63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6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Relationship Id="rId4" Type="http://schemas.openxmlformats.org/officeDocument/2006/relationships/chart" Target="../charts/chart6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38916</xdr:colOff>
      <xdr:row>2</xdr:row>
      <xdr:rowOff>0</xdr:rowOff>
    </xdr:from>
    <xdr:to>
      <xdr:col>27</xdr:col>
      <xdr:colOff>514976</xdr:colOff>
      <xdr:row>8</xdr:row>
      <xdr:rowOff>67754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390973-679A-4F98-9742-4C8F40C3D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9</xdr:row>
      <xdr:rowOff>24491</xdr:rowOff>
    </xdr:from>
    <xdr:to>
      <xdr:col>27</xdr:col>
      <xdr:colOff>422720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5C4D53-B8CE-4F3E-98B4-BD473770E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179916</xdr:colOff>
      <xdr:row>20</xdr:row>
      <xdr:rowOff>99346</xdr:rowOff>
    </xdr:from>
    <xdr:to>
      <xdr:col>27</xdr:col>
      <xdr:colOff>631876</xdr:colOff>
      <xdr:row>29</xdr:row>
      <xdr:rowOff>360156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8CAA82-134C-411D-BD13-A9DE2E399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45750</xdr:colOff>
      <xdr:row>29</xdr:row>
      <xdr:rowOff>444521</xdr:rowOff>
    </xdr:from>
    <xdr:to>
      <xdr:col>27</xdr:col>
      <xdr:colOff>544912</xdr:colOff>
      <xdr:row>35</xdr:row>
      <xdr:rowOff>189514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50D19D-74CB-4EF1-A333-4813A61BD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38916</xdr:colOff>
      <xdr:row>3</xdr:row>
      <xdr:rowOff>0</xdr:rowOff>
    </xdr:from>
    <xdr:to>
      <xdr:col>26</xdr:col>
      <xdr:colOff>514976</xdr:colOff>
      <xdr:row>12</xdr:row>
      <xdr:rowOff>163004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B54506-85E5-476F-9B82-34DF329A8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13</xdr:row>
      <xdr:rowOff>119741</xdr:rowOff>
    </xdr:from>
    <xdr:to>
      <xdr:col>26</xdr:col>
      <xdr:colOff>422720</xdr:colOff>
      <xdr:row>23</xdr:row>
      <xdr:rowOff>291410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A89BD2-FC18-45BF-97CA-E4E50BED9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179916</xdr:colOff>
      <xdr:row>24</xdr:row>
      <xdr:rowOff>194597</xdr:rowOff>
    </xdr:from>
    <xdr:to>
      <xdr:col>26</xdr:col>
      <xdr:colOff>631876</xdr:colOff>
      <xdr:row>30</xdr:row>
      <xdr:rowOff>110125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E382E0-98D4-49EB-B68C-FF20FFFFC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45750</xdr:colOff>
      <xdr:row>30</xdr:row>
      <xdr:rowOff>194490</xdr:rowOff>
    </xdr:from>
    <xdr:to>
      <xdr:col>26</xdr:col>
      <xdr:colOff>544912</xdr:colOff>
      <xdr:row>41</xdr:row>
      <xdr:rowOff>118077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9CFDD3-7485-470D-AB9E-852049CB0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931885</xdr:colOff>
      <xdr:row>1</xdr:row>
      <xdr:rowOff>309563</xdr:rowOff>
    </xdr:from>
    <xdr:to>
      <xdr:col>26</xdr:col>
      <xdr:colOff>635944</xdr:colOff>
      <xdr:row>16</xdr:row>
      <xdr:rowOff>81566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45E469-4B55-4AEB-B04D-0AEA76E74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892969</xdr:colOff>
      <xdr:row>17</xdr:row>
      <xdr:rowOff>147364</xdr:rowOff>
    </xdr:from>
    <xdr:to>
      <xdr:col>26</xdr:col>
      <xdr:colOff>539878</xdr:colOff>
      <xdr:row>32</xdr:row>
      <xdr:rowOff>109006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818B2F-0B2C-4D34-A2B4-C6CF999F6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1074790</xdr:colOff>
      <xdr:row>33</xdr:row>
      <xdr:rowOff>136971</xdr:rowOff>
    </xdr:from>
    <xdr:to>
      <xdr:col>27</xdr:col>
      <xdr:colOff>82284</xdr:colOff>
      <xdr:row>49</xdr:row>
      <xdr:rowOff>130128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DE88C3-1AA4-4A60-A990-B5EFF3889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940624</xdr:colOff>
      <xdr:row>50</xdr:row>
      <xdr:rowOff>41614</xdr:rowOff>
    </xdr:from>
    <xdr:to>
      <xdr:col>26</xdr:col>
      <xdr:colOff>663975</xdr:colOff>
      <xdr:row>66</xdr:row>
      <xdr:rowOff>34734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D24BE3-AD68-4DA3-8033-9B29C0218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38916</xdr:colOff>
      <xdr:row>1</xdr:row>
      <xdr:rowOff>332557</xdr:rowOff>
    </xdr:from>
    <xdr:to>
      <xdr:col>29</xdr:col>
      <xdr:colOff>75383</xdr:colOff>
      <xdr:row>17</xdr:row>
      <xdr:rowOff>185600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0B0B1E-E7ED-4365-BFCB-4D04B6D34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666749</xdr:colOff>
      <xdr:row>17</xdr:row>
      <xdr:rowOff>94430</xdr:rowOff>
    </xdr:from>
    <xdr:to>
      <xdr:col>29</xdr:col>
      <xdr:colOff>32656</xdr:colOff>
      <xdr:row>31</xdr:row>
      <xdr:rowOff>163282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FA9A0C-1209-4238-977E-9A6108842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181821</xdr:colOff>
      <xdr:row>32</xdr:row>
      <xdr:rowOff>695</xdr:rowOff>
    </xdr:from>
    <xdr:to>
      <xdr:col>28</xdr:col>
      <xdr:colOff>713315</xdr:colOff>
      <xdr:row>45</xdr:row>
      <xdr:rowOff>100328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309814-068D-471A-AD22-EF640A8C7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43845</xdr:colOff>
      <xdr:row>45</xdr:row>
      <xdr:rowOff>190408</xdr:rowOff>
    </xdr:from>
    <xdr:to>
      <xdr:col>28</xdr:col>
      <xdr:colOff>628256</xdr:colOff>
      <xdr:row>62</xdr:row>
      <xdr:rowOff>7315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7C6ECF-3665-4B3F-87E5-00B412B2D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1</xdr:row>
      <xdr:rowOff>357187</xdr:rowOff>
    </xdr:from>
    <xdr:to>
      <xdr:col>27</xdr:col>
      <xdr:colOff>295275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37010-5A5B-B253-FAEF-1E0B416D1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676275</xdr:colOff>
      <xdr:row>9</xdr:row>
      <xdr:rowOff>104773</xdr:rowOff>
    </xdr:from>
    <xdr:to>
      <xdr:col>19</xdr:col>
      <xdr:colOff>838201</xdr:colOff>
      <xdr:row>14</xdr:row>
      <xdr:rowOff>76199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7B95ECF-1E40-23D1-ED75-D68E6CD9CE8A}"/>
            </a:ext>
          </a:extLst>
        </xdr:cNvPr>
        <xdr:cNvSpPr txBox="1"/>
      </xdr:nvSpPr>
      <xdr:spPr>
        <a:xfrm>
          <a:off x="17916525" y="2724148"/>
          <a:ext cx="1038226" cy="990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Initial rapid demand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42726</xdr:colOff>
      <xdr:row>2</xdr:row>
      <xdr:rowOff>0</xdr:rowOff>
    </xdr:from>
    <xdr:to>
      <xdr:col>26</xdr:col>
      <xdr:colOff>518583</xdr:colOff>
      <xdr:row>14</xdr:row>
      <xdr:rowOff>38431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6E14E5-4FB1-48A4-9C93-9DD9360EF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14</xdr:row>
      <xdr:rowOff>294729</xdr:rowOff>
    </xdr:from>
    <xdr:to>
      <xdr:col>26</xdr:col>
      <xdr:colOff>426327</xdr:colOff>
      <xdr:row>25</xdr:row>
      <xdr:rowOff>598863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870609-0804-4B51-963A-73E171285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181821</xdr:colOff>
      <xdr:row>26</xdr:row>
      <xdr:rowOff>27910</xdr:rowOff>
    </xdr:from>
    <xdr:to>
      <xdr:col>27</xdr:col>
      <xdr:colOff>19352</xdr:colOff>
      <xdr:row>41</xdr:row>
      <xdr:rowOff>127543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CCE9DF-AF6B-489E-AC12-A697BFEBF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43845</xdr:colOff>
      <xdr:row>42</xdr:row>
      <xdr:rowOff>13516</xdr:rowOff>
    </xdr:from>
    <xdr:to>
      <xdr:col>26</xdr:col>
      <xdr:colOff>546614</xdr:colOff>
      <xdr:row>57</xdr:row>
      <xdr:rowOff>75351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C6D7D3-8C7B-48CA-842F-BD7911476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41189</xdr:colOff>
      <xdr:row>0</xdr:row>
      <xdr:rowOff>164757</xdr:rowOff>
    </xdr:from>
    <xdr:to>
      <xdr:col>30</xdr:col>
      <xdr:colOff>212640</xdr:colOff>
      <xdr:row>26</xdr:row>
      <xdr:rowOff>559272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9AE4AA-64C4-4F5D-BC7C-B4021521F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54426</xdr:colOff>
      <xdr:row>0</xdr:row>
      <xdr:rowOff>43542</xdr:rowOff>
    </xdr:from>
    <xdr:to>
      <xdr:col>49</xdr:col>
      <xdr:colOff>581478</xdr:colOff>
      <xdr:row>26</xdr:row>
      <xdr:rowOff>434428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4B19AB-7A01-4035-BD44-39C2E0CB2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893173</xdr:colOff>
      <xdr:row>0</xdr:row>
      <xdr:rowOff>72663</xdr:rowOff>
    </xdr:from>
    <xdr:to>
      <xdr:col>27</xdr:col>
      <xdr:colOff>544285</xdr:colOff>
      <xdr:row>12</xdr:row>
      <xdr:rowOff>132261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D48000-9B3E-4022-822F-4447CA65B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802822</xdr:colOff>
      <xdr:row>13</xdr:row>
      <xdr:rowOff>176892</xdr:rowOff>
    </xdr:from>
    <xdr:to>
      <xdr:col>27</xdr:col>
      <xdr:colOff>452029</xdr:colOff>
      <xdr:row>26</xdr:row>
      <xdr:rowOff>3264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DA6EF1-71DC-4B77-9243-CFCA68D3E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137976</xdr:colOff>
      <xdr:row>26</xdr:row>
      <xdr:rowOff>235132</xdr:rowOff>
    </xdr:from>
    <xdr:to>
      <xdr:col>28</xdr:col>
      <xdr:colOff>43542</xdr:colOff>
      <xdr:row>38</xdr:row>
      <xdr:rowOff>100420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7E7973-AFE4-49C3-A9C8-66133EC95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39</xdr:row>
      <xdr:rowOff>0</xdr:rowOff>
    </xdr:from>
    <xdr:to>
      <xdr:col>27</xdr:col>
      <xdr:colOff>572316</xdr:colOff>
      <xdr:row>53</xdr:row>
      <xdr:rowOff>42181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916AC2-3118-4250-964E-368341010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515470</xdr:colOff>
      <xdr:row>140</xdr:row>
      <xdr:rowOff>0</xdr:rowOff>
    </xdr:from>
    <xdr:to>
      <xdr:col>5</xdr:col>
      <xdr:colOff>1155644</xdr:colOff>
      <xdr:row>158</xdr:row>
      <xdr:rowOff>110319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381E91-5574-4716-8310-AE91FDD06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515470</xdr:colOff>
      <xdr:row>193</xdr:row>
      <xdr:rowOff>0</xdr:rowOff>
    </xdr:from>
    <xdr:to>
      <xdr:col>5</xdr:col>
      <xdr:colOff>1155644</xdr:colOff>
      <xdr:row>211</xdr:row>
      <xdr:rowOff>110319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4513C4-1D76-4DE8-B4D0-24626306F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515470</xdr:colOff>
      <xdr:row>140</xdr:row>
      <xdr:rowOff>0</xdr:rowOff>
    </xdr:from>
    <xdr:to>
      <xdr:col>5</xdr:col>
      <xdr:colOff>1155644</xdr:colOff>
      <xdr:row>158</xdr:row>
      <xdr:rowOff>110319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A6292-DD86-4837-9158-62D27A4A2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515470</xdr:colOff>
      <xdr:row>193</xdr:row>
      <xdr:rowOff>0</xdr:rowOff>
    </xdr:from>
    <xdr:to>
      <xdr:col>5</xdr:col>
      <xdr:colOff>1155644</xdr:colOff>
      <xdr:row>211</xdr:row>
      <xdr:rowOff>110319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7631F9-905F-4CE9-9FE6-923726803A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97971</xdr:colOff>
      <xdr:row>3</xdr:row>
      <xdr:rowOff>0</xdr:rowOff>
    </xdr:from>
    <xdr:to>
      <xdr:col>26</xdr:col>
      <xdr:colOff>655047</xdr:colOff>
      <xdr:row>18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57EB4C-CE3D-47D6-BD37-1324B678C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19</xdr:row>
      <xdr:rowOff>142533</xdr:rowOff>
    </xdr:from>
    <xdr:to>
      <xdr:col>26</xdr:col>
      <xdr:colOff>568506</xdr:colOff>
      <xdr:row>36</xdr:row>
      <xdr:rowOff>149200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3A250B-E2DD-4C92-8594-0A42A30EB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246833</xdr:colOff>
      <xdr:row>38</xdr:row>
      <xdr:rowOff>29595</xdr:rowOff>
    </xdr:from>
    <xdr:to>
      <xdr:col>27</xdr:col>
      <xdr:colOff>152399</xdr:colOff>
      <xdr:row>55</xdr:row>
      <xdr:rowOff>4829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E46591-4A12-467A-9E80-9B8191558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112667</xdr:colOff>
      <xdr:row>55</xdr:row>
      <xdr:rowOff>98719</xdr:rowOff>
    </xdr:from>
    <xdr:to>
      <xdr:col>27</xdr:col>
      <xdr:colOff>18233</xdr:colOff>
      <xdr:row>72</xdr:row>
      <xdr:rowOff>111577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7DB2A6-4B33-49A4-90BA-5D227470A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38917</xdr:colOff>
      <xdr:row>2</xdr:row>
      <xdr:rowOff>0</xdr:rowOff>
    </xdr:from>
    <xdr:to>
      <xdr:col>27</xdr:col>
      <xdr:colOff>442777</xdr:colOff>
      <xdr:row>17</xdr:row>
      <xdr:rowOff>47149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F0DD2C-55A0-401F-AE4C-A181B80FB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16</xdr:row>
      <xdr:rowOff>142669</xdr:rowOff>
    </xdr:from>
    <xdr:to>
      <xdr:col>27</xdr:col>
      <xdr:colOff>403860</xdr:colOff>
      <xdr:row>34</xdr:row>
      <xdr:rowOff>65040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FD225B-F9EC-4234-A53C-793C77B9F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179917</xdr:colOff>
      <xdr:row>34</xdr:row>
      <xdr:rowOff>81250</xdr:rowOff>
    </xdr:from>
    <xdr:to>
      <xdr:col>27</xdr:col>
      <xdr:colOff>48471</xdr:colOff>
      <xdr:row>50</xdr:row>
      <xdr:rowOff>92028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F0AAED-C3C0-4D44-9835-B0322E572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45751</xdr:colOff>
      <xdr:row>50</xdr:row>
      <xdr:rowOff>176393</xdr:rowOff>
    </xdr:from>
    <xdr:to>
      <xdr:col>26</xdr:col>
      <xdr:colOff>628257</xdr:colOff>
      <xdr:row>66</xdr:row>
      <xdr:rowOff>171418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27ADE7-3B5E-4570-8BC3-685165B15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38917</xdr:colOff>
      <xdr:row>2</xdr:row>
      <xdr:rowOff>0</xdr:rowOff>
    </xdr:from>
    <xdr:to>
      <xdr:col>27</xdr:col>
      <xdr:colOff>438967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6B2176-CDB5-455F-A7D9-DA8BB5898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17</xdr:row>
      <xdr:rowOff>61230</xdr:rowOff>
    </xdr:from>
    <xdr:to>
      <xdr:col>27</xdr:col>
      <xdr:colOff>400050</xdr:colOff>
      <xdr:row>34</xdr:row>
      <xdr:rowOff>167487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FE3BE9-41A0-4FF4-AD91-B9BA74DEE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181822</xdr:colOff>
      <xdr:row>34</xdr:row>
      <xdr:rowOff>177982</xdr:rowOff>
    </xdr:from>
    <xdr:to>
      <xdr:col>27</xdr:col>
      <xdr:colOff>46566</xdr:colOff>
      <xdr:row>50</xdr:row>
      <xdr:rowOff>183151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8D6E72-185D-477C-9F95-8C5499A02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47656</xdr:colOff>
      <xdr:row>51</xdr:row>
      <xdr:rowOff>69396</xdr:rowOff>
    </xdr:from>
    <xdr:to>
      <xdr:col>26</xdr:col>
      <xdr:colOff>628257</xdr:colOff>
      <xdr:row>67</xdr:row>
      <xdr:rowOff>49710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E8F9C0-AF4C-483C-9B64-0A55595AD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38917</xdr:colOff>
      <xdr:row>1</xdr:row>
      <xdr:rowOff>0</xdr:rowOff>
    </xdr:from>
    <xdr:to>
      <xdr:col>27</xdr:col>
      <xdr:colOff>438967</xdr:colOff>
      <xdr:row>15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265A2-AE61-4CBD-99AB-F07AFF2F9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14</xdr:row>
      <xdr:rowOff>152669</xdr:rowOff>
    </xdr:from>
    <xdr:to>
      <xdr:col>27</xdr:col>
      <xdr:colOff>400050</xdr:colOff>
      <xdr:row>32</xdr:row>
      <xdr:rowOff>64141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C50934-726C-4F07-BADD-A765AF7C2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179917</xdr:colOff>
      <xdr:row>32</xdr:row>
      <xdr:rowOff>72731</xdr:rowOff>
    </xdr:from>
    <xdr:to>
      <xdr:col>27</xdr:col>
      <xdr:colOff>48471</xdr:colOff>
      <xdr:row>48</xdr:row>
      <xdr:rowOff>50277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052CD9-2E22-48AC-A8BB-85520BC1E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45751</xdr:colOff>
      <xdr:row>48</xdr:row>
      <xdr:rowOff>127022</xdr:rowOff>
    </xdr:from>
    <xdr:to>
      <xdr:col>26</xdr:col>
      <xdr:colOff>628257</xdr:colOff>
      <xdr:row>64</xdr:row>
      <xdr:rowOff>95430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BBEDDA-4845-495D-9771-1EB78ECB6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38917</xdr:colOff>
      <xdr:row>1</xdr:row>
      <xdr:rowOff>0</xdr:rowOff>
    </xdr:from>
    <xdr:to>
      <xdr:col>27</xdr:col>
      <xdr:colOff>438967</xdr:colOff>
      <xdr:row>14</xdr:row>
      <xdr:rowOff>140493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C2FF4D-E83E-472A-9799-9361D9E89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14</xdr:row>
      <xdr:rowOff>45513</xdr:rowOff>
    </xdr:from>
    <xdr:to>
      <xdr:col>27</xdr:col>
      <xdr:colOff>400050</xdr:colOff>
      <xdr:row>31</xdr:row>
      <xdr:rowOff>137483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FBB24B-A2FC-421E-98D9-3A8EE540A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181822</xdr:colOff>
      <xdr:row>31</xdr:row>
      <xdr:rowOff>147978</xdr:rowOff>
    </xdr:from>
    <xdr:to>
      <xdr:col>27</xdr:col>
      <xdr:colOff>46566</xdr:colOff>
      <xdr:row>47</xdr:row>
      <xdr:rowOff>131715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84B71B-A714-49C1-B69F-C6EF3BFCE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47656</xdr:colOff>
      <xdr:row>48</xdr:row>
      <xdr:rowOff>17960</xdr:rowOff>
    </xdr:from>
    <xdr:to>
      <xdr:col>26</xdr:col>
      <xdr:colOff>628257</xdr:colOff>
      <xdr:row>63</xdr:row>
      <xdr:rowOff>166867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D75F36-7F0C-4008-BC1D-99002BFC0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38917</xdr:colOff>
      <xdr:row>1</xdr:row>
      <xdr:rowOff>0</xdr:rowOff>
    </xdr:from>
    <xdr:to>
      <xdr:col>27</xdr:col>
      <xdr:colOff>438967</xdr:colOff>
      <xdr:row>16</xdr:row>
      <xdr:rowOff>11429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FE5D28-7C81-48D2-BA90-D019CBD0F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15</xdr:row>
      <xdr:rowOff>95043</xdr:rowOff>
    </xdr:from>
    <xdr:to>
      <xdr:col>27</xdr:col>
      <xdr:colOff>400050</xdr:colOff>
      <xdr:row>33</xdr:row>
      <xdr:rowOff>14611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C9C6B6-8DA3-417C-A885-276F946DB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179917</xdr:colOff>
      <xdr:row>33</xdr:row>
      <xdr:rowOff>32726</xdr:rowOff>
    </xdr:from>
    <xdr:to>
      <xdr:col>27</xdr:col>
      <xdr:colOff>48471</xdr:colOff>
      <xdr:row>49</xdr:row>
      <xdr:rowOff>747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1D9F71-4DA2-4FAC-A21D-6C9F7E34A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45751</xdr:colOff>
      <xdr:row>49</xdr:row>
      <xdr:rowOff>77492</xdr:rowOff>
    </xdr:from>
    <xdr:to>
      <xdr:col>26</xdr:col>
      <xdr:colOff>628257</xdr:colOff>
      <xdr:row>65</xdr:row>
      <xdr:rowOff>51615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CC46E0-8D7B-4F70-B8D6-D71014264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42726</xdr:colOff>
      <xdr:row>2</xdr:row>
      <xdr:rowOff>0</xdr:rowOff>
    </xdr:from>
    <xdr:to>
      <xdr:col>26</xdr:col>
      <xdr:colOff>585107</xdr:colOff>
      <xdr:row>16</xdr:row>
      <xdr:rowOff>86812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36AFAA-6BCA-4250-9069-C7B2D25DE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17</xdr:row>
      <xdr:rowOff>145050</xdr:rowOff>
    </xdr:from>
    <xdr:to>
      <xdr:col>26</xdr:col>
      <xdr:colOff>492851</xdr:colOff>
      <xdr:row>34</xdr:row>
      <xdr:rowOff>12243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00005A-FAA4-4430-A836-56D163C87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178797</xdr:colOff>
      <xdr:row>35</xdr:row>
      <xdr:rowOff>40004</xdr:rowOff>
    </xdr:from>
    <xdr:to>
      <xdr:col>27</xdr:col>
      <xdr:colOff>84364</xdr:colOff>
      <xdr:row>51</xdr:row>
      <xdr:rowOff>41364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BF5299-352B-4DF8-A734-EC07C7825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40821</xdr:colOff>
      <xdr:row>51</xdr:row>
      <xdr:rowOff>131444</xdr:rowOff>
    </xdr:from>
    <xdr:to>
      <xdr:col>27</xdr:col>
      <xdr:colOff>817</xdr:colOff>
      <xdr:row>67</xdr:row>
      <xdr:rowOff>187232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D076EB-1361-43F8-BDD7-F010A3C77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38916</xdr:colOff>
      <xdr:row>2</xdr:row>
      <xdr:rowOff>0</xdr:rowOff>
    </xdr:from>
    <xdr:to>
      <xdr:col>26</xdr:col>
      <xdr:colOff>588917</xdr:colOff>
      <xdr:row>16</xdr:row>
      <xdr:rowOff>95112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3201F-E364-429F-BCD0-C847AC007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17</xdr:row>
      <xdr:rowOff>153350</xdr:rowOff>
    </xdr:from>
    <xdr:to>
      <xdr:col>26</xdr:col>
      <xdr:colOff>496661</xdr:colOff>
      <xdr:row>33</xdr:row>
      <xdr:rowOff>175325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899BA3-2C0F-4966-B721-9BCB071D5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180702</xdr:colOff>
      <xdr:row>35</xdr:row>
      <xdr:rowOff>26397</xdr:rowOff>
    </xdr:from>
    <xdr:to>
      <xdr:col>27</xdr:col>
      <xdr:colOff>86269</xdr:colOff>
      <xdr:row>51</xdr:row>
      <xdr:rowOff>8639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4BCA06-F55E-46A4-95C0-72507224C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37011</xdr:colOff>
      <xdr:row>51</xdr:row>
      <xdr:rowOff>106339</xdr:rowOff>
    </xdr:from>
    <xdr:to>
      <xdr:col>27</xdr:col>
      <xdr:colOff>817</xdr:colOff>
      <xdr:row>67</xdr:row>
      <xdr:rowOff>130490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2E1FE7-CCAE-4AA6-91BA-D55001C73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30819</xdr:colOff>
      <xdr:row>1</xdr:row>
      <xdr:rowOff>35718</xdr:rowOff>
    </xdr:from>
    <xdr:to>
      <xdr:col>23</xdr:col>
      <xdr:colOff>292554</xdr:colOff>
      <xdr:row>13</xdr:row>
      <xdr:rowOff>141240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2A0320-5656-4BEE-A851-71A8C5219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14</xdr:row>
      <xdr:rowOff>151854</xdr:rowOff>
    </xdr:from>
    <xdr:to>
      <xdr:col>23</xdr:col>
      <xdr:colOff>212205</xdr:colOff>
      <xdr:row>30</xdr:row>
      <xdr:rowOff>161922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9168D1-6C65-4281-A81E-0F5B10849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178797</xdr:colOff>
      <xdr:row>32</xdr:row>
      <xdr:rowOff>12790</xdr:rowOff>
    </xdr:from>
    <xdr:to>
      <xdr:col>23</xdr:col>
      <xdr:colOff>416039</xdr:colOff>
      <xdr:row>47</xdr:row>
      <xdr:rowOff>185939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E4D80E-280E-4F8C-8AF2-C4EB91BC4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40821</xdr:colOff>
      <xdr:row>48</xdr:row>
      <xdr:rowOff>73613</xdr:rowOff>
    </xdr:from>
    <xdr:to>
      <xdr:col>23</xdr:col>
      <xdr:colOff>332492</xdr:colOff>
      <xdr:row>64</xdr:row>
      <xdr:rowOff>90281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AE6A86-E737-4DEE-88B1-0410E931A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3"/>
  <sheetViews>
    <sheetView tabSelected="1" zoomScale="80" zoomScaleNormal="80" workbookViewId="0">
      <selection activeCell="R1" sqref="R1:R1048576"/>
    </sheetView>
  </sheetViews>
  <sheetFormatPr defaultColWidth="10.6640625" defaultRowHeight="14.4" x14ac:dyDescent="0.3"/>
  <cols>
    <col min="10" max="10" width="10.6640625" style="226"/>
    <col min="18" max="18" width="10.6640625" style="226"/>
  </cols>
  <sheetData>
    <row r="1" spans="1:24" ht="26.4" thickBot="1" x14ac:dyDescent="0.55000000000000004">
      <c r="A1" s="51" t="s">
        <v>0</v>
      </c>
    </row>
    <row r="2" spans="1:24" ht="26.4" thickBot="1" x14ac:dyDescent="0.55000000000000004">
      <c r="A2" s="51" t="s">
        <v>1</v>
      </c>
      <c r="B2" s="47"/>
      <c r="C2" s="24"/>
      <c r="D2" s="25"/>
      <c r="E2" s="24"/>
      <c r="F2" s="24"/>
      <c r="G2" s="24"/>
      <c r="H2" s="24"/>
      <c r="I2" s="24"/>
      <c r="J2" s="227"/>
      <c r="K2" s="24"/>
      <c r="L2" s="25"/>
      <c r="M2" s="24"/>
      <c r="N2" s="24"/>
      <c r="O2" s="24"/>
      <c r="P2" s="24"/>
      <c r="Q2" s="24"/>
      <c r="R2" s="237"/>
    </row>
    <row r="3" spans="1:24" s="124" customFormat="1" ht="129" x14ac:dyDescent="0.5">
      <c r="A3" s="123" t="s">
        <v>2</v>
      </c>
      <c r="B3" s="48"/>
      <c r="D3" s="125" t="s">
        <v>3</v>
      </c>
      <c r="E3" s="125" t="s">
        <v>4</v>
      </c>
      <c r="F3" s="125" t="s">
        <v>5</v>
      </c>
      <c r="G3" s="126" t="s">
        <v>6</v>
      </c>
      <c r="H3" s="126" t="s">
        <v>7</v>
      </c>
      <c r="I3" s="126" t="s">
        <v>8</v>
      </c>
      <c r="J3" s="228" t="s">
        <v>9</v>
      </c>
      <c r="L3" s="125" t="s">
        <v>3</v>
      </c>
      <c r="M3" s="125" t="s">
        <v>4</v>
      </c>
      <c r="N3" s="125" t="s">
        <v>5</v>
      </c>
      <c r="O3" s="126" t="s">
        <v>6</v>
      </c>
      <c r="P3" s="126" t="s">
        <v>7</v>
      </c>
      <c r="Q3" s="126" t="s">
        <v>8</v>
      </c>
      <c r="R3" s="238" t="s">
        <v>9</v>
      </c>
      <c r="T3" s="128"/>
      <c r="V3" s="128"/>
      <c r="X3" s="128"/>
    </row>
    <row r="4" spans="1:24" ht="25.8" x14ac:dyDescent="0.5">
      <c r="A4" s="52">
        <v>45243</v>
      </c>
      <c r="B4" s="48"/>
      <c r="D4" s="215" t="s">
        <v>10</v>
      </c>
      <c r="E4" s="18">
        <v>0</v>
      </c>
      <c r="F4" s="19">
        <v>0.98</v>
      </c>
      <c r="G4" s="29">
        <v>14500</v>
      </c>
      <c r="H4" s="29">
        <v>28600</v>
      </c>
      <c r="I4" s="29">
        <v>142000</v>
      </c>
      <c r="J4" s="229">
        <v>1380</v>
      </c>
      <c r="L4" s="215" t="s">
        <v>10</v>
      </c>
      <c r="M4" s="18">
        <v>0</v>
      </c>
      <c r="N4" s="19">
        <v>2.15</v>
      </c>
      <c r="O4" s="29">
        <v>15000</v>
      </c>
      <c r="P4" s="29">
        <v>30000</v>
      </c>
      <c r="Q4" s="29">
        <v>157000</v>
      </c>
      <c r="R4" s="239">
        <v>1060</v>
      </c>
      <c r="T4" s="28"/>
      <c r="V4" s="28"/>
    </row>
    <row r="5" spans="1:24" ht="23.4" x14ac:dyDescent="0.3">
      <c r="B5" s="48"/>
      <c r="D5" s="215"/>
      <c r="E5" s="18">
        <v>1</v>
      </c>
      <c r="F5" s="19">
        <v>0.73</v>
      </c>
      <c r="G5" s="29">
        <v>10100</v>
      </c>
      <c r="H5" s="29">
        <v>18800</v>
      </c>
      <c r="I5" s="29">
        <v>110000</v>
      </c>
      <c r="J5" s="229">
        <v>1040</v>
      </c>
      <c r="L5" s="215"/>
      <c r="M5" s="18">
        <v>1</v>
      </c>
      <c r="N5" s="19">
        <v>1.66</v>
      </c>
      <c r="O5" s="29">
        <v>800</v>
      </c>
      <c r="P5" s="29">
        <v>2100</v>
      </c>
      <c r="Q5" s="29">
        <v>32500</v>
      </c>
      <c r="R5" s="239">
        <v>320</v>
      </c>
    </row>
    <row r="6" spans="1:24" ht="25.8" x14ac:dyDescent="0.5">
      <c r="A6" s="51" t="s">
        <v>11</v>
      </c>
      <c r="B6" s="50" t="s">
        <v>12</v>
      </c>
      <c r="D6" s="215"/>
      <c r="E6" s="18">
        <v>3</v>
      </c>
      <c r="F6" s="19">
        <v>0.68</v>
      </c>
      <c r="G6" s="29">
        <v>900</v>
      </c>
      <c r="H6" s="29">
        <v>2100</v>
      </c>
      <c r="I6" s="29">
        <v>46000</v>
      </c>
      <c r="J6" s="229">
        <v>660</v>
      </c>
      <c r="L6" s="215"/>
      <c r="M6" s="18">
        <v>3</v>
      </c>
      <c r="N6" s="19">
        <v>1.57</v>
      </c>
      <c r="O6" s="29">
        <v>24</v>
      </c>
      <c r="P6" s="29">
        <v>268</v>
      </c>
      <c r="Q6" s="29">
        <v>450</v>
      </c>
      <c r="R6" s="239">
        <v>24</v>
      </c>
    </row>
    <row r="7" spans="1:24" ht="23.4" x14ac:dyDescent="0.3">
      <c r="B7" s="48"/>
      <c r="D7" s="215"/>
      <c r="E7" s="18">
        <v>5</v>
      </c>
      <c r="F7" s="19">
        <v>0.62</v>
      </c>
      <c r="G7" s="29">
        <v>58</v>
      </c>
      <c r="H7" s="29">
        <v>598</v>
      </c>
      <c r="I7" s="29">
        <v>2350</v>
      </c>
      <c r="J7" s="229">
        <v>158</v>
      </c>
      <c r="L7" s="215"/>
      <c r="M7" s="18">
        <v>5</v>
      </c>
      <c r="N7" s="19">
        <v>1.54</v>
      </c>
      <c r="O7" s="29">
        <v>46</v>
      </c>
      <c r="P7" s="29">
        <v>286</v>
      </c>
      <c r="Q7" s="29">
        <v>325</v>
      </c>
      <c r="R7" s="239">
        <v>16</v>
      </c>
    </row>
    <row r="8" spans="1:24" ht="23.4" x14ac:dyDescent="0.3">
      <c r="B8" s="48"/>
      <c r="D8" s="215"/>
      <c r="E8" s="18">
        <v>10</v>
      </c>
      <c r="F8" s="19">
        <v>0.52</v>
      </c>
      <c r="G8" s="29">
        <v>27</v>
      </c>
      <c r="H8" s="29">
        <v>352</v>
      </c>
      <c r="I8" s="29">
        <v>480</v>
      </c>
      <c r="J8" s="229">
        <v>36</v>
      </c>
      <c r="L8" s="215"/>
      <c r="M8" s="18">
        <v>10</v>
      </c>
      <c r="N8" s="19">
        <v>1.34</v>
      </c>
      <c r="O8" s="29">
        <v>17</v>
      </c>
      <c r="P8" s="29">
        <v>143</v>
      </c>
      <c r="Q8" s="29">
        <v>170</v>
      </c>
      <c r="R8" s="239">
        <v>2</v>
      </c>
    </row>
    <row r="9" spans="1:24" ht="23.4" x14ac:dyDescent="0.3">
      <c r="B9" s="48"/>
      <c r="D9" s="215"/>
      <c r="E9" s="18">
        <v>30</v>
      </c>
      <c r="F9" s="18">
        <v>0.34</v>
      </c>
      <c r="G9" s="29">
        <v>23</v>
      </c>
      <c r="H9" s="29">
        <v>189</v>
      </c>
      <c r="I9" s="29">
        <v>189</v>
      </c>
      <c r="J9" s="229">
        <v>7</v>
      </c>
      <c r="L9" s="215"/>
      <c r="M9" s="18">
        <v>30</v>
      </c>
      <c r="N9" s="18">
        <v>0.88</v>
      </c>
      <c r="O9" s="29">
        <v>8</v>
      </c>
      <c r="P9" s="29">
        <v>113</v>
      </c>
      <c r="Q9" s="29">
        <v>113</v>
      </c>
      <c r="R9" s="239">
        <v>2</v>
      </c>
    </row>
    <row r="10" spans="1:24" ht="23.4" x14ac:dyDescent="0.3">
      <c r="B10" s="48"/>
      <c r="D10" s="215"/>
      <c r="E10" s="5"/>
      <c r="F10" s="5"/>
      <c r="G10" s="29"/>
      <c r="H10" s="29"/>
      <c r="I10" s="29"/>
      <c r="J10" s="229"/>
      <c r="L10" s="215"/>
      <c r="M10" s="5"/>
      <c r="N10" s="5"/>
      <c r="O10" s="29"/>
      <c r="P10" s="29"/>
      <c r="Q10" s="29"/>
      <c r="R10" s="239"/>
    </row>
    <row r="11" spans="1:24" ht="23.4" x14ac:dyDescent="0.3">
      <c r="B11" s="48"/>
      <c r="D11" s="53"/>
      <c r="E11" s="54"/>
      <c r="F11" s="54"/>
      <c r="G11" s="54"/>
      <c r="H11" s="54"/>
      <c r="I11" s="54"/>
      <c r="J11" s="230"/>
      <c r="M11" s="55"/>
      <c r="N11" s="56"/>
      <c r="R11" s="240"/>
    </row>
    <row r="12" spans="1:24" ht="23.4" x14ac:dyDescent="0.3">
      <c r="B12" s="48"/>
      <c r="D12" s="53"/>
      <c r="E12" s="54"/>
      <c r="F12" s="54"/>
      <c r="G12" s="54"/>
      <c r="H12" s="54"/>
      <c r="I12" s="54"/>
      <c r="J12" s="230"/>
      <c r="M12" s="55"/>
      <c r="N12" s="56"/>
      <c r="R12" s="240"/>
    </row>
    <row r="13" spans="1:24" ht="24" thickBot="1" x14ac:dyDescent="0.35">
      <c r="B13" s="49"/>
      <c r="C13" s="33"/>
      <c r="D13" s="34"/>
      <c r="E13" s="35"/>
      <c r="F13" s="35"/>
      <c r="G13" s="35"/>
      <c r="H13" s="35"/>
      <c r="I13" s="35"/>
      <c r="J13" s="231"/>
      <c r="K13" s="33"/>
      <c r="L13" s="33"/>
      <c r="M13" s="35"/>
      <c r="N13" s="35"/>
      <c r="O13" s="33"/>
      <c r="P13" s="33"/>
      <c r="Q13" s="33"/>
      <c r="R13" s="241"/>
    </row>
    <row r="14" spans="1:24" ht="24" thickBot="1" x14ac:dyDescent="0.35">
      <c r="B14" s="47"/>
      <c r="C14" s="24"/>
      <c r="D14" s="25"/>
      <c r="E14" s="24"/>
      <c r="F14" s="24"/>
      <c r="G14" s="24"/>
      <c r="H14" s="24"/>
      <c r="I14" s="24"/>
      <c r="J14" s="227"/>
      <c r="K14" s="24"/>
      <c r="L14" s="25"/>
      <c r="M14" s="24"/>
      <c r="N14" s="24"/>
      <c r="O14" s="24"/>
      <c r="P14" s="24"/>
      <c r="Q14" s="24"/>
      <c r="R14" s="237"/>
    </row>
    <row r="15" spans="1:24" ht="23.4" x14ac:dyDescent="0.3">
      <c r="B15" s="48"/>
      <c r="D15" s="27" t="s">
        <v>3</v>
      </c>
      <c r="E15" s="27" t="s">
        <v>4</v>
      </c>
      <c r="F15" s="27" t="s">
        <v>5</v>
      </c>
      <c r="G15" s="20" t="s">
        <v>6</v>
      </c>
      <c r="H15" s="20" t="s">
        <v>7</v>
      </c>
      <c r="I15" s="20" t="s">
        <v>8</v>
      </c>
      <c r="J15" s="232" t="s">
        <v>9</v>
      </c>
      <c r="L15" s="27" t="s">
        <v>3</v>
      </c>
      <c r="M15" s="27" t="s">
        <v>4</v>
      </c>
      <c r="N15" s="27" t="s">
        <v>5</v>
      </c>
      <c r="O15" s="20" t="s">
        <v>6</v>
      </c>
      <c r="P15" s="20" t="s">
        <v>7</v>
      </c>
      <c r="Q15" s="20" t="s">
        <v>8</v>
      </c>
      <c r="R15" s="242" t="s">
        <v>9</v>
      </c>
    </row>
    <row r="16" spans="1:24" ht="23.4" x14ac:dyDescent="0.3">
      <c r="B16" s="48"/>
      <c r="D16" s="215" t="s">
        <v>10</v>
      </c>
      <c r="E16" s="18">
        <v>0</v>
      </c>
      <c r="F16" s="19">
        <v>2.08</v>
      </c>
      <c r="G16" s="29">
        <v>9800</v>
      </c>
      <c r="H16" s="29">
        <v>23500</v>
      </c>
      <c r="I16" s="29">
        <v>144000</v>
      </c>
      <c r="J16" s="229">
        <v>1200</v>
      </c>
      <c r="L16" s="215" t="s">
        <v>10</v>
      </c>
      <c r="M16" s="18">
        <v>0</v>
      </c>
      <c r="N16" s="19">
        <v>3.09</v>
      </c>
      <c r="O16" s="29">
        <v>8400</v>
      </c>
      <c r="P16" s="29">
        <v>25000</v>
      </c>
      <c r="Q16" s="29">
        <v>114000</v>
      </c>
      <c r="R16" s="239">
        <v>1300</v>
      </c>
    </row>
    <row r="17" spans="2:19" ht="15" customHeight="1" x14ac:dyDescent="0.3">
      <c r="B17" s="48"/>
      <c r="D17" s="215"/>
      <c r="E17" s="18">
        <v>1</v>
      </c>
      <c r="F17" s="19">
        <v>1.71</v>
      </c>
      <c r="G17" s="29">
        <v>7500</v>
      </c>
      <c r="H17" s="29">
        <v>46000</v>
      </c>
      <c r="I17" s="29">
        <v>132000</v>
      </c>
      <c r="J17" s="229">
        <v>1300</v>
      </c>
      <c r="L17" s="215"/>
      <c r="M17" s="18">
        <v>1</v>
      </c>
      <c r="N17" s="19">
        <v>2.63</v>
      </c>
      <c r="O17" s="29">
        <v>8100</v>
      </c>
      <c r="P17" s="29">
        <v>24750</v>
      </c>
      <c r="Q17" s="29">
        <v>80000</v>
      </c>
      <c r="R17" s="239">
        <v>1100</v>
      </c>
    </row>
    <row r="18" spans="2:19" ht="25.8" x14ac:dyDescent="0.3">
      <c r="B18" s="50" t="s">
        <v>13</v>
      </c>
      <c r="D18" s="215"/>
      <c r="E18" s="18">
        <v>3</v>
      </c>
      <c r="F18" s="19">
        <v>1.59</v>
      </c>
      <c r="G18" s="29">
        <v>9000</v>
      </c>
      <c r="H18" s="29">
        <v>21000</v>
      </c>
      <c r="I18" s="29">
        <v>100000</v>
      </c>
      <c r="J18" s="229">
        <v>1400</v>
      </c>
      <c r="L18" s="215"/>
      <c r="M18" s="18">
        <v>3</v>
      </c>
      <c r="N18" s="19">
        <v>2.63</v>
      </c>
      <c r="O18" s="29">
        <v>7600</v>
      </c>
      <c r="P18" s="29">
        <v>20000</v>
      </c>
      <c r="Q18" s="29">
        <v>96000</v>
      </c>
      <c r="R18" s="239">
        <v>780</v>
      </c>
    </row>
    <row r="19" spans="2:19" ht="14.25" customHeight="1" x14ac:dyDescent="0.3">
      <c r="B19" s="48"/>
      <c r="D19" s="215"/>
      <c r="E19" s="18">
        <v>5</v>
      </c>
      <c r="F19" s="19">
        <v>1.59</v>
      </c>
      <c r="G19" s="29">
        <v>7400</v>
      </c>
      <c r="H19" s="29">
        <v>34500</v>
      </c>
      <c r="I19" s="29">
        <v>88000</v>
      </c>
      <c r="J19" s="229">
        <v>980</v>
      </c>
      <c r="L19" s="215"/>
      <c r="M19" s="18">
        <v>5</v>
      </c>
      <c r="N19" s="19">
        <v>2.5299999999999998</v>
      </c>
      <c r="O19" s="29">
        <v>4700</v>
      </c>
      <c r="P19" s="29">
        <v>17400</v>
      </c>
      <c r="Q19" s="29">
        <v>77000</v>
      </c>
      <c r="R19" s="239">
        <v>606</v>
      </c>
    </row>
    <row r="20" spans="2:19" ht="23.4" x14ac:dyDescent="0.3">
      <c r="B20" s="48"/>
      <c r="D20" s="215"/>
      <c r="E20" s="18">
        <v>10</v>
      </c>
      <c r="F20" s="19">
        <v>1.52</v>
      </c>
      <c r="G20" s="29">
        <v>3100</v>
      </c>
      <c r="H20" s="29">
        <v>14800</v>
      </c>
      <c r="I20" s="29">
        <v>81000</v>
      </c>
      <c r="J20" s="229">
        <v>600</v>
      </c>
      <c r="L20" s="215"/>
      <c r="M20" s="18">
        <v>10</v>
      </c>
      <c r="N20" s="19">
        <v>2.48</v>
      </c>
      <c r="O20" s="29">
        <v>161</v>
      </c>
      <c r="P20" s="29">
        <v>4480</v>
      </c>
      <c r="Q20" s="29">
        <v>31600</v>
      </c>
      <c r="R20" s="239">
        <v>206</v>
      </c>
    </row>
    <row r="21" spans="2:19" ht="23.4" x14ac:dyDescent="0.3">
      <c r="B21" s="48"/>
      <c r="D21" s="215"/>
      <c r="E21" s="18">
        <v>30</v>
      </c>
      <c r="F21" s="19">
        <v>1.4</v>
      </c>
      <c r="G21" s="29">
        <v>57</v>
      </c>
      <c r="H21" s="29">
        <v>1800</v>
      </c>
      <c r="I21" s="29">
        <v>11400</v>
      </c>
      <c r="J21" s="229">
        <v>109</v>
      </c>
      <c r="L21" s="215"/>
      <c r="M21" s="18">
        <v>30</v>
      </c>
      <c r="N21" s="19">
        <v>2.1</v>
      </c>
      <c r="O21" s="29">
        <v>60</v>
      </c>
      <c r="P21" s="29">
        <v>160</v>
      </c>
      <c r="Q21" s="29">
        <v>3380</v>
      </c>
      <c r="R21" s="239">
        <v>30</v>
      </c>
    </row>
    <row r="22" spans="2:19" ht="23.4" x14ac:dyDescent="0.3">
      <c r="B22" s="48"/>
      <c r="D22" s="215"/>
      <c r="E22" s="5"/>
      <c r="F22" s="5"/>
      <c r="G22" s="29"/>
      <c r="H22" s="29"/>
      <c r="I22" s="29"/>
      <c r="J22" s="229"/>
      <c r="L22" s="215"/>
      <c r="M22" s="5"/>
      <c r="N22" s="5"/>
      <c r="O22" s="29"/>
      <c r="P22" s="29"/>
      <c r="Q22" s="29"/>
      <c r="R22" s="239"/>
    </row>
    <row r="23" spans="2:19" ht="23.4" x14ac:dyDescent="0.3">
      <c r="B23" s="48"/>
      <c r="D23" s="53"/>
      <c r="E23" s="54"/>
      <c r="F23" s="54"/>
      <c r="G23" s="54"/>
      <c r="H23" s="54"/>
      <c r="I23" s="54"/>
      <c r="J23" s="230"/>
      <c r="M23" s="55"/>
      <c r="N23" s="56"/>
      <c r="R23" s="240"/>
    </row>
    <row r="24" spans="2:19" ht="23.4" x14ac:dyDescent="0.3">
      <c r="B24" s="48"/>
      <c r="D24" s="53"/>
      <c r="E24" s="54"/>
      <c r="F24" s="54"/>
      <c r="G24" s="54"/>
      <c r="H24" s="54"/>
      <c r="I24" s="54"/>
      <c r="J24" s="230"/>
      <c r="M24" s="55"/>
      <c r="N24" s="56"/>
      <c r="R24" s="240"/>
    </row>
    <row r="25" spans="2:19" ht="24" thickBot="1" x14ac:dyDescent="0.35">
      <c r="B25" s="49"/>
      <c r="C25" s="33"/>
      <c r="D25" s="34"/>
      <c r="E25" s="35"/>
      <c r="F25" s="35"/>
      <c r="G25" s="35"/>
      <c r="H25" s="35"/>
      <c r="I25" s="35"/>
      <c r="J25" s="231"/>
      <c r="K25" s="33"/>
      <c r="L25" s="33"/>
      <c r="M25" s="35"/>
      <c r="N25" s="35"/>
      <c r="O25" s="33"/>
      <c r="P25" s="33"/>
      <c r="Q25" s="33"/>
      <c r="R25" s="241"/>
    </row>
    <row r="26" spans="2:19" ht="24" thickBot="1" x14ac:dyDescent="0.35">
      <c r="B26" s="47"/>
      <c r="C26" s="24"/>
      <c r="D26" s="25"/>
      <c r="E26" s="24"/>
      <c r="F26" s="24"/>
      <c r="G26" s="24"/>
      <c r="H26" s="24"/>
      <c r="I26" s="24"/>
      <c r="J26" s="227"/>
      <c r="K26" s="24"/>
      <c r="L26" s="25"/>
      <c r="M26" s="24"/>
      <c r="N26" s="24"/>
      <c r="O26" s="24"/>
      <c r="P26" s="24"/>
      <c r="Q26" s="24"/>
      <c r="R26" s="237"/>
    </row>
    <row r="27" spans="2:19" ht="23.4" x14ac:dyDescent="0.3">
      <c r="B27" s="48"/>
      <c r="D27" s="27" t="s">
        <v>3</v>
      </c>
      <c r="E27" s="27" t="s">
        <v>4</v>
      </c>
      <c r="F27" s="27" t="s">
        <v>5</v>
      </c>
      <c r="G27" s="20" t="s">
        <v>6</v>
      </c>
      <c r="H27" s="20" t="s">
        <v>7</v>
      </c>
      <c r="I27" s="20" t="s">
        <v>8</v>
      </c>
      <c r="J27" s="233" t="s">
        <v>9</v>
      </c>
      <c r="K27" s="74" t="s">
        <v>14</v>
      </c>
      <c r="L27" s="27" t="s">
        <v>3</v>
      </c>
      <c r="M27" s="27" t="s">
        <v>4</v>
      </c>
      <c r="N27" s="27" t="s">
        <v>5</v>
      </c>
      <c r="O27" s="20" t="s">
        <v>6</v>
      </c>
      <c r="P27" s="20" t="s">
        <v>7</v>
      </c>
      <c r="Q27" s="20" t="s">
        <v>8</v>
      </c>
      <c r="R27" s="233" t="s">
        <v>9</v>
      </c>
      <c r="S27" s="74" t="s">
        <v>14</v>
      </c>
    </row>
    <row r="28" spans="2:19" ht="23.4" x14ac:dyDescent="0.3">
      <c r="B28" s="48"/>
      <c r="D28" s="215" t="s">
        <v>10</v>
      </c>
      <c r="E28" s="18">
        <v>0</v>
      </c>
      <c r="F28" s="19">
        <v>1.08</v>
      </c>
      <c r="G28" s="29">
        <v>14200</v>
      </c>
      <c r="H28" s="29">
        <v>50250</v>
      </c>
      <c r="I28" s="29">
        <v>156000</v>
      </c>
      <c r="J28" s="234">
        <v>1450</v>
      </c>
      <c r="K28" s="112"/>
      <c r="L28" s="215" t="s">
        <v>10</v>
      </c>
      <c r="M28" s="18">
        <v>0</v>
      </c>
      <c r="N28" s="19">
        <v>2.0299999999999998</v>
      </c>
      <c r="O28" s="29">
        <v>9400</v>
      </c>
      <c r="P28" s="29">
        <v>23000</v>
      </c>
      <c r="Q28" s="29">
        <v>168000</v>
      </c>
      <c r="R28" s="234">
        <v>1400</v>
      </c>
      <c r="S28" s="112"/>
    </row>
    <row r="29" spans="2:19" ht="23.4" x14ac:dyDescent="0.3">
      <c r="B29" s="48"/>
      <c r="D29" s="215"/>
      <c r="E29" s="18">
        <v>1</v>
      </c>
      <c r="F29" s="19">
        <v>0.38</v>
      </c>
      <c r="G29" s="29">
        <v>5800</v>
      </c>
      <c r="H29" s="29">
        <v>20000</v>
      </c>
      <c r="I29" s="29">
        <v>75000</v>
      </c>
      <c r="J29" s="234">
        <v>820</v>
      </c>
      <c r="K29" s="112"/>
      <c r="L29" s="215"/>
      <c r="M29" s="18">
        <v>1</v>
      </c>
      <c r="N29" s="19">
        <v>0.88</v>
      </c>
      <c r="O29" s="29">
        <v>570</v>
      </c>
      <c r="P29" s="29">
        <v>4000</v>
      </c>
      <c r="Q29" s="29">
        <v>12900</v>
      </c>
      <c r="R29" s="234">
        <v>210</v>
      </c>
      <c r="S29" s="112"/>
    </row>
    <row r="30" spans="2:19" ht="129" x14ac:dyDescent="0.3">
      <c r="B30" s="50" t="s">
        <v>15</v>
      </c>
      <c r="D30" s="215"/>
      <c r="E30" s="18">
        <v>3</v>
      </c>
      <c r="F30" s="19">
        <v>0.37</v>
      </c>
      <c r="G30" s="29">
        <v>5800</v>
      </c>
      <c r="H30" s="29">
        <v>23000</v>
      </c>
      <c r="I30" s="29">
        <v>70000</v>
      </c>
      <c r="J30" s="234">
        <v>675</v>
      </c>
      <c r="K30" s="112"/>
      <c r="L30" s="215"/>
      <c r="M30" s="18">
        <v>3</v>
      </c>
      <c r="N30" s="19">
        <v>0.83</v>
      </c>
      <c r="O30" s="29">
        <v>608</v>
      </c>
      <c r="P30" s="29">
        <v>2280</v>
      </c>
      <c r="Q30" s="29">
        <v>13000</v>
      </c>
      <c r="R30" s="234">
        <v>156</v>
      </c>
      <c r="S30" s="112"/>
    </row>
    <row r="31" spans="2:19" ht="23.4" x14ac:dyDescent="0.3">
      <c r="B31" s="48"/>
      <c r="D31" s="215"/>
      <c r="E31" s="18">
        <v>5</v>
      </c>
      <c r="F31" s="19">
        <v>0.39</v>
      </c>
      <c r="G31" s="29">
        <v>5350</v>
      </c>
      <c r="H31" s="29">
        <v>19800</v>
      </c>
      <c r="I31" s="29">
        <v>58500</v>
      </c>
      <c r="J31" s="234">
        <v>607</v>
      </c>
      <c r="K31" s="112"/>
      <c r="L31" s="215"/>
      <c r="M31" s="18">
        <v>5</v>
      </c>
      <c r="N31" s="19">
        <v>0.82</v>
      </c>
      <c r="O31" s="29">
        <v>476</v>
      </c>
      <c r="P31" s="29">
        <v>1560</v>
      </c>
      <c r="Q31" s="29">
        <v>8000</v>
      </c>
      <c r="R31" s="234">
        <v>152</v>
      </c>
      <c r="S31" s="112"/>
    </row>
    <row r="32" spans="2:19" ht="23.4" x14ac:dyDescent="0.3">
      <c r="B32" s="48"/>
      <c r="D32" s="215"/>
      <c r="E32" s="18">
        <v>10</v>
      </c>
      <c r="F32" s="19">
        <v>0.33</v>
      </c>
      <c r="G32" s="29">
        <v>6300</v>
      </c>
      <c r="H32" s="29">
        <v>15400</v>
      </c>
      <c r="I32" s="29">
        <v>68000</v>
      </c>
      <c r="J32" s="234">
        <v>452</v>
      </c>
      <c r="K32" s="5" t="s">
        <v>16</v>
      </c>
      <c r="L32" s="215"/>
      <c r="M32" s="18">
        <v>10</v>
      </c>
      <c r="N32" s="19">
        <v>0.79</v>
      </c>
      <c r="O32" s="29">
        <v>600</v>
      </c>
      <c r="P32" s="29">
        <v>5000</v>
      </c>
      <c r="Q32" s="29">
        <v>9200</v>
      </c>
      <c r="R32" s="234">
        <v>140</v>
      </c>
      <c r="S32" s="5" t="s">
        <v>16</v>
      </c>
    </row>
    <row r="33" spans="2:19" ht="23.4" x14ac:dyDescent="0.3">
      <c r="B33" s="48"/>
      <c r="D33" s="215"/>
      <c r="E33" s="18">
        <v>30</v>
      </c>
      <c r="F33" s="19">
        <v>0.3</v>
      </c>
      <c r="G33" s="29">
        <v>3500</v>
      </c>
      <c r="H33" s="29">
        <v>13600</v>
      </c>
      <c r="I33" s="29">
        <v>55000</v>
      </c>
      <c r="J33" s="234">
        <v>214</v>
      </c>
      <c r="K33" s="5" t="s">
        <v>16</v>
      </c>
      <c r="L33" s="215"/>
      <c r="M33" s="18">
        <v>30</v>
      </c>
      <c r="N33" s="18">
        <v>0.77</v>
      </c>
      <c r="O33" s="29">
        <v>73</v>
      </c>
      <c r="P33" s="29">
        <v>720</v>
      </c>
      <c r="Q33" s="29">
        <v>7300</v>
      </c>
      <c r="R33" s="234">
        <v>36</v>
      </c>
      <c r="S33" s="5" t="s">
        <v>16</v>
      </c>
    </row>
    <row r="34" spans="2:19" ht="23.4" x14ac:dyDescent="0.3">
      <c r="B34" s="48"/>
      <c r="D34" s="215"/>
      <c r="E34" s="5"/>
      <c r="F34" s="5"/>
      <c r="G34" s="29"/>
      <c r="H34" s="29"/>
      <c r="I34" s="29"/>
      <c r="J34" s="234"/>
      <c r="K34" s="112"/>
      <c r="L34" s="215"/>
      <c r="M34" s="5"/>
      <c r="N34" s="5"/>
      <c r="O34" s="29"/>
      <c r="P34" s="29"/>
      <c r="Q34" s="29"/>
      <c r="R34" s="234"/>
      <c r="S34" s="112"/>
    </row>
    <row r="35" spans="2:19" ht="23.4" x14ac:dyDescent="0.3">
      <c r="B35" s="48"/>
      <c r="D35" s="53"/>
      <c r="E35" s="54"/>
      <c r="F35" s="54"/>
      <c r="G35" s="54"/>
      <c r="H35" s="54"/>
      <c r="I35" s="54"/>
      <c r="J35" s="230"/>
      <c r="M35" s="55"/>
      <c r="N35" s="56"/>
      <c r="R35" s="240"/>
    </row>
    <row r="36" spans="2:19" ht="15" customHeight="1" x14ac:dyDescent="0.3">
      <c r="B36" s="48"/>
      <c r="D36" s="53"/>
      <c r="E36" s="54"/>
      <c r="F36" s="54"/>
      <c r="G36" s="54"/>
      <c r="H36" s="54"/>
      <c r="I36" s="54"/>
      <c r="J36" s="230"/>
      <c r="M36" s="55"/>
      <c r="N36" s="56"/>
      <c r="R36" s="240"/>
    </row>
    <row r="37" spans="2:19" ht="24" thickBot="1" x14ac:dyDescent="0.35">
      <c r="B37" s="49"/>
      <c r="C37" s="33"/>
      <c r="D37" s="34"/>
      <c r="E37" s="35"/>
      <c r="F37" s="35"/>
      <c r="G37" s="35"/>
      <c r="H37" s="35"/>
      <c r="I37" s="35"/>
      <c r="J37" s="231"/>
      <c r="K37" s="33"/>
      <c r="L37" s="33"/>
      <c r="M37" s="35"/>
      <c r="N37" s="35"/>
      <c r="O37" s="33"/>
      <c r="P37" s="33"/>
      <c r="Q37" s="33"/>
      <c r="R37" s="241"/>
    </row>
    <row r="38" spans="2:19" ht="24" thickBot="1" x14ac:dyDescent="0.35">
      <c r="B38" s="47"/>
      <c r="C38" s="24"/>
      <c r="D38" s="25"/>
      <c r="E38" s="24"/>
      <c r="F38" s="24"/>
      <c r="G38" s="24"/>
      <c r="H38" s="24"/>
      <c r="I38" s="24"/>
      <c r="J38" s="227"/>
      <c r="K38" s="24"/>
      <c r="L38" s="25"/>
      <c r="M38" s="24"/>
      <c r="N38" s="24"/>
      <c r="O38" s="24"/>
      <c r="P38" s="24"/>
      <c r="Q38" s="24"/>
      <c r="R38" s="237"/>
    </row>
    <row r="39" spans="2:19" ht="15" customHeight="1" x14ac:dyDescent="0.3">
      <c r="B39" s="48"/>
      <c r="D39" s="27" t="s">
        <v>3</v>
      </c>
      <c r="E39" s="27" t="s">
        <v>4</v>
      </c>
      <c r="F39" s="27" t="s">
        <v>5</v>
      </c>
      <c r="G39" s="20" t="s">
        <v>6</v>
      </c>
      <c r="H39" s="20" t="s">
        <v>7</v>
      </c>
      <c r="I39" s="20" t="s">
        <v>8</v>
      </c>
      <c r="J39" s="232" t="s">
        <v>9</v>
      </c>
      <c r="L39" s="27" t="s">
        <v>3</v>
      </c>
      <c r="M39" s="27" t="s">
        <v>4</v>
      </c>
      <c r="N39" s="27" t="s">
        <v>5</v>
      </c>
      <c r="O39" s="20" t="s">
        <v>6</v>
      </c>
      <c r="P39" s="20" t="s">
        <v>7</v>
      </c>
      <c r="Q39" s="20" t="s">
        <v>8</v>
      </c>
      <c r="R39" s="242" t="s">
        <v>9</v>
      </c>
    </row>
    <row r="40" spans="2:19" ht="23.4" x14ac:dyDescent="0.3">
      <c r="B40" s="48"/>
      <c r="D40" s="215" t="s">
        <v>10</v>
      </c>
      <c r="E40" s="18">
        <v>0</v>
      </c>
      <c r="F40" s="37">
        <v>1.08</v>
      </c>
      <c r="G40" s="29">
        <v>14200</v>
      </c>
      <c r="H40" s="29">
        <v>50250</v>
      </c>
      <c r="I40" s="29">
        <v>156000</v>
      </c>
      <c r="J40" s="229">
        <v>1450</v>
      </c>
      <c r="L40" s="215" t="s">
        <v>10</v>
      </c>
      <c r="M40" s="18">
        <v>0</v>
      </c>
      <c r="N40" s="38">
        <v>2.0299999999999998</v>
      </c>
      <c r="O40" s="29">
        <v>9400</v>
      </c>
      <c r="P40" s="29">
        <v>23000</v>
      </c>
      <c r="Q40" s="29">
        <v>168000</v>
      </c>
      <c r="R40" s="239">
        <v>1400</v>
      </c>
    </row>
    <row r="41" spans="2:19" ht="23.4" x14ac:dyDescent="0.3">
      <c r="B41" s="48"/>
      <c r="D41" s="215"/>
      <c r="E41" s="18">
        <v>1</v>
      </c>
      <c r="F41" s="38">
        <v>0.03</v>
      </c>
      <c r="G41" s="29">
        <v>5800</v>
      </c>
      <c r="H41" s="29">
        <v>20000</v>
      </c>
      <c r="I41" s="29">
        <v>75000</v>
      </c>
      <c r="J41" s="229">
        <v>820</v>
      </c>
      <c r="L41" s="215"/>
      <c r="M41" s="18">
        <v>1</v>
      </c>
      <c r="N41" s="38">
        <v>0.06</v>
      </c>
      <c r="O41" s="29">
        <v>570</v>
      </c>
      <c r="P41" s="29">
        <v>4000</v>
      </c>
      <c r="Q41" s="29">
        <v>12900</v>
      </c>
      <c r="R41" s="239">
        <v>210</v>
      </c>
    </row>
    <row r="42" spans="2:19" ht="103.2" x14ac:dyDescent="0.3">
      <c r="B42" s="50" t="s">
        <v>17</v>
      </c>
      <c r="D42" s="215"/>
      <c r="E42" s="18">
        <v>3</v>
      </c>
      <c r="F42" s="38">
        <v>0.03</v>
      </c>
      <c r="G42" s="29">
        <v>5800</v>
      </c>
      <c r="H42" s="29">
        <v>23000</v>
      </c>
      <c r="I42" s="29">
        <v>70000</v>
      </c>
      <c r="J42" s="229">
        <v>675</v>
      </c>
      <c r="L42" s="215"/>
      <c r="M42" s="18">
        <v>3</v>
      </c>
      <c r="N42" s="38">
        <v>0.05</v>
      </c>
      <c r="O42" s="29">
        <v>608</v>
      </c>
      <c r="P42" s="29">
        <v>2280</v>
      </c>
      <c r="Q42" s="29">
        <v>13000</v>
      </c>
      <c r="R42" s="239">
        <v>156</v>
      </c>
    </row>
    <row r="43" spans="2:19" ht="23.4" x14ac:dyDescent="0.3">
      <c r="B43" s="48"/>
      <c r="D43" s="215"/>
      <c r="E43" s="18">
        <v>5</v>
      </c>
      <c r="F43" s="38">
        <v>0.17</v>
      </c>
      <c r="G43" s="29">
        <v>5350</v>
      </c>
      <c r="H43" s="29">
        <v>19800</v>
      </c>
      <c r="I43" s="29">
        <v>58500</v>
      </c>
      <c r="J43" s="229">
        <v>607</v>
      </c>
      <c r="L43" s="215"/>
      <c r="M43" s="18">
        <v>5</v>
      </c>
      <c r="N43" s="38">
        <v>0.05</v>
      </c>
      <c r="O43" s="29">
        <v>476</v>
      </c>
      <c r="P43" s="29">
        <v>1560</v>
      </c>
      <c r="Q43" s="29">
        <v>8000</v>
      </c>
      <c r="R43" s="239">
        <v>152</v>
      </c>
    </row>
    <row r="44" spans="2:19" ht="23.4" x14ac:dyDescent="0.3">
      <c r="B44" s="48"/>
      <c r="D44" s="215"/>
      <c r="E44" s="18">
        <v>10</v>
      </c>
      <c r="F44" s="38">
        <v>0.01</v>
      </c>
      <c r="G44" s="29">
        <v>6300</v>
      </c>
      <c r="H44" s="29">
        <v>15400</v>
      </c>
      <c r="I44" s="29">
        <v>68000</v>
      </c>
      <c r="J44" s="229">
        <v>452</v>
      </c>
      <c r="L44" s="215"/>
      <c r="M44" s="18">
        <v>10</v>
      </c>
      <c r="N44" s="38">
        <v>0.06</v>
      </c>
      <c r="O44" s="29">
        <v>600</v>
      </c>
      <c r="P44" s="29">
        <v>5000</v>
      </c>
      <c r="Q44" s="29">
        <v>9200</v>
      </c>
      <c r="R44" s="239">
        <v>140</v>
      </c>
    </row>
    <row r="45" spans="2:19" ht="24" thickBot="1" x14ac:dyDescent="0.35">
      <c r="B45" s="48"/>
      <c r="D45" s="215"/>
      <c r="E45" s="18">
        <v>30</v>
      </c>
      <c r="F45" s="38">
        <v>0.01</v>
      </c>
      <c r="G45" s="29">
        <v>3500</v>
      </c>
      <c r="H45" s="29">
        <v>13600</v>
      </c>
      <c r="I45" s="29">
        <v>55000</v>
      </c>
      <c r="J45" s="229">
        <v>214</v>
      </c>
      <c r="L45" s="215"/>
      <c r="M45" s="18">
        <v>30</v>
      </c>
      <c r="N45" s="39">
        <v>0.05</v>
      </c>
      <c r="O45" s="29">
        <v>73</v>
      </c>
      <c r="P45" s="29">
        <v>720</v>
      </c>
      <c r="Q45" s="29">
        <v>7300</v>
      </c>
      <c r="R45" s="239">
        <v>36</v>
      </c>
    </row>
    <row r="46" spans="2:19" ht="23.4" x14ac:dyDescent="0.3">
      <c r="B46" s="48"/>
      <c r="D46" s="215"/>
      <c r="E46" s="5"/>
      <c r="F46" s="5"/>
      <c r="G46" s="29"/>
      <c r="H46" s="29"/>
      <c r="I46" s="29"/>
      <c r="J46" s="229"/>
      <c r="L46" s="215"/>
      <c r="M46" s="5"/>
      <c r="N46" s="5"/>
      <c r="O46" s="29"/>
      <c r="P46" s="29"/>
      <c r="Q46" s="29"/>
      <c r="R46" s="239"/>
    </row>
    <row r="47" spans="2:19" ht="23.4" x14ac:dyDescent="0.3">
      <c r="B47" s="48"/>
      <c r="D47" s="54"/>
      <c r="E47" s="55"/>
      <c r="F47" s="55"/>
      <c r="G47" s="57"/>
      <c r="H47" s="57"/>
      <c r="I47" s="57"/>
      <c r="J47" s="235"/>
      <c r="L47" s="54"/>
      <c r="M47" s="55"/>
      <c r="N47" s="55"/>
      <c r="O47" s="57"/>
      <c r="P47" s="57"/>
      <c r="Q47" s="57"/>
      <c r="R47" s="243"/>
    </row>
    <row r="48" spans="2:19" ht="23.4" x14ac:dyDescent="0.3">
      <c r="B48" s="48"/>
      <c r="R48" s="240"/>
    </row>
    <row r="49" spans="2:18" ht="24" thickBot="1" x14ac:dyDescent="0.35">
      <c r="B49" s="49"/>
      <c r="C49" s="33"/>
      <c r="D49" s="33"/>
      <c r="E49" s="33"/>
      <c r="F49" s="33"/>
      <c r="G49" s="33"/>
      <c r="H49" s="33"/>
      <c r="I49" s="33"/>
      <c r="J49" s="236"/>
      <c r="K49" s="33"/>
      <c r="L49" s="33"/>
      <c r="M49" s="33"/>
      <c r="N49" s="33"/>
      <c r="O49" s="33"/>
      <c r="P49" s="33"/>
      <c r="Q49" s="33"/>
      <c r="R49" s="241"/>
    </row>
    <row r="52" spans="2:18" ht="15" customHeight="1" x14ac:dyDescent="0.3"/>
    <row r="55" spans="2:18" ht="14.7" customHeight="1" x14ac:dyDescent="0.3"/>
    <row r="56" spans="2:18" ht="14.25" customHeight="1" x14ac:dyDescent="0.3"/>
    <row r="57" spans="2:18" ht="14.25" customHeight="1" x14ac:dyDescent="0.3"/>
    <row r="58" spans="2:18" ht="14.25" customHeight="1" x14ac:dyDescent="0.3"/>
    <row r="59" spans="2:18" ht="14.25" customHeight="1" x14ac:dyDescent="0.3"/>
    <row r="60" spans="2:18" ht="14.25" customHeight="1" x14ac:dyDescent="0.3"/>
    <row r="61" spans="2:18" ht="14.25" customHeight="1" x14ac:dyDescent="0.3"/>
    <row r="62" spans="2:18" ht="14.25" customHeight="1" x14ac:dyDescent="0.3"/>
    <row r="63" spans="2:18" ht="14.25" customHeight="1" x14ac:dyDescent="0.3"/>
    <row r="64" spans="2:1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7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spans="2:3" ht="14.25" customHeight="1" x14ac:dyDescent="0.3"/>
    <row r="98" spans="2:3" ht="14.25" customHeight="1" x14ac:dyDescent="0.3"/>
    <row r="99" spans="2:3" ht="14.25" customHeight="1" x14ac:dyDescent="0.3"/>
    <row r="100" spans="2:3" ht="14.25" customHeight="1" x14ac:dyDescent="0.3"/>
    <row r="101" spans="2:3" ht="14.25" customHeight="1" x14ac:dyDescent="0.3"/>
    <row r="102" spans="2:3" ht="14.25" customHeight="1" x14ac:dyDescent="0.3"/>
    <row r="103" spans="2:3" ht="14.25" customHeight="1" x14ac:dyDescent="0.3"/>
    <row r="104" spans="2:3" ht="14.25" customHeight="1" x14ac:dyDescent="0.3"/>
    <row r="105" spans="2:3" ht="14.25" customHeight="1" x14ac:dyDescent="0.3"/>
    <row r="106" spans="2:3" ht="14.25" customHeight="1" x14ac:dyDescent="0.3"/>
    <row r="107" spans="2:3" ht="14.7" customHeight="1" thickBot="1" x14ac:dyDescent="0.35"/>
    <row r="108" spans="2:3" ht="14.7" customHeight="1" x14ac:dyDescent="0.3">
      <c r="B108" s="216" t="s">
        <v>18</v>
      </c>
      <c r="C108" s="24"/>
    </row>
    <row r="109" spans="2:3" x14ac:dyDescent="0.3">
      <c r="B109" s="217"/>
    </row>
    <row r="110" spans="2:3" x14ac:dyDescent="0.3">
      <c r="B110" s="217"/>
    </row>
    <row r="111" spans="2:3" x14ac:dyDescent="0.3">
      <c r="B111" s="217"/>
    </row>
    <row r="112" spans="2:3" x14ac:dyDescent="0.3">
      <c r="B112" s="217"/>
    </row>
    <row r="113" spans="2:2" x14ac:dyDescent="0.3">
      <c r="B113" s="217"/>
    </row>
    <row r="114" spans="2:2" x14ac:dyDescent="0.3">
      <c r="B114" s="217"/>
    </row>
    <row r="115" spans="2:2" x14ac:dyDescent="0.3">
      <c r="B115" s="217"/>
    </row>
    <row r="116" spans="2:2" x14ac:dyDescent="0.3">
      <c r="B116" s="217"/>
    </row>
    <row r="117" spans="2:2" x14ac:dyDescent="0.3">
      <c r="B117" s="217"/>
    </row>
    <row r="118" spans="2:2" x14ac:dyDescent="0.3">
      <c r="B118" s="217"/>
    </row>
    <row r="119" spans="2:2" x14ac:dyDescent="0.3">
      <c r="B119" s="217"/>
    </row>
    <row r="120" spans="2:2" x14ac:dyDescent="0.3">
      <c r="B120" s="217"/>
    </row>
    <row r="121" spans="2:2" x14ac:dyDescent="0.3">
      <c r="B121" s="217"/>
    </row>
    <row r="122" spans="2:2" x14ac:dyDescent="0.3">
      <c r="B122" s="217"/>
    </row>
    <row r="123" spans="2:2" ht="14.25" customHeight="1" x14ac:dyDescent="0.3">
      <c r="B123" s="217"/>
    </row>
    <row r="124" spans="2:2" x14ac:dyDescent="0.3">
      <c r="B124" s="217"/>
    </row>
    <row r="125" spans="2:2" ht="14.25" customHeight="1" x14ac:dyDescent="0.3">
      <c r="B125" s="217"/>
    </row>
    <row r="126" spans="2:2" x14ac:dyDescent="0.3">
      <c r="B126" s="217"/>
    </row>
    <row r="127" spans="2:2" x14ac:dyDescent="0.3">
      <c r="B127" s="217"/>
    </row>
    <row r="128" spans="2:2" x14ac:dyDescent="0.3">
      <c r="B128" s="217"/>
    </row>
    <row r="129" spans="2:2" x14ac:dyDescent="0.3">
      <c r="B129" s="217"/>
    </row>
    <row r="130" spans="2:2" x14ac:dyDescent="0.3">
      <c r="B130" s="217"/>
    </row>
    <row r="131" spans="2:2" x14ac:dyDescent="0.3">
      <c r="B131" s="217"/>
    </row>
    <row r="132" spans="2:2" x14ac:dyDescent="0.3">
      <c r="B132" s="217"/>
    </row>
    <row r="133" spans="2:2" x14ac:dyDescent="0.3">
      <c r="B133" s="217"/>
    </row>
    <row r="134" spans="2:2" x14ac:dyDescent="0.3">
      <c r="B134" s="217"/>
    </row>
    <row r="135" spans="2:2" x14ac:dyDescent="0.3">
      <c r="B135" s="217"/>
    </row>
    <row r="136" spans="2:2" x14ac:dyDescent="0.3">
      <c r="B136" s="217"/>
    </row>
    <row r="137" spans="2:2" x14ac:dyDescent="0.3">
      <c r="B137" s="217"/>
    </row>
    <row r="138" spans="2:2" x14ac:dyDescent="0.3">
      <c r="B138" s="217"/>
    </row>
    <row r="139" spans="2:2" x14ac:dyDescent="0.3">
      <c r="B139" s="217"/>
    </row>
    <row r="140" spans="2:2" x14ac:dyDescent="0.3">
      <c r="B140" s="217"/>
    </row>
    <row r="141" spans="2:2" x14ac:dyDescent="0.3">
      <c r="B141" s="217"/>
    </row>
    <row r="142" spans="2:2" x14ac:dyDescent="0.3">
      <c r="B142" s="217"/>
    </row>
    <row r="143" spans="2:2" x14ac:dyDescent="0.3">
      <c r="B143" s="217"/>
    </row>
    <row r="144" spans="2:2" x14ac:dyDescent="0.3">
      <c r="B144" s="217"/>
    </row>
    <row r="145" spans="2:3" x14ac:dyDescent="0.3">
      <c r="B145" s="217"/>
    </row>
    <row r="146" spans="2:3" x14ac:dyDescent="0.3">
      <c r="B146" s="217"/>
    </row>
    <row r="147" spans="2:3" x14ac:dyDescent="0.3">
      <c r="B147" s="217"/>
    </row>
    <row r="148" spans="2:3" x14ac:dyDescent="0.3">
      <c r="B148" s="217"/>
    </row>
    <row r="149" spans="2:3" x14ac:dyDescent="0.3">
      <c r="B149" s="217"/>
    </row>
    <row r="150" spans="2:3" x14ac:dyDescent="0.3">
      <c r="B150" s="217"/>
    </row>
    <row r="151" spans="2:3" x14ac:dyDescent="0.3">
      <c r="B151" s="217"/>
    </row>
    <row r="152" spans="2:3" x14ac:dyDescent="0.3">
      <c r="B152" s="217"/>
    </row>
    <row r="153" spans="2:3" x14ac:dyDescent="0.3">
      <c r="B153" s="217"/>
    </row>
    <row r="154" spans="2:3" x14ac:dyDescent="0.3">
      <c r="B154" s="217"/>
    </row>
    <row r="155" spans="2:3" x14ac:dyDescent="0.3">
      <c r="B155" s="217"/>
    </row>
    <row r="156" spans="2:3" x14ac:dyDescent="0.3">
      <c r="B156" s="217"/>
    </row>
    <row r="157" spans="2:3" x14ac:dyDescent="0.3">
      <c r="B157" s="217"/>
    </row>
    <row r="158" spans="2:3" x14ac:dyDescent="0.3">
      <c r="B158" s="217"/>
    </row>
    <row r="159" spans="2:3" x14ac:dyDescent="0.3">
      <c r="B159" s="217"/>
    </row>
    <row r="160" spans="2:3" ht="15" thickBot="1" x14ac:dyDescent="0.35">
      <c r="B160" s="218"/>
      <c r="C160" s="33"/>
    </row>
    <row r="161" spans="2:3" ht="14.7" customHeight="1" x14ac:dyDescent="0.3">
      <c r="B161" s="216" t="s">
        <v>18</v>
      </c>
      <c r="C161" s="24"/>
    </row>
    <row r="162" spans="2:3" x14ac:dyDescent="0.3">
      <c r="B162" s="217"/>
    </row>
    <row r="163" spans="2:3" x14ac:dyDescent="0.3">
      <c r="B163" s="217"/>
    </row>
    <row r="164" spans="2:3" x14ac:dyDescent="0.3">
      <c r="B164" s="217"/>
    </row>
    <row r="165" spans="2:3" x14ac:dyDescent="0.3">
      <c r="B165" s="217"/>
    </row>
    <row r="166" spans="2:3" x14ac:dyDescent="0.3">
      <c r="B166" s="217"/>
    </row>
    <row r="167" spans="2:3" x14ac:dyDescent="0.3">
      <c r="B167" s="217"/>
    </row>
    <row r="168" spans="2:3" x14ac:dyDescent="0.3">
      <c r="B168" s="217"/>
    </row>
    <row r="169" spans="2:3" x14ac:dyDescent="0.3">
      <c r="B169" s="217"/>
    </row>
    <row r="170" spans="2:3" x14ac:dyDescent="0.3">
      <c r="B170" s="217"/>
    </row>
    <row r="171" spans="2:3" x14ac:dyDescent="0.3">
      <c r="B171" s="217"/>
    </row>
    <row r="172" spans="2:3" x14ac:dyDescent="0.3">
      <c r="B172" s="217"/>
    </row>
    <row r="173" spans="2:3" x14ac:dyDescent="0.3">
      <c r="B173" s="217"/>
    </row>
    <row r="174" spans="2:3" x14ac:dyDescent="0.3">
      <c r="B174" s="217"/>
    </row>
    <row r="175" spans="2:3" x14ac:dyDescent="0.3">
      <c r="B175" s="217"/>
    </row>
    <row r="176" spans="2:3" ht="14.25" customHeight="1" x14ac:dyDescent="0.3">
      <c r="B176" s="217"/>
    </row>
    <row r="177" spans="2:2" x14ac:dyDescent="0.3">
      <c r="B177" s="217"/>
    </row>
    <row r="178" spans="2:2" ht="14.25" customHeight="1" x14ac:dyDescent="0.3">
      <c r="B178" s="217"/>
    </row>
    <row r="179" spans="2:2" x14ac:dyDescent="0.3">
      <c r="B179" s="217"/>
    </row>
    <row r="180" spans="2:2" x14ac:dyDescent="0.3">
      <c r="B180" s="217"/>
    </row>
    <row r="181" spans="2:2" x14ac:dyDescent="0.3">
      <c r="B181" s="217"/>
    </row>
    <row r="182" spans="2:2" x14ac:dyDescent="0.3">
      <c r="B182" s="217"/>
    </row>
    <row r="183" spans="2:2" x14ac:dyDescent="0.3">
      <c r="B183" s="217"/>
    </row>
    <row r="184" spans="2:2" x14ac:dyDescent="0.3">
      <c r="B184" s="217"/>
    </row>
    <row r="185" spans="2:2" x14ac:dyDescent="0.3">
      <c r="B185" s="217"/>
    </row>
    <row r="186" spans="2:2" x14ac:dyDescent="0.3">
      <c r="B186" s="217"/>
    </row>
    <row r="187" spans="2:2" x14ac:dyDescent="0.3">
      <c r="B187" s="217"/>
    </row>
    <row r="188" spans="2:2" x14ac:dyDescent="0.3">
      <c r="B188" s="217"/>
    </row>
    <row r="189" spans="2:2" x14ac:dyDescent="0.3">
      <c r="B189" s="217"/>
    </row>
    <row r="190" spans="2:2" x14ac:dyDescent="0.3">
      <c r="B190" s="217"/>
    </row>
    <row r="191" spans="2:2" x14ac:dyDescent="0.3">
      <c r="B191" s="217"/>
    </row>
    <row r="192" spans="2:2" x14ac:dyDescent="0.3">
      <c r="B192" s="217"/>
    </row>
    <row r="193" spans="2:2" x14ac:dyDescent="0.3">
      <c r="B193" s="217"/>
    </row>
    <row r="194" spans="2:2" x14ac:dyDescent="0.3">
      <c r="B194" s="217"/>
    </row>
    <row r="195" spans="2:2" x14ac:dyDescent="0.3">
      <c r="B195" s="217"/>
    </row>
    <row r="196" spans="2:2" x14ac:dyDescent="0.3">
      <c r="B196" s="217"/>
    </row>
    <row r="197" spans="2:2" x14ac:dyDescent="0.3">
      <c r="B197" s="217"/>
    </row>
    <row r="198" spans="2:2" x14ac:dyDescent="0.3">
      <c r="B198" s="217"/>
    </row>
    <row r="199" spans="2:2" x14ac:dyDescent="0.3">
      <c r="B199" s="217"/>
    </row>
    <row r="200" spans="2:2" x14ac:dyDescent="0.3">
      <c r="B200" s="217"/>
    </row>
    <row r="201" spans="2:2" x14ac:dyDescent="0.3">
      <c r="B201" s="217"/>
    </row>
    <row r="202" spans="2:2" x14ac:dyDescent="0.3">
      <c r="B202" s="217"/>
    </row>
    <row r="203" spans="2:2" x14ac:dyDescent="0.3">
      <c r="B203" s="217"/>
    </row>
    <row r="204" spans="2:2" x14ac:dyDescent="0.3">
      <c r="B204" s="217"/>
    </row>
    <row r="205" spans="2:2" x14ac:dyDescent="0.3">
      <c r="B205" s="217"/>
    </row>
    <row r="206" spans="2:2" x14ac:dyDescent="0.3">
      <c r="B206" s="217"/>
    </row>
    <row r="207" spans="2:2" x14ac:dyDescent="0.3">
      <c r="B207" s="217"/>
    </row>
    <row r="208" spans="2:2" x14ac:dyDescent="0.3">
      <c r="B208" s="217"/>
    </row>
    <row r="209" spans="2:3" x14ac:dyDescent="0.3">
      <c r="B209" s="217"/>
    </row>
    <row r="210" spans="2:3" x14ac:dyDescent="0.3">
      <c r="B210" s="217"/>
    </row>
    <row r="211" spans="2:3" x14ac:dyDescent="0.3">
      <c r="B211" s="217"/>
    </row>
    <row r="212" spans="2:3" x14ac:dyDescent="0.3">
      <c r="B212" s="217"/>
    </row>
    <row r="213" spans="2:3" ht="15" thickBot="1" x14ac:dyDescent="0.35">
      <c r="B213" s="218"/>
      <c r="C213" s="33"/>
    </row>
  </sheetData>
  <mergeCells count="10">
    <mergeCell ref="D16:D22"/>
    <mergeCell ref="L16:L22"/>
    <mergeCell ref="L4:L10"/>
    <mergeCell ref="D4:D10"/>
    <mergeCell ref="B161:B213"/>
    <mergeCell ref="D40:D46"/>
    <mergeCell ref="L40:L46"/>
    <mergeCell ref="B108:B160"/>
    <mergeCell ref="D28:D34"/>
    <mergeCell ref="L28:L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0179-62B5-4272-B718-0C70FDC3EB7C}">
  <dimension ref="A1:X213"/>
  <sheetViews>
    <sheetView zoomScale="70" zoomScaleNormal="70" workbookViewId="0">
      <selection activeCell="AD13" sqref="AD13"/>
    </sheetView>
  </sheetViews>
  <sheetFormatPr defaultColWidth="10.6640625" defaultRowHeight="14.4" x14ac:dyDescent="0.3"/>
  <sheetData>
    <row r="1" spans="1:24" ht="26.4" thickBot="1" x14ac:dyDescent="0.55000000000000004">
      <c r="A1" s="51" t="s">
        <v>0</v>
      </c>
    </row>
    <row r="2" spans="1:24" ht="26.4" thickBot="1" x14ac:dyDescent="0.55000000000000004">
      <c r="A2" s="51" t="s">
        <v>1</v>
      </c>
      <c r="B2" s="47"/>
      <c r="C2" s="24"/>
      <c r="D2" s="25"/>
      <c r="E2" s="24"/>
      <c r="F2" s="24"/>
      <c r="G2" s="24"/>
      <c r="H2" s="24"/>
      <c r="I2" s="24"/>
      <c r="J2" s="24"/>
      <c r="K2" s="24"/>
      <c r="L2" s="25"/>
      <c r="M2" s="24"/>
      <c r="N2" s="24"/>
      <c r="O2" s="24"/>
      <c r="P2" s="24"/>
      <c r="Q2" s="24"/>
      <c r="R2" s="26"/>
    </row>
    <row r="3" spans="1:24" s="124" customFormat="1" ht="129" x14ac:dyDescent="0.5">
      <c r="A3" s="123" t="s">
        <v>2</v>
      </c>
      <c r="B3" s="48"/>
      <c r="D3" s="125" t="s">
        <v>3</v>
      </c>
      <c r="E3" s="125" t="s">
        <v>4</v>
      </c>
      <c r="F3" s="125" t="s">
        <v>5</v>
      </c>
      <c r="G3" s="126" t="s">
        <v>6</v>
      </c>
      <c r="H3" s="126" t="s">
        <v>7</v>
      </c>
      <c r="I3" s="126" t="s">
        <v>8</v>
      </c>
      <c r="J3" s="126" t="s">
        <v>9</v>
      </c>
      <c r="L3" s="125" t="s">
        <v>3</v>
      </c>
      <c r="M3" s="125" t="s">
        <v>4</v>
      </c>
      <c r="N3" s="125" t="s">
        <v>5</v>
      </c>
      <c r="O3" s="126" t="s">
        <v>6</v>
      </c>
      <c r="P3" s="126" t="s">
        <v>7</v>
      </c>
      <c r="Q3" s="126" t="s">
        <v>8</v>
      </c>
      <c r="R3" s="127" t="s">
        <v>9</v>
      </c>
      <c r="T3" s="128"/>
      <c r="V3" s="128"/>
      <c r="X3" s="128"/>
    </row>
    <row r="4" spans="1:24" ht="25.8" x14ac:dyDescent="0.5">
      <c r="A4" s="52">
        <v>45243</v>
      </c>
      <c r="B4" s="48"/>
      <c r="D4" s="215" t="s">
        <v>10</v>
      </c>
      <c r="E4" s="18">
        <v>0</v>
      </c>
      <c r="F4" s="19">
        <v>0.98</v>
      </c>
      <c r="G4" s="29">
        <v>14500</v>
      </c>
      <c r="H4" s="29">
        <v>28600</v>
      </c>
      <c r="I4" s="29">
        <v>142000</v>
      </c>
      <c r="J4" s="29">
        <v>1380</v>
      </c>
      <c r="L4" s="215" t="s">
        <v>10</v>
      </c>
      <c r="M4" s="18">
        <v>0</v>
      </c>
      <c r="N4" s="19">
        <v>2.15</v>
      </c>
      <c r="O4" s="29">
        <v>15000</v>
      </c>
      <c r="P4" s="29">
        <v>30000</v>
      </c>
      <c r="Q4" s="29">
        <v>157000</v>
      </c>
      <c r="R4" s="30">
        <v>1060</v>
      </c>
      <c r="T4" s="28"/>
      <c r="V4" s="28"/>
    </row>
    <row r="5" spans="1:24" ht="23.4" x14ac:dyDescent="0.3">
      <c r="B5" s="48"/>
      <c r="D5" s="215"/>
      <c r="E5" s="18">
        <v>1</v>
      </c>
      <c r="F5" s="19">
        <v>0.73</v>
      </c>
      <c r="G5" s="29">
        <v>10100</v>
      </c>
      <c r="H5" s="29">
        <v>18800</v>
      </c>
      <c r="I5" s="29">
        <v>110000</v>
      </c>
      <c r="J5" s="29">
        <v>1040</v>
      </c>
      <c r="L5" s="215"/>
      <c r="M5" s="18">
        <v>1</v>
      </c>
      <c r="N5" s="19">
        <v>1.66</v>
      </c>
      <c r="O5" s="29">
        <v>800</v>
      </c>
      <c r="P5" s="29">
        <v>2100</v>
      </c>
      <c r="Q5" s="29">
        <v>32500</v>
      </c>
      <c r="R5" s="30">
        <v>320</v>
      </c>
    </row>
    <row r="6" spans="1:24" ht="25.8" x14ac:dyDescent="0.5">
      <c r="A6" s="51" t="s">
        <v>11</v>
      </c>
      <c r="B6" s="50" t="s">
        <v>12</v>
      </c>
      <c r="D6" s="215"/>
      <c r="E6" s="18">
        <v>3</v>
      </c>
      <c r="F6" s="19">
        <v>0.68</v>
      </c>
      <c r="G6" s="29">
        <v>900</v>
      </c>
      <c r="H6" s="29">
        <v>2100</v>
      </c>
      <c r="I6" s="29">
        <v>46000</v>
      </c>
      <c r="J6" s="29">
        <v>660</v>
      </c>
      <c r="L6" s="215"/>
      <c r="M6" s="18">
        <v>3</v>
      </c>
      <c r="N6" s="19">
        <v>1.57</v>
      </c>
      <c r="O6" s="29">
        <v>24</v>
      </c>
      <c r="P6" s="29">
        <v>268</v>
      </c>
      <c r="Q6" s="29">
        <v>450</v>
      </c>
      <c r="R6" s="30">
        <v>24</v>
      </c>
    </row>
    <row r="7" spans="1:24" ht="23.4" x14ac:dyDescent="0.3">
      <c r="B7" s="48"/>
      <c r="D7" s="215"/>
      <c r="E7" s="18">
        <v>5</v>
      </c>
      <c r="F7" s="19">
        <v>0.62</v>
      </c>
      <c r="G7" s="29">
        <v>58</v>
      </c>
      <c r="H7" s="29">
        <v>598</v>
      </c>
      <c r="I7" s="29">
        <v>2350</v>
      </c>
      <c r="J7" s="29">
        <v>158</v>
      </c>
      <c r="L7" s="215"/>
      <c r="M7" s="18">
        <v>5</v>
      </c>
      <c r="N7" s="19">
        <v>1.54</v>
      </c>
      <c r="O7" s="29">
        <v>46</v>
      </c>
      <c r="P7" s="29">
        <v>286</v>
      </c>
      <c r="Q7" s="29">
        <v>325</v>
      </c>
      <c r="R7" s="30">
        <v>16</v>
      </c>
    </row>
    <row r="8" spans="1:24" ht="23.4" x14ac:dyDescent="0.3">
      <c r="B8" s="48"/>
      <c r="D8" s="215"/>
      <c r="E8" s="18">
        <v>10</v>
      </c>
      <c r="F8" s="19">
        <v>0.52</v>
      </c>
      <c r="G8" s="29">
        <v>27</v>
      </c>
      <c r="H8" s="29">
        <v>352</v>
      </c>
      <c r="I8" s="29">
        <v>480</v>
      </c>
      <c r="J8" s="29">
        <v>36</v>
      </c>
      <c r="L8" s="215"/>
      <c r="M8" s="18">
        <v>10</v>
      </c>
      <c r="N8" s="19">
        <v>1.34</v>
      </c>
      <c r="O8" s="29">
        <v>17</v>
      </c>
      <c r="P8" s="29">
        <v>143</v>
      </c>
      <c r="Q8" s="29">
        <v>170</v>
      </c>
      <c r="R8" s="30">
        <v>2</v>
      </c>
    </row>
    <row r="9" spans="1:24" ht="23.4" x14ac:dyDescent="0.3">
      <c r="B9" s="48"/>
      <c r="D9" s="215"/>
      <c r="E9" s="18">
        <v>30</v>
      </c>
      <c r="F9" s="18">
        <v>0.34</v>
      </c>
      <c r="G9" s="29">
        <v>23</v>
      </c>
      <c r="H9" s="29">
        <v>189</v>
      </c>
      <c r="I9" s="29">
        <v>189</v>
      </c>
      <c r="J9" s="29">
        <v>7</v>
      </c>
      <c r="L9" s="215"/>
      <c r="M9" s="18">
        <v>30</v>
      </c>
      <c r="N9" s="18">
        <v>0.88</v>
      </c>
      <c r="O9" s="29">
        <v>8</v>
      </c>
      <c r="P9" s="29">
        <v>113</v>
      </c>
      <c r="Q9" s="29">
        <v>113</v>
      </c>
      <c r="R9" s="30">
        <v>2</v>
      </c>
    </row>
    <row r="10" spans="1:24" ht="23.4" x14ac:dyDescent="0.3">
      <c r="B10" s="48"/>
      <c r="D10" s="215"/>
      <c r="E10" s="5"/>
      <c r="F10" s="5"/>
      <c r="G10" s="29"/>
      <c r="H10" s="29"/>
      <c r="I10" s="29"/>
      <c r="J10" s="29"/>
      <c r="L10" s="215"/>
      <c r="M10" s="5"/>
      <c r="N10" s="5"/>
      <c r="O10" s="29"/>
      <c r="P10" s="29"/>
      <c r="Q10" s="29"/>
      <c r="R10" s="30"/>
    </row>
    <row r="11" spans="1:24" ht="23.4" x14ac:dyDescent="0.3">
      <c r="B11" s="48"/>
      <c r="D11" s="53"/>
      <c r="E11" s="54"/>
      <c r="F11" s="54"/>
      <c r="G11" s="54"/>
      <c r="H11" s="54"/>
      <c r="I11" s="54"/>
      <c r="J11" s="54"/>
      <c r="M11" s="55"/>
      <c r="N11" s="56"/>
      <c r="R11" s="32"/>
    </row>
    <row r="12" spans="1:24" ht="23.4" x14ac:dyDescent="0.3">
      <c r="B12" s="48"/>
      <c r="D12" s="53"/>
      <c r="E12" s="54"/>
      <c r="F12" s="54"/>
      <c r="G12" s="54"/>
      <c r="H12" s="54"/>
      <c r="I12" s="54"/>
      <c r="J12" s="54"/>
      <c r="M12" s="55"/>
      <c r="N12" s="56"/>
      <c r="R12" s="32"/>
    </row>
    <row r="13" spans="1:24" ht="24" thickBot="1" x14ac:dyDescent="0.35">
      <c r="B13" s="49"/>
      <c r="C13" s="33"/>
      <c r="D13" s="34"/>
      <c r="E13" s="35"/>
      <c r="F13" s="35"/>
      <c r="G13" s="35"/>
      <c r="H13" s="35"/>
      <c r="I13" s="35"/>
      <c r="J13" s="35"/>
      <c r="K13" s="33"/>
      <c r="L13" s="33"/>
      <c r="M13" s="35"/>
      <c r="N13" s="35"/>
      <c r="O13" s="33"/>
      <c r="P13" s="33"/>
      <c r="Q13" s="33"/>
      <c r="R13" s="36"/>
    </row>
    <row r="14" spans="1:24" ht="24" thickBot="1" x14ac:dyDescent="0.35">
      <c r="B14" s="47"/>
      <c r="C14" s="24"/>
      <c r="D14" s="25"/>
      <c r="E14" s="24"/>
      <c r="F14" s="24"/>
      <c r="G14" s="24"/>
      <c r="H14" s="24"/>
      <c r="I14" s="24"/>
      <c r="J14" s="24"/>
      <c r="K14" s="24"/>
      <c r="L14" s="25"/>
      <c r="M14" s="24"/>
      <c r="N14" s="24"/>
      <c r="O14" s="24"/>
      <c r="P14" s="24"/>
      <c r="Q14" s="24"/>
      <c r="R14" s="26"/>
    </row>
    <row r="15" spans="1:24" ht="23.4" x14ac:dyDescent="0.3">
      <c r="B15" s="48"/>
      <c r="D15" s="27" t="s">
        <v>3</v>
      </c>
      <c r="E15" s="27" t="s">
        <v>4</v>
      </c>
      <c r="F15" s="27" t="s">
        <v>5</v>
      </c>
      <c r="G15" s="20" t="s">
        <v>6</v>
      </c>
      <c r="H15" s="20" t="s">
        <v>7</v>
      </c>
      <c r="I15" s="20" t="s">
        <v>8</v>
      </c>
      <c r="J15" s="20" t="s">
        <v>9</v>
      </c>
      <c r="L15" s="27" t="s">
        <v>3</v>
      </c>
      <c r="M15" s="27" t="s">
        <v>4</v>
      </c>
      <c r="N15" s="27" t="s">
        <v>5</v>
      </c>
      <c r="O15" s="20" t="s">
        <v>6</v>
      </c>
      <c r="P15" s="20" t="s">
        <v>7</v>
      </c>
      <c r="Q15" s="20" t="s">
        <v>8</v>
      </c>
      <c r="R15" s="21" t="s">
        <v>9</v>
      </c>
    </row>
    <row r="16" spans="1:24" ht="23.4" x14ac:dyDescent="0.3">
      <c r="B16" s="48"/>
      <c r="D16" s="215" t="s">
        <v>10</v>
      </c>
      <c r="E16" s="18">
        <v>0</v>
      </c>
      <c r="F16" s="19">
        <v>2.08</v>
      </c>
      <c r="G16" s="29">
        <v>9800</v>
      </c>
      <c r="H16" s="29">
        <v>23500</v>
      </c>
      <c r="I16" s="29">
        <v>144000</v>
      </c>
      <c r="J16" s="29">
        <v>1200</v>
      </c>
      <c r="L16" s="215" t="s">
        <v>10</v>
      </c>
      <c r="M16" s="18">
        <v>0</v>
      </c>
      <c r="N16" s="19">
        <v>3.09</v>
      </c>
      <c r="O16" s="29">
        <v>8400</v>
      </c>
      <c r="P16" s="29">
        <v>25000</v>
      </c>
      <c r="Q16" s="29">
        <v>114000</v>
      </c>
      <c r="R16" s="30">
        <v>1300</v>
      </c>
    </row>
    <row r="17" spans="2:19" ht="15" customHeight="1" x14ac:dyDescent="0.3">
      <c r="B17" s="48"/>
      <c r="D17" s="215"/>
      <c r="E17" s="18">
        <v>1</v>
      </c>
      <c r="F17" s="19">
        <v>1.71</v>
      </c>
      <c r="G17" s="29">
        <v>7500</v>
      </c>
      <c r="H17" s="29">
        <v>46000</v>
      </c>
      <c r="I17" s="29">
        <v>132000</v>
      </c>
      <c r="J17" s="29">
        <v>1300</v>
      </c>
      <c r="L17" s="215"/>
      <c r="M17" s="18">
        <v>1</v>
      </c>
      <c r="N17" s="19">
        <v>2.63</v>
      </c>
      <c r="O17" s="29">
        <v>8100</v>
      </c>
      <c r="P17" s="29">
        <v>24750</v>
      </c>
      <c r="Q17" s="29">
        <v>80000</v>
      </c>
      <c r="R17" s="30">
        <v>1100</v>
      </c>
    </row>
    <row r="18" spans="2:19" ht="25.8" x14ac:dyDescent="0.3">
      <c r="B18" s="50" t="s">
        <v>13</v>
      </c>
      <c r="D18" s="215"/>
      <c r="E18" s="18">
        <v>3</v>
      </c>
      <c r="F18" s="19">
        <v>1.59</v>
      </c>
      <c r="G18" s="29">
        <v>9000</v>
      </c>
      <c r="H18" s="29">
        <v>21000</v>
      </c>
      <c r="I18" s="29">
        <v>100000</v>
      </c>
      <c r="J18" s="29">
        <v>1400</v>
      </c>
      <c r="L18" s="215"/>
      <c r="M18" s="18">
        <v>3</v>
      </c>
      <c r="N18" s="19">
        <v>2.63</v>
      </c>
      <c r="O18" s="29">
        <v>7600</v>
      </c>
      <c r="P18" s="29">
        <v>20000</v>
      </c>
      <c r="Q18" s="29">
        <v>96000</v>
      </c>
      <c r="R18" s="30">
        <v>780</v>
      </c>
    </row>
    <row r="19" spans="2:19" ht="14.25" customHeight="1" x14ac:dyDescent="0.3">
      <c r="B19" s="48"/>
      <c r="D19" s="215"/>
      <c r="E19" s="18">
        <v>5</v>
      </c>
      <c r="F19" s="19">
        <v>1.59</v>
      </c>
      <c r="G19" s="29">
        <v>7400</v>
      </c>
      <c r="H19" s="29">
        <v>34500</v>
      </c>
      <c r="I19" s="29">
        <v>88000</v>
      </c>
      <c r="J19" s="29">
        <v>980</v>
      </c>
      <c r="L19" s="215"/>
      <c r="M19" s="18">
        <v>5</v>
      </c>
      <c r="N19" s="19">
        <v>2.5299999999999998</v>
      </c>
      <c r="O19" s="29">
        <v>4700</v>
      </c>
      <c r="P19" s="29">
        <v>17400</v>
      </c>
      <c r="Q19" s="29">
        <v>77000</v>
      </c>
      <c r="R19" s="30">
        <v>606</v>
      </c>
    </row>
    <row r="20" spans="2:19" ht="23.4" x14ac:dyDescent="0.3">
      <c r="B20" s="48"/>
      <c r="D20" s="215"/>
      <c r="E20" s="18">
        <v>10</v>
      </c>
      <c r="F20" s="19">
        <v>1.52</v>
      </c>
      <c r="G20" s="29">
        <v>3100</v>
      </c>
      <c r="H20" s="29">
        <v>14800</v>
      </c>
      <c r="I20" s="29">
        <v>81000</v>
      </c>
      <c r="J20" s="29">
        <v>600</v>
      </c>
      <c r="L20" s="215"/>
      <c r="M20" s="18">
        <v>10</v>
      </c>
      <c r="N20" s="19">
        <v>2.48</v>
      </c>
      <c r="O20" s="29">
        <v>161</v>
      </c>
      <c r="P20" s="29">
        <v>4480</v>
      </c>
      <c r="Q20" s="29">
        <v>31600</v>
      </c>
      <c r="R20" s="30">
        <v>206</v>
      </c>
    </row>
    <row r="21" spans="2:19" ht="23.4" x14ac:dyDescent="0.3">
      <c r="B21" s="48"/>
      <c r="D21" s="215"/>
      <c r="E21" s="18">
        <v>30</v>
      </c>
      <c r="F21" s="19">
        <v>1.4</v>
      </c>
      <c r="G21" s="29">
        <v>57</v>
      </c>
      <c r="H21" s="29">
        <v>1800</v>
      </c>
      <c r="I21" s="29">
        <v>11400</v>
      </c>
      <c r="J21" s="29">
        <v>109</v>
      </c>
      <c r="L21" s="215"/>
      <c r="M21" s="18">
        <v>30</v>
      </c>
      <c r="N21" s="19">
        <v>2.1</v>
      </c>
      <c r="O21" s="29">
        <v>60</v>
      </c>
      <c r="P21" s="29">
        <v>160</v>
      </c>
      <c r="Q21" s="29">
        <v>3380</v>
      </c>
      <c r="R21" s="30">
        <v>30</v>
      </c>
    </row>
    <row r="22" spans="2:19" ht="23.4" x14ac:dyDescent="0.3">
      <c r="B22" s="48"/>
      <c r="D22" s="215"/>
      <c r="E22" s="5"/>
      <c r="F22" s="5"/>
      <c r="G22" s="29"/>
      <c r="H22" s="29"/>
      <c r="I22" s="29"/>
      <c r="J22" s="29"/>
      <c r="L22" s="215"/>
      <c r="M22" s="5"/>
      <c r="N22" s="5"/>
      <c r="O22" s="29"/>
      <c r="P22" s="29"/>
      <c r="Q22" s="29"/>
      <c r="R22" s="30"/>
    </row>
    <row r="23" spans="2:19" ht="23.4" x14ac:dyDescent="0.3">
      <c r="B23" s="48"/>
      <c r="D23" s="53"/>
      <c r="E23" s="54"/>
      <c r="F23" s="54"/>
      <c r="G23" s="54"/>
      <c r="H23" s="54"/>
      <c r="I23" s="54"/>
      <c r="J23" s="54"/>
      <c r="M23" s="55"/>
      <c r="N23" s="56"/>
      <c r="R23" s="32"/>
    </row>
    <row r="24" spans="2:19" ht="23.4" x14ac:dyDescent="0.3">
      <c r="B24" s="48"/>
      <c r="D24" s="53"/>
      <c r="E24" s="54"/>
      <c r="F24" s="54"/>
      <c r="G24" s="54"/>
      <c r="H24" s="54"/>
      <c r="I24" s="54"/>
      <c r="J24" s="54"/>
      <c r="M24" s="55"/>
      <c r="N24" s="56"/>
      <c r="R24" s="32"/>
    </row>
    <row r="25" spans="2:19" ht="24" thickBot="1" x14ac:dyDescent="0.35">
      <c r="B25" s="49"/>
      <c r="C25" s="33"/>
      <c r="D25" s="34"/>
      <c r="E25" s="35"/>
      <c r="F25" s="35"/>
      <c r="G25" s="35"/>
      <c r="H25" s="35"/>
      <c r="I25" s="35"/>
      <c r="J25" s="35"/>
      <c r="K25" s="33"/>
      <c r="L25" s="33"/>
      <c r="M25" s="35"/>
      <c r="N25" s="35"/>
      <c r="O25" s="33"/>
      <c r="P25" s="33"/>
      <c r="Q25" s="33"/>
      <c r="R25" s="36"/>
    </row>
    <row r="26" spans="2:19" ht="24" thickBot="1" x14ac:dyDescent="0.35">
      <c r="B26" s="47"/>
      <c r="C26" s="24"/>
      <c r="D26" s="25"/>
      <c r="E26" s="24"/>
      <c r="F26" s="24"/>
      <c r="G26" s="24"/>
      <c r="H26" s="24"/>
      <c r="I26" s="24"/>
      <c r="J26" s="24"/>
      <c r="K26" s="24"/>
      <c r="L26" s="25"/>
      <c r="M26" s="24"/>
      <c r="N26" s="24"/>
      <c r="O26" s="24"/>
      <c r="P26" s="24"/>
      <c r="Q26" s="24"/>
      <c r="R26" s="26"/>
    </row>
    <row r="27" spans="2:19" ht="23.4" x14ac:dyDescent="0.3">
      <c r="B27" s="48"/>
      <c r="D27" s="27" t="s">
        <v>3</v>
      </c>
      <c r="E27" s="27" t="s">
        <v>4</v>
      </c>
      <c r="F27" s="27" t="s">
        <v>5</v>
      </c>
      <c r="G27" s="20" t="s">
        <v>6</v>
      </c>
      <c r="H27" s="20" t="s">
        <v>7</v>
      </c>
      <c r="I27" s="20" t="s">
        <v>8</v>
      </c>
      <c r="J27" s="110" t="s">
        <v>9</v>
      </c>
      <c r="K27" s="74" t="s">
        <v>14</v>
      </c>
      <c r="L27" s="27" t="s">
        <v>3</v>
      </c>
      <c r="M27" s="27" t="s">
        <v>4</v>
      </c>
      <c r="N27" s="27" t="s">
        <v>5</v>
      </c>
      <c r="O27" s="20" t="s">
        <v>6</v>
      </c>
      <c r="P27" s="20" t="s">
        <v>7</v>
      </c>
      <c r="Q27" s="20" t="s">
        <v>8</v>
      </c>
      <c r="R27" s="110" t="s">
        <v>9</v>
      </c>
      <c r="S27" s="74" t="s">
        <v>14</v>
      </c>
    </row>
    <row r="28" spans="2:19" ht="23.4" x14ac:dyDescent="0.3">
      <c r="B28" s="48"/>
      <c r="D28" s="215" t="s">
        <v>10</v>
      </c>
      <c r="E28" s="18">
        <v>0</v>
      </c>
      <c r="F28" s="19">
        <v>1.08</v>
      </c>
      <c r="G28" s="29">
        <v>14200</v>
      </c>
      <c r="H28" s="29">
        <v>50250</v>
      </c>
      <c r="I28" s="29">
        <v>156000</v>
      </c>
      <c r="J28" s="111">
        <v>1450</v>
      </c>
      <c r="K28" s="112"/>
      <c r="L28" s="215" t="s">
        <v>10</v>
      </c>
      <c r="M28" s="18">
        <v>0</v>
      </c>
      <c r="N28" s="19">
        <v>2.0299999999999998</v>
      </c>
      <c r="O28" s="29">
        <v>9400</v>
      </c>
      <c r="P28" s="29">
        <v>23000</v>
      </c>
      <c r="Q28" s="29">
        <v>168000</v>
      </c>
      <c r="R28" s="111">
        <v>1400</v>
      </c>
      <c r="S28" s="112"/>
    </row>
    <row r="29" spans="2:19" ht="23.4" x14ac:dyDescent="0.3">
      <c r="B29" s="48"/>
      <c r="D29" s="215"/>
      <c r="E29" s="18">
        <v>1</v>
      </c>
      <c r="F29" s="19">
        <v>0.38</v>
      </c>
      <c r="G29" s="29">
        <v>5800</v>
      </c>
      <c r="H29" s="29">
        <v>20000</v>
      </c>
      <c r="I29" s="29">
        <v>75000</v>
      </c>
      <c r="J29" s="111">
        <v>820</v>
      </c>
      <c r="K29" s="112"/>
      <c r="L29" s="215"/>
      <c r="M29" s="18">
        <v>1</v>
      </c>
      <c r="N29" s="19">
        <v>0.88</v>
      </c>
      <c r="O29" s="29">
        <v>570</v>
      </c>
      <c r="P29" s="29">
        <v>4000</v>
      </c>
      <c r="Q29" s="29">
        <v>12900</v>
      </c>
      <c r="R29" s="111">
        <v>210</v>
      </c>
      <c r="S29" s="112"/>
    </row>
    <row r="30" spans="2:19" ht="129" x14ac:dyDescent="0.3">
      <c r="B30" s="50" t="s">
        <v>15</v>
      </c>
      <c r="D30" s="215"/>
      <c r="E30" s="18">
        <v>3</v>
      </c>
      <c r="F30" s="19">
        <v>0.37</v>
      </c>
      <c r="G30" s="29">
        <v>5800</v>
      </c>
      <c r="H30" s="29">
        <v>23000</v>
      </c>
      <c r="I30" s="29">
        <v>70000</v>
      </c>
      <c r="J30" s="111">
        <v>675</v>
      </c>
      <c r="K30" s="112"/>
      <c r="L30" s="215"/>
      <c r="M30" s="18">
        <v>3</v>
      </c>
      <c r="N30" s="19">
        <v>0.83</v>
      </c>
      <c r="O30" s="29">
        <v>608</v>
      </c>
      <c r="P30" s="29">
        <v>2280</v>
      </c>
      <c r="Q30" s="29">
        <v>13000</v>
      </c>
      <c r="R30" s="111">
        <v>156</v>
      </c>
      <c r="S30" s="112"/>
    </row>
    <row r="31" spans="2:19" ht="23.4" x14ac:dyDescent="0.3">
      <c r="B31" s="48"/>
      <c r="D31" s="215"/>
      <c r="E31" s="18">
        <v>5</v>
      </c>
      <c r="F31" s="19">
        <v>0.39</v>
      </c>
      <c r="G31" s="29">
        <v>5350</v>
      </c>
      <c r="H31" s="29">
        <v>19800</v>
      </c>
      <c r="I31" s="29">
        <v>58500</v>
      </c>
      <c r="J31" s="111">
        <v>607</v>
      </c>
      <c r="K31" s="112"/>
      <c r="L31" s="215"/>
      <c r="M31" s="18">
        <v>5</v>
      </c>
      <c r="N31" s="19">
        <v>0.82</v>
      </c>
      <c r="O31" s="29">
        <v>476</v>
      </c>
      <c r="P31" s="29">
        <v>1560</v>
      </c>
      <c r="Q31" s="29">
        <v>8000</v>
      </c>
      <c r="R31" s="111">
        <v>152</v>
      </c>
      <c r="S31" s="112"/>
    </row>
    <row r="32" spans="2:19" ht="23.4" x14ac:dyDescent="0.3">
      <c r="B32" s="48"/>
      <c r="D32" s="215"/>
      <c r="E32" s="18">
        <v>10</v>
      </c>
      <c r="F32" s="19">
        <v>0.33</v>
      </c>
      <c r="G32" s="29">
        <v>6300</v>
      </c>
      <c r="H32" s="29">
        <v>15400</v>
      </c>
      <c r="I32" s="29">
        <v>68000</v>
      </c>
      <c r="J32" s="111">
        <v>452</v>
      </c>
      <c r="K32" s="5" t="s">
        <v>16</v>
      </c>
      <c r="L32" s="215"/>
      <c r="M32" s="18">
        <v>10</v>
      </c>
      <c r="N32" s="19">
        <v>0.79</v>
      </c>
      <c r="O32" s="29">
        <v>600</v>
      </c>
      <c r="P32" s="29">
        <v>5000</v>
      </c>
      <c r="Q32" s="29">
        <v>9200</v>
      </c>
      <c r="R32" s="111">
        <v>140</v>
      </c>
      <c r="S32" s="5" t="s">
        <v>16</v>
      </c>
    </row>
    <row r="33" spans="2:19" ht="23.4" x14ac:dyDescent="0.3">
      <c r="B33" s="48"/>
      <c r="D33" s="215"/>
      <c r="E33" s="18">
        <v>30</v>
      </c>
      <c r="F33" s="19">
        <v>0.3</v>
      </c>
      <c r="G33" s="29">
        <v>3500</v>
      </c>
      <c r="H33" s="29">
        <v>13600</v>
      </c>
      <c r="I33" s="29">
        <v>55000</v>
      </c>
      <c r="J33" s="111">
        <v>214</v>
      </c>
      <c r="K33" s="5" t="s">
        <v>16</v>
      </c>
      <c r="L33" s="215"/>
      <c r="M33" s="18">
        <v>30</v>
      </c>
      <c r="N33" s="18">
        <v>0.77</v>
      </c>
      <c r="O33" s="29">
        <v>73</v>
      </c>
      <c r="P33" s="29">
        <v>720</v>
      </c>
      <c r="Q33" s="29">
        <v>7300</v>
      </c>
      <c r="R33" s="111">
        <v>36</v>
      </c>
      <c r="S33" s="5" t="s">
        <v>16</v>
      </c>
    </row>
    <row r="34" spans="2:19" ht="23.4" x14ac:dyDescent="0.3">
      <c r="B34" s="48"/>
      <c r="D34" s="215"/>
      <c r="E34" s="5"/>
      <c r="F34" s="5"/>
      <c r="G34" s="29"/>
      <c r="H34" s="29"/>
      <c r="I34" s="29"/>
      <c r="J34" s="111"/>
      <c r="K34" s="112"/>
      <c r="L34" s="215"/>
      <c r="M34" s="5"/>
      <c r="N34" s="5"/>
      <c r="O34" s="29"/>
      <c r="P34" s="29"/>
      <c r="Q34" s="29"/>
      <c r="R34" s="111"/>
      <c r="S34" s="112"/>
    </row>
    <row r="35" spans="2:19" ht="23.4" x14ac:dyDescent="0.3">
      <c r="B35" s="48"/>
      <c r="D35" s="53"/>
      <c r="E35" s="54"/>
      <c r="F35" s="54"/>
      <c r="G35" s="54"/>
      <c r="H35" s="54"/>
      <c r="I35" s="54"/>
      <c r="J35" s="54"/>
      <c r="M35" s="55"/>
      <c r="N35" s="56"/>
      <c r="R35" s="32"/>
    </row>
    <row r="36" spans="2:19" ht="15" customHeight="1" x14ac:dyDescent="0.3">
      <c r="B36" s="48"/>
      <c r="D36" s="53"/>
      <c r="E36" s="54"/>
      <c r="F36" s="54"/>
      <c r="G36" s="54"/>
      <c r="H36" s="54"/>
      <c r="I36" s="54"/>
      <c r="J36" s="54"/>
      <c r="M36" s="55"/>
      <c r="N36" s="56"/>
      <c r="R36" s="32"/>
    </row>
    <row r="37" spans="2:19" ht="24" thickBot="1" x14ac:dyDescent="0.35">
      <c r="B37" s="49"/>
      <c r="C37" s="33"/>
      <c r="D37" s="34"/>
      <c r="E37" s="35"/>
      <c r="F37" s="35"/>
      <c r="G37" s="35"/>
      <c r="H37" s="35"/>
      <c r="I37" s="35"/>
      <c r="J37" s="35"/>
      <c r="K37" s="33"/>
      <c r="L37" s="33"/>
      <c r="M37" s="35"/>
      <c r="N37" s="35"/>
      <c r="O37" s="33"/>
      <c r="P37" s="33"/>
      <c r="Q37" s="33"/>
      <c r="R37" s="36"/>
    </row>
    <row r="38" spans="2:19" ht="24" thickBot="1" x14ac:dyDescent="0.35">
      <c r="B38" s="47"/>
      <c r="C38" s="24"/>
      <c r="D38" s="25"/>
      <c r="E38" s="24"/>
      <c r="F38" s="24"/>
      <c r="G38" s="24"/>
      <c r="H38" s="24"/>
      <c r="I38" s="24"/>
      <c r="J38" s="24"/>
      <c r="K38" s="24"/>
      <c r="L38" s="25"/>
      <c r="M38" s="24"/>
      <c r="N38" s="24"/>
      <c r="O38" s="24"/>
      <c r="P38" s="24"/>
      <c r="Q38" s="24"/>
      <c r="R38" s="26"/>
    </row>
    <row r="39" spans="2:19" ht="15" customHeight="1" x14ac:dyDescent="0.3">
      <c r="B39" s="48"/>
      <c r="D39" s="27" t="s">
        <v>3</v>
      </c>
      <c r="E39" s="27" t="s">
        <v>4</v>
      </c>
      <c r="F39" s="27" t="s">
        <v>5</v>
      </c>
      <c r="G39" s="20" t="s">
        <v>6</v>
      </c>
      <c r="H39" s="20" t="s">
        <v>7</v>
      </c>
      <c r="I39" s="20" t="s">
        <v>8</v>
      </c>
      <c r="J39" s="20" t="s">
        <v>9</v>
      </c>
      <c r="L39" s="27" t="s">
        <v>3</v>
      </c>
      <c r="M39" s="27" t="s">
        <v>4</v>
      </c>
      <c r="N39" s="27" t="s">
        <v>5</v>
      </c>
      <c r="O39" s="20" t="s">
        <v>6</v>
      </c>
      <c r="P39" s="20" t="s">
        <v>7</v>
      </c>
      <c r="Q39" s="20" t="s">
        <v>8</v>
      </c>
      <c r="R39" s="21" t="s">
        <v>9</v>
      </c>
    </row>
    <row r="40" spans="2:19" ht="23.4" x14ac:dyDescent="0.3">
      <c r="B40" s="48"/>
      <c r="D40" s="215" t="s">
        <v>10</v>
      </c>
      <c r="E40" s="18">
        <v>0</v>
      </c>
      <c r="F40" s="37">
        <v>1.08</v>
      </c>
      <c r="G40" s="29">
        <v>14200</v>
      </c>
      <c r="H40" s="29">
        <v>50250</v>
      </c>
      <c r="I40" s="29">
        <v>156000</v>
      </c>
      <c r="J40" s="29">
        <v>1450</v>
      </c>
      <c r="L40" s="215" t="s">
        <v>10</v>
      </c>
      <c r="M40" s="18">
        <v>0</v>
      </c>
      <c r="N40" s="38">
        <v>2.0299999999999998</v>
      </c>
      <c r="O40" s="29">
        <v>9400</v>
      </c>
      <c r="P40" s="29">
        <v>23000</v>
      </c>
      <c r="Q40" s="29">
        <v>168000</v>
      </c>
      <c r="R40" s="30">
        <v>1400</v>
      </c>
    </row>
    <row r="41" spans="2:19" ht="23.4" x14ac:dyDescent="0.3">
      <c r="B41" s="48"/>
      <c r="D41" s="215"/>
      <c r="E41" s="18">
        <v>1</v>
      </c>
      <c r="F41" s="38">
        <v>0.03</v>
      </c>
      <c r="G41" s="29">
        <v>5800</v>
      </c>
      <c r="H41" s="29">
        <v>20000</v>
      </c>
      <c r="I41" s="29">
        <v>75000</v>
      </c>
      <c r="J41" s="29">
        <v>820</v>
      </c>
      <c r="L41" s="215"/>
      <c r="M41" s="18">
        <v>1</v>
      </c>
      <c r="N41" s="38">
        <v>0.06</v>
      </c>
      <c r="O41" s="29">
        <v>570</v>
      </c>
      <c r="P41" s="29">
        <v>4000</v>
      </c>
      <c r="Q41" s="29">
        <v>12900</v>
      </c>
      <c r="R41" s="30">
        <v>210</v>
      </c>
    </row>
    <row r="42" spans="2:19" ht="103.2" x14ac:dyDescent="0.3">
      <c r="B42" s="50" t="s">
        <v>17</v>
      </c>
      <c r="D42" s="215"/>
      <c r="E42" s="18">
        <v>3</v>
      </c>
      <c r="F42" s="38">
        <v>0.03</v>
      </c>
      <c r="G42" s="29">
        <v>5800</v>
      </c>
      <c r="H42" s="29">
        <v>23000</v>
      </c>
      <c r="I42" s="29">
        <v>70000</v>
      </c>
      <c r="J42" s="29">
        <v>675</v>
      </c>
      <c r="L42" s="215"/>
      <c r="M42" s="18">
        <v>3</v>
      </c>
      <c r="N42" s="38">
        <v>0.05</v>
      </c>
      <c r="O42" s="29">
        <v>608</v>
      </c>
      <c r="P42" s="29">
        <v>2280</v>
      </c>
      <c r="Q42" s="29">
        <v>13000</v>
      </c>
      <c r="R42" s="30">
        <v>156</v>
      </c>
    </row>
    <row r="43" spans="2:19" ht="23.4" x14ac:dyDescent="0.3">
      <c r="B43" s="48"/>
      <c r="D43" s="215"/>
      <c r="E43" s="18">
        <v>5</v>
      </c>
      <c r="F43" s="38">
        <v>0.17</v>
      </c>
      <c r="G43" s="29">
        <v>5350</v>
      </c>
      <c r="H43" s="29">
        <v>19800</v>
      </c>
      <c r="I43" s="29">
        <v>58500</v>
      </c>
      <c r="J43" s="29">
        <v>607</v>
      </c>
      <c r="L43" s="215"/>
      <c r="M43" s="18">
        <v>5</v>
      </c>
      <c r="N43" s="38">
        <v>0.05</v>
      </c>
      <c r="O43" s="29">
        <v>476</v>
      </c>
      <c r="P43" s="29">
        <v>1560</v>
      </c>
      <c r="Q43" s="29">
        <v>8000</v>
      </c>
      <c r="R43" s="30">
        <v>152</v>
      </c>
    </row>
    <row r="44" spans="2:19" ht="23.4" x14ac:dyDescent="0.3">
      <c r="B44" s="48"/>
      <c r="D44" s="215"/>
      <c r="E44" s="18">
        <v>10</v>
      </c>
      <c r="F44" s="38">
        <v>0.01</v>
      </c>
      <c r="G44" s="29">
        <v>6300</v>
      </c>
      <c r="H44" s="29">
        <v>15400</v>
      </c>
      <c r="I44" s="29">
        <v>68000</v>
      </c>
      <c r="J44" s="29">
        <v>452</v>
      </c>
      <c r="L44" s="215"/>
      <c r="M44" s="18">
        <v>10</v>
      </c>
      <c r="N44" s="38">
        <v>0.06</v>
      </c>
      <c r="O44" s="29">
        <v>600</v>
      </c>
      <c r="P44" s="29">
        <v>5000</v>
      </c>
      <c r="Q44" s="29">
        <v>9200</v>
      </c>
      <c r="R44" s="30">
        <v>140</v>
      </c>
    </row>
    <row r="45" spans="2:19" ht="24" thickBot="1" x14ac:dyDescent="0.35">
      <c r="B45" s="48"/>
      <c r="D45" s="215"/>
      <c r="E45" s="18">
        <v>30</v>
      </c>
      <c r="F45" s="38">
        <v>0.01</v>
      </c>
      <c r="G45" s="29">
        <v>3500</v>
      </c>
      <c r="H45" s="29">
        <v>13600</v>
      </c>
      <c r="I45" s="29">
        <v>55000</v>
      </c>
      <c r="J45" s="29">
        <v>214</v>
      </c>
      <c r="L45" s="215"/>
      <c r="M45" s="18">
        <v>30</v>
      </c>
      <c r="N45" s="39">
        <v>0.05</v>
      </c>
      <c r="O45" s="29">
        <v>73</v>
      </c>
      <c r="P45" s="29">
        <v>720</v>
      </c>
      <c r="Q45" s="29">
        <v>7300</v>
      </c>
      <c r="R45" s="30">
        <v>36</v>
      </c>
    </row>
    <row r="46" spans="2:19" ht="23.4" x14ac:dyDescent="0.3">
      <c r="B46" s="48"/>
      <c r="D46" s="215"/>
      <c r="E46" s="5"/>
      <c r="F46" s="5"/>
      <c r="G46" s="29"/>
      <c r="H46" s="29"/>
      <c r="I46" s="29"/>
      <c r="J46" s="29"/>
      <c r="L46" s="215"/>
      <c r="M46" s="5"/>
      <c r="N46" s="5"/>
      <c r="O46" s="29"/>
      <c r="P46" s="29"/>
      <c r="Q46" s="29"/>
      <c r="R46" s="30"/>
    </row>
    <row r="47" spans="2:19" ht="23.4" x14ac:dyDescent="0.3">
      <c r="B47" s="48"/>
      <c r="D47" s="54"/>
      <c r="E47" s="55"/>
      <c r="F47" s="55"/>
      <c r="G47" s="57"/>
      <c r="H47" s="57"/>
      <c r="I47" s="57"/>
      <c r="J47" s="57"/>
      <c r="L47" s="54"/>
      <c r="M47" s="55"/>
      <c r="N47" s="55"/>
      <c r="O47" s="57"/>
      <c r="P47" s="57"/>
      <c r="Q47" s="57"/>
      <c r="R47" s="31"/>
    </row>
    <row r="48" spans="2:19" ht="23.4" x14ac:dyDescent="0.3">
      <c r="B48" s="48"/>
      <c r="R48" s="32"/>
    </row>
    <row r="49" spans="2:18" ht="24" thickBot="1" x14ac:dyDescent="0.35">
      <c r="B49" s="49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6"/>
    </row>
    <row r="52" spans="2:18" ht="15" customHeight="1" x14ac:dyDescent="0.3"/>
    <row r="55" spans="2:18" ht="14.7" customHeight="1" x14ac:dyDescent="0.3"/>
    <row r="56" spans="2:18" ht="14.25" customHeight="1" x14ac:dyDescent="0.3"/>
    <row r="57" spans="2:18" ht="14.25" customHeight="1" x14ac:dyDescent="0.3"/>
    <row r="58" spans="2:18" ht="14.25" customHeight="1" x14ac:dyDescent="0.3"/>
    <row r="59" spans="2:18" ht="14.25" customHeight="1" x14ac:dyDescent="0.3"/>
    <row r="60" spans="2:18" ht="14.25" customHeight="1" x14ac:dyDescent="0.3"/>
    <row r="61" spans="2:18" ht="14.25" customHeight="1" x14ac:dyDescent="0.3"/>
    <row r="62" spans="2:18" ht="14.25" customHeight="1" x14ac:dyDescent="0.3"/>
    <row r="63" spans="2:18" ht="14.25" customHeight="1" x14ac:dyDescent="0.3"/>
    <row r="64" spans="2:1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7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spans="2:3" ht="14.25" customHeight="1" x14ac:dyDescent="0.3"/>
    <row r="98" spans="2:3" ht="14.25" customHeight="1" x14ac:dyDescent="0.3"/>
    <row r="99" spans="2:3" ht="14.25" customHeight="1" x14ac:dyDescent="0.3"/>
    <row r="100" spans="2:3" ht="14.25" customHeight="1" x14ac:dyDescent="0.3"/>
    <row r="101" spans="2:3" ht="14.25" customHeight="1" x14ac:dyDescent="0.3"/>
    <row r="102" spans="2:3" ht="14.25" customHeight="1" x14ac:dyDescent="0.3"/>
    <row r="103" spans="2:3" ht="14.25" customHeight="1" x14ac:dyDescent="0.3"/>
    <row r="104" spans="2:3" ht="14.25" customHeight="1" x14ac:dyDescent="0.3"/>
    <row r="105" spans="2:3" ht="14.25" customHeight="1" x14ac:dyDescent="0.3"/>
    <row r="106" spans="2:3" ht="14.25" customHeight="1" x14ac:dyDescent="0.3"/>
    <row r="107" spans="2:3" ht="14.7" customHeight="1" thickBot="1" x14ac:dyDescent="0.35"/>
    <row r="108" spans="2:3" ht="14.7" customHeight="1" x14ac:dyDescent="0.3">
      <c r="B108" s="216" t="s">
        <v>18</v>
      </c>
      <c r="C108" s="24"/>
    </row>
    <row r="109" spans="2:3" x14ac:dyDescent="0.3">
      <c r="B109" s="217"/>
    </row>
    <row r="110" spans="2:3" x14ac:dyDescent="0.3">
      <c r="B110" s="217"/>
    </row>
    <row r="111" spans="2:3" x14ac:dyDescent="0.3">
      <c r="B111" s="217"/>
    </row>
    <row r="112" spans="2:3" x14ac:dyDescent="0.3">
      <c r="B112" s="217"/>
    </row>
    <row r="113" spans="2:2" x14ac:dyDescent="0.3">
      <c r="B113" s="217"/>
    </row>
    <row r="114" spans="2:2" x14ac:dyDescent="0.3">
      <c r="B114" s="217"/>
    </row>
    <row r="115" spans="2:2" x14ac:dyDescent="0.3">
      <c r="B115" s="217"/>
    </row>
    <row r="116" spans="2:2" x14ac:dyDescent="0.3">
      <c r="B116" s="217"/>
    </row>
    <row r="117" spans="2:2" x14ac:dyDescent="0.3">
      <c r="B117" s="217"/>
    </row>
    <row r="118" spans="2:2" x14ac:dyDescent="0.3">
      <c r="B118" s="217"/>
    </row>
    <row r="119" spans="2:2" x14ac:dyDescent="0.3">
      <c r="B119" s="217"/>
    </row>
    <row r="120" spans="2:2" x14ac:dyDescent="0.3">
      <c r="B120" s="217"/>
    </row>
    <row r="121" spans="2:2" x14ac:dyDescent="0.3">
      <c r="B121" s="217"/>
    </row>
    <row r="122" spans="2:2" x14ac:dyDescent="0.3">
      <c r="B122" s="217"/>
    </row>
    <row r="123" spans="2:2" ht="14.25" customHeight="1" x14ac:dyDescent="0.3">
      <c r="B123" s="217"/>
    </row>
    <row r="124" spans="2:2" x14ac:dyDescent="0.3">
      <c r="B124" s="217"/>
    </row>
    <row r="125" spans="2:2" ht="14.25" customHeight="1" x14ac:dyDescent="0.3">
      <c r="B125" s="217"/>
    </row>
    <row r="126" spans="2:2" x14ac:dyDescent="0.3">
      <c r="B126" s="217"/>
    </row>
    <row r="127" spans="2:2" x14ac:dyDescent="0.3">
      <c r="B127" s="217"/>
    </row>
    <row r="128" spans="2:2" x14ac:dyDescent="0.3">
      <c r="B128" s="217"/>
    </row>
    <row r="129" spans="2:2" x14ac:dyDescent="0.3">
      <c r="B129" s="217"/>
    </row>
    <row r="130" spans="2:2" x14ac:dyDescent="0.3">
      <c r="B130" s="217"/>
    </row>
    <row r="131" spans="2:2" x14ac:dyDescent="0.3">
      <c r="B131" s="217"/>
    </row>
    <row r="132" spans="2:2" x14ac:dyDescent="0.3">
      <c r="B132" s="217"/>
    </row>
    <row r="133" spans="2:2" x14ac:dyDescent="0.3">
      <c r="B133" s="217"/>
    </row>
    <row r="134" spans="2:2" x14ac:dyDescent="0.3">
      <c r="B134" s="217"/>
    </row>
    <row r="135" spans="2:2" x14ac:dyDescent="0.3">
      <c r="B135" s="217"/>
    </row>
    <row r="136" spans="2:2" x14ac:dyDescent="0.3">
      <c r="B136" s="217"/>
    </row>
    <row r="137" spans="2:2" x14ac:dyDescent="0.3">
      <c r="B137" s="217"/>
    </row>
    <row r="138" spans="2:2" x14ac:dyDescent="0.3">
      <c r="B138" s="217"/>
    </row>
    <row r="139" spans="2:2" x14ac:dyDescent="0.3">
      <c r="B139" s="217"/>
    </row>
    <row r="140" spans="2:2" x14ac:dyDescent="0.3">
      <c r="B140" s="217"/>
    </row>
    <row r="141" spans="2:2" x14ac:dyDescent="0.3">
      <c r="B141" s="217"/>
    </row>
    <row r="142" spans="2:2" x14ac:dyDescent="0.3">
      <c r="B142" s="217"/>
    </row>
    <row r="143" spans="2:2" x14ac:dyDescent="0.3">
      <c r="B143" s="217"/>
    </row>
    <row r="144" spans="2:2" x14ac:dyDescent="0.3">
      <c r="B144" s="217"/>
    </row>
    <row r="145" spans="2:3" x14ac:dyDescent="0.3">
      <c r="B145" s="217"/>
    </row>
    <row r="146" spans="2:3" x14ac:dyDescent="0.3">
      <c r="B146" s="217"/>
    </row>
    <row r="147" spans="2:3" x14ac:dyDescent="0.3">
      <c r="B147" s="217"/>
    </row>
    <row r="148" spans="2:3" x14ac:dyDescent="0.3">
      <c r="B148" s="217"/>
    </row>
    <row r="149" spans="2:3" x14ac:dyDescent="0.3">
      <c r="B149" s="217"/>
    </row>
    <row r="150" spans="2:3" x14ac:dyDescent="0.3">
      <c r="B150" s="217"/>
    </row>
    <row r="151" spans="2:3" x14ac:dyDescent="0.3">
      <c r="B151" s="217"/>
    </row>
    <row r="152" spans="2:3" x14ac:dyDescent="0.3">
      <c r="B152" s="217"/>
    </row>
    <row r="153" spans="2:3" x14ac:dyDescent="0.3">
      <c r="B153" s="217"/>
    </row>
    <row r="154" spans="2:3" x14ac:dyDescent="0.3">
      <c r="B154" s="217"/>
    </row>
    <row r="155" spans="2:3" x14ac:dyDescent="0.3">
      <c r="B155" s="217"/>
    </row>
    <row r="156" spans="2:3" x14ac:dyDescent="0.3">
      <c r="B156" s="217"/>
    </row>
    <row r="157" spans="2:3" x14ac:dyDescent="0.3">
      <c r="B157" s="217"/>
    </row>
    <row r="158" spans="2:3" x14ac:dyDescent="0.3">
      <c r="B158" s="217"/>
    </row>
    <row r="159" spans="2:3" x14ac:dyDescent="0.3">
      <c r="B159" s="217"/>
    </row>
    <row r="160" spans="2:3" ht="15" thickBot="1" x14ac:dyDescent="0.35">
      <c r="B160" s="218"/>
      <c r="C160" s="33"/>
    </row>
    <row r="161" spans="2:3" ht="14.7" customHeight="1" x14ac:dyDescent="0.3">
      <c r="B161" s="216" t="s">
        <v>18</v>
      </c>
      <c r="C161" s="24"/>
    </row>
    <row r="162" spans="2:3" x14ac:dyDescent="0.3">
      <c r="B162" s="217"/>
    </row>
    <row r="163" spans="2:3" x14ac:dyDescent="0.3">
      <c r="B163" s="217"/>
    </row>
    <row r="164" spans="2:3" x14ac:dyDescent="0.3">
      <c r="B164" s="217"/>
    </row>
    <row r="165" spans="2:3" x14ac:dyDescent="0.3">
      <c r="B165" s="217"/>
    </row>
    <row r="166" spans="2:3" x14ac:dyDescent="0.3">
      <c r="B166" s="217"/>
    </row>
    <row r="167" spans="2:3" x14ac:dyDescent="0.3">
      <c r="B167" s="217"/>
    </row>
    <row r="168" spans="2:3" x14ac:dyDescent="0.3">
      <c r="B168" s="217"/>
    </row>
    <row r="169" spans="2:3" x14ac:dyDescent="0.3">
      <c r="B169" s="217"/>
    </row>
    <row r="170" spans="2:3" x14ac:dyDescent="0.3">
      <c r="B170" s="217"/>
    </row>
    <row r="171" spans="2:3" x14ac:dyDescent="0.3">
      <c r="B171" s="217"/>
    </row>
    <row r="172" spans="2:3" x14ac:dyDescent="0.3">
      <c r="B172" s="217"/>
    </row>
    <row r="173" spans="2:3" x14ac:dyDescent="0.3">
      <c r="B173" s="217"/>
    </row>
    <row r="174" spans="2:3" x14ac:dyDescent="0.3">
      <c r="B174" s="217"/>
    </row>
    <row r="175" spans="2:3" x14ac:dyDescent="0.3">
      <c r="B175" s="217"/>
    </row>
    <row r="176" spans="2:3" ht="14.25" customHeight="1" x14ac:dyDescent="0.3">
      <c r="B176" s="217"/>
    </row>
    <row r="177" spans="2:2" x14ac:dyDescent="0.3">
      <c r="B177" s="217"/>
    </row>
    <row r="178" spans="2:2" ht="14.25" customHeight="1" x14ac:dyDescent="0.3">
      <c r="B178" s="217"/>
    </row>
    <row r="179" spans="2:2" x14ac:dyDescent="0.3">
      <c r="B179" s="217"/>
    </row>
    <row r="180" spans="2:2" x14ac:dyDescent="0.3">
      <c r="B180" s="217"/>
    </row>
    <row r="181" spans="2:2" x14ac:dyDescent="0.3">
      <c r="B181" s="217"/>
    </row>
    <row r="182" spans="2:2" x14ac:dyDescent="0.3">
      <c r="B182" s="217"/>
    </row>
    <row r="183" spans="2:2" x14ac:dyDescent="0.3">
      <c r="B183" s="217"/>
    </row>
    <row r="184" spans="2:2" x14ac:dyDescent="0.3">
      <c r="B184" s="217"/>
    </row>
    <row r="185" spans="2:2" x14ac:dyDescent="0.3">
      <c r="B185" s="217"/>
    </row>
    <row r="186" spans="2:2" x14ac:dyDescent="0.3">
      <c r="B186" s="217"/>
    </row>
    <row r="187" spans="2:2" x14ac:dyDescent="0.3">
      <c r="B187" s="217"/>
    </row>
    <row r="188" spans="2:2" x14ac:dyDescent="0.3">
      <c r="B188" s="217"/>
    </row>
    <row r="189" spans="2:2" x14ac:dyDescent="0.3">
      <c r="B189" s="217"/>
    </row>
    <row r="190" spans="2:2" x14ac:dyDescent="0.3">
      <c r="B190" s="217"/>
    </row>
    <row r="191" spans="2:2" x14ac:dyDescent="0.3">
      <c r="B191" s="217"/>
    </row>
    <row r="192" spans="2:2" x14ac:dyDescent="0.3">
      <c r="B192" s="217"/>
    </row>
    <row r="193" spans="2:2" x14ac:dyDescent="0.3">
      <c r="B193" s="217"/>
    </row>
    <row r="194" spans="2:2" x14ac:dyDescent="0.3">
      <c r="B194" s="217"/>
    </row>
    <row r="195" spans="2:2" x14ac:dyDescent="0.3">
      <c r="B195" s="217"/>
    </row>
    <row r="196" spans="2:2" x14ac:dyDescent="0.3">
      <c r="B196" s="217"/>
    </row>
    <row r="197" spans="2:2" x14ac:dyDescent="0.3">
      <c r="B197" s="217"/>
    </row>
    <row r="198" spans="2:2" x14ac:dyDescent="0.3">
      <c r="B198" s="217"/>
    </row>
    <row r="199" spans="2:2" x14ac:dyDescent="0.3">
      <c r="B199" s="217"/>
    </row>
    <row r="200" spans="2:2" x14ac:dyDescent="0.3">
      <c r="B200" s="217"/>
    </row>
    <row r="201" spans="2:2" x14ac:dyDescent="0.3">
      <c r="B201" s="217"/>
    </row>
    <row r="202" spans="2:2" x14ac:dyDescent="0.3">
      <c r="B202" s="217"/>
    </row>
    <row r="203" spans="2:2" x14ac:dyDescent="0.3">
      <c r="B203" s="217"/>
    </row>
    <row r="204" spans="2:2" x14ac:dyDescent="0.3">
      <c r="B204" s="217"/>
    </row>
    <row r="205" spans="2:2" x14ac:dyDescent="0.3">
      <c r="B205" s="217"/>
    </row>
    <row r="206" spans="2:2" x14ac:dyDescent="0.3">
      <c r="B206" s="217"/>
    </row>
    <row r="207" spans="2:2" x14ac:dyDescent="0.3">
      <c r="B207" s="217"/>
    </row>
    <row r="208" spans="2:2" x14ac:dyDescent="0.3">
      <c r="B208" s="217"/>
    </row>
    <row r="209" spans="2:3" x14ac:dyDescent="0.3">
      <c r="B209" s="217"/>
    </row>
    <row r="210" spans="2:3" x14ac:dyDescent="0.3">
      <c r="B210" s="217"/>
    </row>
    <row r="211" spans="2:3" x14ac:dyDescent="0.3">
      <c r="B211" s="217"/>
    </row>
    <row r="212" spans="2:3" x14ac:dyDescent="0.3">
      <c r="B212" s="217"/>
    </row>
    <row r="213" spans="2:3" ht="15" thickBot="1" x14ac:dyDescent="0.35">
      <c r="B213" s="218"/>
      <c r="C213" s="33"/>
    </row>
  </sheetData>
  <mergeCells count="10">
    <mergeCell ref="D40:D46"/>
    <mergeCell ref="L40:L46"/>
    <mergeCell ref="B108:B160"/>
    <mergeCell ref="B161:B213"/>
    <mergeCell ref="D4:D10"/>
    <mergeCell ref="L4:L10"/>
    <mergeCell ref="D16:D22"/>
    <mergeCell ref="L16:L22"/>
    <mergeCell ref="D28:D34"/>
    <mergeCell ref="L28:L3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8"/>
  <sheetViews>
    <sheetView zoomScale="80" zoomScaleNormal="80" workbookViewId="0">
      <selection activeCell="V16" sqref="V16:W16"/>
    </sheetView>
  </sheetViews>
  <sheetFormatPr defaultColWidth="10.6640625" defaultRowHeight="14.4" x14ac:dyDescent="0.3"/>
  <cols>
    <col min="1" max="10" width="10.6640625" style="2"/>
    <col min="11" max="11" width="23" style="2" bestFit="1" customWidth="1"/>
    <col min="12" max="18" width="10.6640625" style="2"/>
    <col min="19" max="19" width="23" style="2" bestFit="1" customWidth="1"/>
    <col min="20" max="16384" width="10.6640625" style="2"/>
  </cols>
  <sheetData>
    <row r="1" spans="1:24" ht="26.4" thickBot="1" x14ac:dyDescent="0.55000000000000004">
      <c r="A1" s="51" t="s">
        <v>0</v>
      </c>
    </row>
    <row r="2" spans="1:24" ht="26.4" thickBot="1" x14ac:dyDescent="0.55000000000000004">
      <c r="A2" s="51" t="s">
        <v>19</v>
      </c>
      <c r="B2" s="47"/>
      <c r="C2" s="6"/>
      <c r="D2" s="7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8"/>
    </row>
    <row r="3" spans="1:24" ht="25.8" x14ac:dyDescent="0.5">
      <c r="A3" s="51" t="s">
        <v>2</v>
      </c>
      <c r="B3" s="48"/>
      <c r="D3" s="3" t="s">
        <v>3</v>
      </c>
      <c r="E3" s="3" t="s">
        <v>4</v>
      </c>
      <c r="F3" s="27" t="s">
        <v>5</v>
      </c>
      <c r="G3" s="74" t="s">
        <v>6</v>
      </c>
      <c r="H3" s="74" t="s">
        <v>7</v>
      </c>
      <c r="I3" s="74" t="s">
        <v>8</v>
      </c>
      <c r="J3" s="74" t="s">
        <v>20</v>
      </c>
      <c r="L3" s="3" t="s">
        <v>3</v>
      </c>
      <c r="M3" s="3" t="s">
        <v>4</v>
      </c>
      <c r="N3" s="27" t="s">
        <v>5</v>
      </c>
      <c r="O3" s="20" t="s">
        <v>6</v>
      </c>
      <c r="P3" s="20" t="s">
        <v>7</v>
      </c>
      <c r="Q3" s="20" t="s">
        <v>8</v>
      </c>
      <c r="R3" s="21" t="s">
        <v>20</v>
      </c>
      <c r="T3" s="1"/>
      <c r="V3" s="1"/>
      <c r="X3" s="1"/>
    </row>
    <row r="4" spans="1:24" ht="25.8" x14ac:dyDescent="0.5">
      <c r="A4" s="52">
        <v>45258</v>
      </c>
      <c r="B4" s="48"/>
      <c r="D4" s="214" t="s">
        <v>21</v>
      </c>
      <c r="E4" s="18">
        <v>0</v>
      </c>
      <c r="F4" s="19">
        <v>0.93149999999999999</v>
      </c>
      <c r="G4" s="40">
        <v>56</v>
      </c>
      <c r="H4" s="41">
        <v>132</v>
      </c>
      <c r="I4" s="41">
        <v>860</v>
      </c>
      <c r="J4" s="41">
        <v>108</v>
      </c>
      <c r="L4" s="214" t="s">
        <v>21</v>
      </c>
      <c r="M4" s="18">
        <v>0</v>
      </c>
      <c r="N4" s="19">
        <v>1.863</v>
      </c>
      <c r="O4" s="42">
        <v>48</v>
      </c>
      <c r="P4" s="43">
        <v>152</v>
      </c>
      <c r="Q4" s="43">
        <v>910</v>
      </c>
      <c r="R4" s="43">
        <v>80</v>
      </c>
      <c r="T4" s="1"/>
      <c r="V4" s="1"/>
    </row>
    <row r="5" spans="1:24" ht="23.4" x14ac:dyDescent="0.3">
      <c r="B5" s="48"/>
      <c r="D5" s="214"/>
      <c r="E5" s="18">
        <v>1</v>
      </c>
      <c r="F5" s="19">
        <v>0.72495000000000009</v>
      </c>
      <c r="G5" s="42">
        <v>12</v>
      </c>
      <c r="H5" s="43">
        <v>36</v>
      </c>
      <c r="I5" s="43">
        <v>490</v>
      </c>
      <c r="J5" s="43">
        <v>80</v>
      </c>
      <c r="L5" s="214"/>
      <c r="M5" s="18">
        <v>1</v>
      </c>
      <c r="N5" s="19">
        <v>1.7091000000000003</v>
      </c>
      <c r="O5" s="42" t="s">
        <v>22</v>
      </c>
      <c r="P5" s="43">
        <v>8</v>
      </c>
      <c r="Q5" s="43">
        <v>120</v>
      </c>
      <c r="R5" s="43">
        <v>42</v>
      </c>
    </row>
    <row r="6" spans="1:24" ht="25.8" x14ac:dyDescent="0.5">
      <c r="A6" s="51" t="s">
        <v>23</v>
      </c>
      <c r="B6" s="48"/>
      <c r="D6" s="214"/>
      <c r="E6" s="18">
        <v>3</v>
      </c>
      <c r="F6" s="19">
        <v>0.6885</v>
      </c>
      <c r="G6" s="42" t="s">
        <v>22</v>
      </c>
      <c r="H6" s="43">
        <v>16</v>
      </c>
      <c r="I6" s="43">
        <v>120</v>
      </c>
      <c r="J6" s="43">
        <v>40</v>
      </c>
      <c r="L6" s="214"/>
      <c r="M6" s="18">
        <v>3</v>
      </c>
      <c r="N6" s="19">
        <v>1.6604999999999999</v>
      </c>
      <c r="O6" s="42" t="s">
        <v>22</v>
      </c>
      <c r="P6" s="43">
        <v>4</v>
      </c>
      <c r="Q6" s="43" t="s">
        <v>22</v>
      </c>
      <c r="R6" s="43" t="s">
        <v>22</v>
      </c>
    </row>
    <row r="7" spans="1:24" ht="25.8" x14ac:dyDescent="0.3">
      <c r="B7" s="50" t="s">
        <v>12</v>
      </c>
      <c r="D7" s="214"/>
      <c r="E7" s="18">
        <v>5</v>
      </c>
      <c r="F7" s="19">
        <v>0.65205000000000013</v>
      </c>
      <c r="G7" s="42" t="s">
        <v>22</v>
      </c>
      <c r="H7" s="43" t="s">
        <v>22</v>
      </c>
      <c r="I7" s="43">
        <v>8</v>
      </c>
      <c r="J7" s="43">
        <v>10</v>
      </c>
      <c r="L7" s="214"/>
      <c r="M7" s="18">
        <v>5</v>
      </c>
      <c r="N7" s="19">
        <v>1.6524000000000001</v>
      </c>
      <c r="O7" s="42" t="s">
        <v>22</v>
      </c>
      <c r="P7" s="43" t="s">
        <v>22</v>
      </c>
      <c r="Q7" s="43" t="s">
        <v>22</v>
      </c>
      <c r="R7" s="43" t="s">
        <v>22</v>
      </c>
    </row>
    <row r="8" spans="1:24" ht="23.4" x14ac:dyDescent="0.3">
      <c r="B8" s="48"/>
      <c r="D8" s="214"/>
      <c r="E8" s="18">
        <v>10</v>
      </c>
      <c r="F8" s="19">
        <v>0.58320000000000005</v>
      </c>
      <c r="G8" s="42" t="s">
        <v>24</v>
      </c>
      <c r="H8" s="43" t="s">
        <v>24</v>
      </c>
      <c r="I8" s="43">
        <v>1</v>
      </c>
      <c r="J8" s="43">
        <v>1</v>
      </c>
      <c r="L8" s="214"/>
      <c r="M8" s="18">
        <v>10</v>
      </c>
      <c r="N8" s="19">
        <v>1.5794999999999999</v>
      </c>
      <c r="O8" s="42" t="s">
        <v>24</v>
      </c>
      <c r="P8" s="43" t="s">
        <v>24</v>
      </c>
      <c r="Q8" s="43">
        <v>1</v>
      </c>
      <c r="R8" s="43" t="s">
        <v>24</v>
      </c>
    </row>
    <row r="9" spans="1:24" ht="23.4" x14ac:dyDescent="0.3">
      <c r="B9" s="48"/>
      <c r="D9" s="214"/>
      <c r="E9" s="18">
        <v>30</v>
      </c>
      <c r="F9" s="19">
        <v>0.34425</v>
      </c>
      <c r="G9" s="42">
        <v>1</v>
      </c>
      <c r="H9" s="43">
        <v>1</v>
      </c>
      <c r="I9" s="43" t="s">
        <v>24</v>
      </c>
      <c r="J9" s="43" t="s">
        <v>24</v>
      </c>
      <c r="L9" s="214"/>
      <c r="M9" s="18">
        <v>30</v>
      </c>
      <c r="N9" s="19">
        <v>1.2514500000000002</v>
      </c>
      <c r="O9" s="42" t="s">
        <v>24</v>
      </c>
      <c r="P9" s="43" t="s">
        <v>24</v>
      </c>
      <c r="Q9" s="43">
        <v>1</v>
      </c>
      <c r="R9" s="43" t="s">
        <v>24</v>
      </c>
    </row>
    <row r="10" spans="1:24" ht="23.4" x14ac:dyDescent="0.3">
      <c r="B10" s="48"/>
      <c r="D10" s="214"/>
      <c r="E10" s="5"/>
      <c r="F10" s="5"/>
      <c r="G10" s="4"/>
      <c r="H10" s="4"/>
      <c r="I10" s="4"/>
      <c r="J10" s="4"/>
      <c r="L10" s="214"/>
      <c r="M10" s="5"/>
      <c r="N10" s="5"/>
      <c r="O10" s="4"/>
      <c r="P10" s="4"/>
      <c r="Q10" s="4"/>
      <c r="R10" s="22"/>
    </row>
    <row r="11" spans="1:24" ht="23.4" x14ac:dyDescent="0.3">
      <c r="B11" s="48"/>
      <c r="D11" s="12"/>
      <c r="E11" s="11"/>
      <c r="F11" s="11"/>
      <c r="G11" s="11"/>
      <c r="H11" s="11"/>
      <c r="I11" s="11"/>
      <c r="J11" s="11"/>
      <c r="M11" s="10"/>
      <c r="N11" s="17"/>
      <c r="R11" s="9"/>
    </row>
    <row r="12" spans="1:24" ht="23.4" x14ac:dyDescent="0.3">
      <c r="B12" s="48"/>
      <c r="D12" s="12"/>
      <c r="E12" s="11"/>
      <c r="F12" s="11"/>
      <c r="G12" s="11"/>
      <c r="H12" s="11"/>
      <c r="I12" s="11"/>
      <c r="J12" s="11"/>
      <c r="M12" s="10"/>
      <c r="N12" s="17"/>
      <c r="R12" s="9"/>
    </row>
    <row r="13" spans="1:24" ht="24" thickBot="1" x14ac:dyDescent="0.35">
      <c r="B13" s="49"/>
      <c r="C13" s="13"/>
      <c r="D13" s="14"/>
      <c r="E13" s="15"/>
      <c r="F13" s="15"/>
      <c r="G13" s="15"/>
      <c r="H13" s="15"/>
      <c r="I13" s="15"/>
      <c r="J13" s="15"/>
      <c r="K13" s="13"/>
      <c r="L13" s="13"/>
      <c r="M13" s="15"/>
      <c r="N13" s="15"/>
      <c r="O13" s="13"/>
      <c r="P13" s="13"/>
      <c r="Q13" s="13"/>
      <c r="R13" s="16"/>
    </row>
    <row r="14" spans="1:24" ht="24" thickBot="1" x14ac:dyDescent="0.35">
      <c r="B14" s="47"/>
      <c r="C14" s="6"/>
      <c r="D14" s="7"/>
      <c r="E14" s="6"/>
      <c r="F14" s="6"/>
      <c r="G14" s="6"/>
      <c r="H14" s="6"/>
      <c r="I14" s="6"/>
      <c r="J14" s="6"/>
      <c r="K14" s="6"/>
      <c r="L14" s="7"/>
      <c r="M14" s="6"/>
      <c r="N14" s="6"/>
      <c r="O14" s="6"/>
      <c r="P14" s="6"/>
      <c r="Q14" s="6"/>
      <c r="R14" s="8"/>
    </row>
    <row r="15" spans="1:24" ht="23.4" x14ac:dyDescent="0.3">
      <c r="B15" s="48"/>
      <c r="D15" s="3" t="s">
        <v>3</v>
      </c>
      <c r="E15" s="3" t="s">
        <v>4</v>
      </c>
      <c r="F15" s="27" t="s">
        <v>5</v>
      </c>
      <c r="G15" s="20" t="s">
        <v>6</v>
      </c>
      <c r="H15" s="20" t="s">
        <v>7</v>
      </c>
      <c r="I15" s="20" t="s">
        <v>8</v>
      </c>
      <c r="J15" s="20" t="s">
        <v>20</v>
      </c>
      <c r="L15" s="3" t="s">
        <v>3</v>
      </c>
      <c r="M15" s="3" t="s">
        <v>4</v>
      </c>
      <c r="N15" s="27" t="s">
        <v>5</v>
      </c>
      <c r="O15" s="20" t="s">
        <v>6</v>
      </c>
      <c r="P15" s="20" t="s">
        <v>7</v>
      </c>
      <c r="Q15" s="20" t="s">
        <v>8</v>
      </c>
      <c r="R15" s="21" t="s">
        <v>20</v>
      </c>
    </row>
    <row r="16" spans="1:24" ht="23.4" x14ac:dyDescent="0.3">
      <c r="B16" s="48"/>
      <c r="D16" s="214" t="s">
        <v>21</v>
      </c>
      <c r="E16" s="18">
        <v>0</v>
      </c>
      <c r="F16" s="19">
        <v>2.0099999999999998</v>
      </c>
      <c r="G16" s="42">
        <v>75</v>
      </c>
      <c r="H16" s="43">
        <v>180</v>
      </c>
      <c r="I16" s="43">
        <v>850</v>
      </c>
      <c r="J16" s="43">
        <v>98</v>
      </c>
      <c r="L16" s="214" t="s">
        <v>21</v>
      </c>
      <c r="M16" s="18">
        <v>0</v>
      </c>
      <c r="N16" s="19">
        <v>4.07</v>
      </c>
      <c r="O16" s="42">
        <v>120</v>
      </c>
      <c r="P16" s="43">
        <v>140</v>
      </c>
      <c r="Q16" s="43">
        <v>1400</v>
      </c>
      <c r="R16" s="43">
        <v>84</v>
      </c>
    </row>
    <row r="17" spans="2:19" ht="15" customHeight="1" x14ac:dyDescent="0.3">
      <c r="B17" s="48"/>
      <c r="D17" s="214"/>
      <c r="E17" s="18">
        <v>1</v>
      </c>
      <c r="F17" s="19">
        <v>1.7450000000000001</v>
      </c>
      <c r="G17" s="42">
        <v>64</v>
      </c>
      <c r="H17" s="43">
        <v>170</v>
      </c>
      <c r="I17" s="43">
        <v>550</v>
      </c>
      <c r="J17" s="43">
        <v>132</v>
      </c>
      <c r="L17" s="214"/>
      <c r="M17" s="18">
        <v>1</v>
      </c>
      <c r="N17" s="19">
        <v>3.665</v>
      </c>
      <c r="O17" s="42">
        <v>60</v>
      </c>
      <c r="P17" s="43">
        <v>130</v>
      </c>
      <c r="Q17" s="43">
        <v>750</v>
      </c>
      <c r="R17" s="43">
        <v>92</v>
      </c>
    </row>
    <row r="18" spans="2:19" ht="25.8" x14ac:dyDescent="0.3">
      <c r="B18" s="50" t="s">
        <v>13</v>
      </c>
      <c r="D18" s="214"/>
      <c r="E18" s="18">
        <v>3</v>
      </c>
      <c r="F18" s="19">
        <v>1.7349999999999999</v>
      </c>
      <c r="G18" s="42">
        <v>56</v>
      </c>
      <c r="H18" s="43">
        <v>72</v>
      </c>
      <c r="I18" s="43">
        <v>940</v>
      </c>
      <c r="J18" s="43">
        <v>84</v>
      </c>
      <c r="L18" s="214"/>
      <c r="M18" s="18">
        <v>3</v>
      </c>
      <c r="N18" s="19">
        <v>3.665</v>
      </c>
      <c r="O18" s="42">
        <v>4</v>
      </c>
      <c r="P18" s="43">
        <v>44</v>
      </c>
      <c r="Q18" s="43">
        <v>580</v>
      </c>
      <c r="R18" s="43">
        <v>96</v>
      </c>
    </row>
    <row r="19" spans="2:19" ht="14.25" customHeight="1" x14ac:dyDescent="0.3">
      <c r="B19" s="48"/>
      <c r="D19" s="214"/>
      <c r="E19" s="18">
        <v>5</v>
      </c>
      <c r="F19" s="19">
        <v>1.68</v>
      </c>
      <c r="G19" s="42">
        <v>40</v>
      </c>
      <c r="H19" s="43">
        <v>40</v>
      </c>
      <c r="I19" s="43">
        <v>540</v>
      </c>
      <c r="J19" s="43">
        <v>60</v>
      </c>
      <c r="L19" s="214"/>
      <c r="M19" s="18">
        <v>5</v>
      </c>
      <c r="N19" s="19">
        <v>3.62</v>
      </c>
      <c r="O19" s="42">
        <v>6</v>
      </c>
      <c r="P19" s="43">
        <v>12</v>
      </c>
      <c r="Q19" s="43">
        <v>156</v>
      </c>
      <c r="R19" s="43">
        <v>22</v>
      </c>
    </row>
    <row r="20" spans="2:19" ht="23.4" x14ac:dyDescent="0.3">
      <c r="B20" s="48"/>
      <c r="D20" s="214"/>
      <c r="E20" s="18">
        <v>10</v>
      </c>
      <c r="F20" s="19">
        <v>1.6850000000000001</v>
      </c>
      <c r="G20" s="42">
        <v>2</v>
      </c>
      <c r="H20" s="43">
        <v>13</v>
      </c>
      <c r="I20" s="43">
        <v>191</v>
      </c>
      <c r="J20" s="43">
        <v>33</v>
      </c>
      <c r="L20" s="214"/>
      <c r="M20" s="18">
        <v>10</v>
      </c>
      <c r="N20" s="19">
        <v>3.2450000000000001</v>
      </c>
      <c r="O20" s="42" t="s">
        <v>24</v>
      </c>
      <c r="P20" s="43">
        <v>1</v>
      </c>
      <c r="Q20" s="43">
        <v>24</v>
      </c>
      <c r="R20" s="43">
        <v>3</v>
      </c>
    </row>
    <row r="21" spans="2:19" ht="23.4" x14ac:dyDescent="0.3">
      <c r="B21" s="48"/>
      <c r="D21" s="214"/>
      <c r="E21" s="18">
        <v>30</v>
      </c>
      <c r="F21" s="18">
        <v>1.55</v>
      </c>
      <c r="G21" s="42">
        <v>2</v>
      </c>
      <c r="H21" s="43">
        <v>4</v>
      </c>
      <c r="I21" s="43">
        <v>6</v>
      </c>
      <c r="J21" s="43">
        <v>1</v>
      </c>
      <c r="L21" s="214"/>
      <c r="M21" s="18">
        <v>30</v>
      </c>
      <c r="N21" s="18">
        <v>2.95</v>
      </c>
      <c r="O21" s="42" t="s">
        <v>24</v>
      </c>
      <c r="P21" s="43">
        <v>1</v>
      </c>
      <c r="Q21" s="43">
        <v>4</v>
      </c>
      <c r="R21" s="43" t="s">
        <v>24</v>
      </c>
    </row>
    <row r="22" spans="2:19" ht="23.4" x14ac:dyDescent="0.3">
      <c r="B22" s="48"/>
      <c r="D22" s="214"/>
      <c r="E22" s="5"/>
      <c r="F22" s="5"/>
      <c r="G22" s="4"/>
      <c r="H22" s="4"/>
      <c r="I22" s="4"/>
      <c r="J22" s="4"/>
      <c r="L22" s="214"/>
      <c r="M22" s="5"/>
      <c r="N22" s="5"/>
      <c r="O22" s="4"/>
      <c r="P22" s="4"/>
      <c r="Q22" s="4"/>
      <c r="R22" s="22"/>
    </row>
    <row r="23" spans="2:19" ht="23.4" x14ac:dyDescent="0.3">
      <c r="B23" s="48"/>
      <c r="D23" s="12"/>
      <c r="E23" s="11"/>
      <c r="F23" s="11"/>
      <c r="G23" s="11"/>
      <c r="H23" s="11"/>
      <c r="I23" s="11"/>
      <c r="J23" s="11"/>
      <c r="M23" s="10"/>
      <c r="N23" s="17"/>
      <c r="R23" s="9"/>
    </row>
    <row r="24" spans="2:19" ht="23.4" x14ac:dyDescent="0.3">
      <c r="B24" s="48"/>
      <c r="D24" s="12"/>
      <c r="E24" s="11"/>
      <c r="F24" s="11"/>
      <c r="G24" s="11"/>
      <c r="H24" s="11"/>
      <c r="I24" s="11"/>
      <c r="J24" s="11"/>
      <c r="M24" s="10"/>
      <c r="N24" s="17"/>
      <c r="R24" s="9"/>
    </row>
    <row r="25" spans="2:19" ht="24" thickBot="1" x14ac:dyDescent="0.35">
      <c r="B25" s="49"/>
      <c r="C25" s="13"/>
      <c r="D25" s="14"/>
      <c r="E25" s="15"/>
      <c r="F25" s="15"/>
      <c r="G25" s="15"/>
      <c r="H25" s="15"/>
      <c r="I25" s="15"/>
      <c r="J25" s="15"/>
      <c r="K25" s="13"/>
      <c r="L25" s="13"/>
      <c r="M25" s="15"/>
      <c r="N25" s="15"/>
      <c r="O25" s="13"/>
      <c r="P25" s="13"/>
      <c r="Q25" s="13"/>
      <c r="R25" s="16"/>
    </row>
    <row r="26" spans="2:19" ht="15" thickBot="1" x14ac:dyDescent="0.35">
      <c r="B26" s="58"/>
      <c r="C26" s="6"/>
      <c r="D26" s="7"/>
      <c r="E26" s="6"/>
      <c r="F26" s="6"/>
      <c r="G26" s="6"/>
      <c r="H26" s="6"/>
      <c r="I26" s="6"/>
      <c r="J26" s="6"/>
      <c r="K26" s="6"/>
      <c r="L26" s="7"/>
      <c r="M26" s="6"/>
      <c r="N26" s="6"/>
      <c r="O26" s="6"/>
      <c r="P26" s="6"/>
      <c r="Q26" s="6"/>
      <c r="R26" s="8"/>
    </row>
    <row r="27" spans="2:19" ht="23.4" x14ac:dyDescent="0.3">
      <c r="B27" s="48"/>
      <c r="D27" s="3" t="s">
        <v>3</v>
      </c>
      <c r="E27" s="3" t="s">
        <v>4</v>
      </c>
      <c r="F27" s="27" t="s">
        <v>5</v>
      </c>
      <c r="G27" s="20" t="s">
        <v>6</v>
      </c>
      <c r="H27" s="20" t="s">
        <v>7</v>
      </c>
      <c r="I27" s="20" t="s">
        <v>8</v>
      </c>
      <c r="J27" s="20" t="s">
        <v>20</v>
      </c>
      <c r="K27" s="74" t="s">
        <v>14</v>
      </c>
      <c r="L27" s="3" t="s">
        <v>3</v>
      </c>
      <c r="M27" s="3" t="s">
        <v>4</v>
      </c>
      <c r="N27" s="27" t="s">
        <v>5</v>
      </c>
      <c r="O27" s="20" t="s">
        <v>6</v>
      </c>
      <c r="P27" s="20" t="s">
        <v>7</v>
      </c>
      <c r="Q27" s="20" t="s">
        <v>8</v>
      </c>
      <c r="R27" s="21" t="s">
        <v>20</v>
      </c>
      <c r="S27" s="74" t="s">
        <v>14</v>
      </c>
    </row>
    <row r="28" spans="2:19" ht="23.4" x14ac:dyDescent="0.3">
      <c r="B28" s="48"/>
      <c r="D28" s="214" t="s">
        <v>21</v>
      </c>
      <c r="E28" s="18">
        <v>0</v>
      </c>
      <c r="F28" s="19">
        <v>1.9</v>
      </c>
      <c r="G28" s="42">
        <v>44</v>
      </c>
      <c r="H28" s="43">
        <v>136</v>
      </c>
      <c r="I28" s="43">
        <v>780</v>
      </c>
      <c r="J28" s="43">
        <v>132</v>
      </c>
      <c r="K28" s="112"/>
      <c r="L28" s="214" t="s">
        <v>21</v>
      </c>
      <c r="M28" s="18">
        <v>0</v>
      </c>
      <c r="N28" s="19">
        <v>3.98</v>
      </c>
      <c r="O28" s="42">
        <v>76</v>
      </c>
      <c r="P28" s="43">
        <v>172</v>
      </c>
      <c r="Q28" s="43">
        <v>620</v>
      </c>
      <c r="R28" s="59">
        <v>80</v>
      </c>
      <c r="S28" s="112"/>
    </row>
    <row r="29" spans="2:19" ht="23.4" x14ac:dyDescent="0.3">
      <c r="B29" s="48"/>
      <c r="D29" s="214"/>
      <c r="E29" s="18">
        <v>1</v>
      </c>
      <c r="F29" s="19">
        <v>0.91</v>
      </c>
      <c r="G29" s="42" t="s">
        <v>22</v>
      </c>
      <c r="H29" s="43" t="s">
        <v>22</v>
      </c>
      <c r="I29" s="43">
        <v>30</v>
      </c>
      <c r="J29" s="43">
        <v>8</v>
      </c>
      <c r="K29" s="112"/>
      <c r="L29" s="214"/>
      <c r="M29" s="18">
        <v>1</v>
      </c>
      <c r="N29" s="19">
        <v>3.02</v>
      </c>
      <c r="O29" s="42" t="s">
        <v>22</v>
      </c>
      <c r="P29" s="43" t="s">
        <v>22</v>
      </c>
      <c r="Q29" s="43">
        <v>10</v>
      </c>
      <c r="R29" s="59">
        <v>4</v>
      </c>
      <c r="S29" s="112"/>
    </row>
    <row r="30" spans="2:19" ht="129" x14ac:dyDescent="0.3">
      <c r="B30" s="50" t="s">
        <v>15</v>
      </c>
      <c r="D30" s="214"/>
      <c r="E30" s="18">
        <v>3</v>
      </c>
      <c r="F30" s="19">
        <v>0.68</v>
      </c>
      <c r="G30" s="42" t="s">
        <v>22</v>
      </c>
      <c r="H30" s="43" t="s">
        <v>22</v>
      </c>
      <c r="I30" s="43">
        <v>12</v>
      </c>
      <c r="J30" s="43">
        <v>16</v>
      </c>
      <c r="K30" s="112"/>
      <c r="L30" s="214"/>
      <c r="M30" s="18">
        <v>3</v>
      </c>
      <c r="N30" s="19">
        <v>2.48</v>
      </c>
      <c r="O30" s="42" t="s">
        <v>22</v>
      </c>
      <c r="P30" s="43" t="s">
        <v>22</v>
      </c>
      <c r="Q30" s="43">
        <v>4</v>
      </c>
      <c r="R30" s="59" t="s">
        <v>22</v>
      </c>
      <c r="S30" s="112"/>
    </row>
    <row r="31" spans="2:19" ht="23.4" x14ac:dyDescent="0.3">
      <c r="B31" s="48"/>
      <c r="D31" s="214"/>
      <c r="E31" s="18">
        <v>5</v>
      </c>
      <c r="F31" s="19">
        <v>0.56500000000000006</v>
      </c>
      <c r="G31" s="42" t="s">
        <v>22</v>
      </c>
      <c r="H31" s="43" t="s">
        <v>22</v>
      </c>
      <c r="I31" s="43">
        <v>4</v>
      </c>
      <c r="J31" s="43" t="s">
        <v>22</v>
      </c>
      <c r="K31" s="112"/>
      <c r="L31" s="214"/>
      <c r="M31" s="18">
        <v>5</v>
      </c>
      <c r="N31" s="19">
        <v>2.58</v>
      </c>
      <c r="O31" s="42" t="s">
        <v>22</v>
      </c>
      <c r="P31" s="43" t="s">
        <v>22</v>
      </c>
      <c r="Q31" s="43" t="s">
        <v>22</v>
      </c>
      <c r="R31" s="59" t="s">
        <v>22</v>
      </c>
      <c r="S31" s="112"/>
    </row>
    <row r="32" spans="2:19" ht="23.4" x14ac:dyDescent="0.3">
      <c r="B32" s="48"/>
      <c r="D32" s="214"/>
      <c r="E32" s="18">
        <v>10</v>
      </c>
      <c r="F32" s="19">
        <v>0.43500000000000005</v>
      </c>
      <c r="G32" s="42">
        <v>1</v>
      </c>
      <c r="H32" s="43">
        <v>1</v>
      </c>
      <c r="I32" s="43">
        <v>9</v>
      </c>
      <c r="J32" s="43">
        <v>7</v>
      </c>
      <c r="K32" s="5" t="s">
        <v>16</v>
      </c>
      <c r="L32" s="214"/>
      <c r="M32" s="18">
        <v>10</v>
      </c>
      <c r="N32" s="19">
        <v>2.2000000000000002</v>
      </c>
      <c r="O32" s="42" t="s">
        <v>24</v>
      </c>
      <c r="P32" s="43" t="s">
        <v>24</v>
      </c>
      <c r="Q32" s="43" t="s">
        <v>24</v>
      </c>
      <c r="R32" s="59" t="s">
        <v>24</v>
      </c>
      <c r="S32" s="5" t="s">
        <v>16</v>
      </c>
    </row>
    <row r="33" spans="2:19" ht="24" thickBot="1" x14ac:dyDescent="0.35">
      <c r="B33" s="48"/>
      <c r="D33" s="214"/>
      <c r="E33" s="18">
        <v>30</v>
      </c>
      <c r="F33" s="19">
        <v>0.28500000000000003</v>
      </c>
      <c r="G33" s="42">
        <v>1</v>
      </c>
      <c r="H33" s="43">
        <v>2</v>
      </c>
      <c r="I33" s="43">
        <v>2</v>
      </c>
      <c r="J33" s="43">
        <v>1</v>
      </c>
      <c r="K33" s="5" t="s">
        <v>16</v>
      </c>
      <c r="L33" s="214"/>
      <c r="M33" s="18">
        <v>30</v>
      </c>
      <c r="N33" s="18">
        <v>1.82</v>
      </c>
      <c r="O33" s="44" t="s">
        <v>24</v>
      </c>
      <c r="P33" s="45" t="s">
        <v>24</v>
      </c>
      <c r="Q33" s="46" t="s">
        <v>24</v>
      </c>
      <c r="R33" s="60" t="s">
        <v>24</v>
      </c>
      <c r="S33" s="5" t="s">
        <v>16</v>
      </c>
    </row>
    <row r="34" spans="2:19" ht="23.4" x14ac:dyDescent="0.3">
      <c r="B34" s="48"/>
      <c r="D34" s="214"/>
      <c r="E34" s="5"/>
      <c r="F34" s="5"/>
      <c r="G34" s="4"/>
      <c r="H34" s="4"/>
      <c r="I34" s="4"/>
      <c r="J34" s="4"/>
      <c r="K34" s="112"/>
      <c r="L34" s="214"/>
      <c r="M34" s="5"/>
      <c r="N34" s="5"/>
      <c r="O34" s="4"/>
      <c r="P34" s="4"/>
      <c r="Q34" s="4"/>
      <c r="R34" s="22"/>
      <c r="S34" s="112"/>
    </row>
    <row r="35" spans="2:19" ht="23.4" x14ac:dyDescent="0.3">
      <c r="B35" s="48"/>
      <c r="D35" s="12"/>
      <c r="E35" s="11"/>
      <c r="F35" s="11"/>
      <c r="G35" s="11"/>
      <c r="H35" s="11"/>
      <c r="I35" s="11"/>
      <c r="J35" s="11"/>
      <c r="M35" s="10"/>
      <c r="N35" s="17"/>
      <c r="R35" s="9"/>
    </row>
    <row r="36" spans="2:19" ht="15" customHeight="1" x14ac:dyDescent="0.3">
      <c r="B36" s="48"/>
      <c r="D36" s="12"/>
      <c r="E36" s="11"/>
      <c r="F36" s="11"/>
      <c r="G36" s="11"/>
      <c r="H36" s="11"/>
      <c r="I36" s="11"/>
      <c r="J36" s="11"/>
      <c r="M36" s="10"/>
      <c r="N36" s="17"/>
      <c r="R36" s="9"/>
    </row>
    <row r="37" spans="2:19" ht="24" thickBot="1" x14ac:dyDescent="0.35">
      <c r="B37" s="49"/>
      <c r="C37" s="13"/>
      <c r="D37" s="14"/>
      <c r="E37" s="15"/>
      <c r="F37" s="15"/>
      <c r="G37" s="15"/>
      <c r="H37" s="15"/>
      <c r="I37" s="15"/>
      <c r="J37" s="15"/>
      <c r="K37" s="13"/>
      <c r="L37" s="13"/>
      <c r="M37" s="15"/>
      <c r="N37" s="15"/>
      <c r="O37" s="13"/>
      <c r="P37" s="13"/>
      <c r="Q37" s="13"/>
      <c r="R37" s="16"/>
    </row>
    <row r="38" spans="2:19" ht="15" thickBot="1" x14ac:dyDescent="0.35">
      <c r="B38" s="58"/>
      <c r="C38" s="6"/>
      <c r="D38" s="7"/>
      <c r="E38" s="6"/>
      <c r="F38" s="6"/>
      <c r="G38" s="6"/>
      <c r="H38" s="6"/>
      <c r="I38" s="6"/>
      <c r="J38" s="6"/>
      <c r="K38" s="6"/>
      <c r="L38" s="7"/>
      <c r="M38" s="6"/>
      <c r="N38" s="6"/>
      <c r="O38" s="6"/>
      <c r="P38" s="6"/>
      <c r="Q38" s="6"/>
      <c r="R38" s="8"/>
    </row>
    <row r="39" spans="2:19" ht="15" customHeight="1" x14ac:dyDescent="0.3">
      <c r="B39" s="48"/>
      <c r="D39" s="3" t="s">
        <v>3</v>
      </c>
      <c r="E39" s="3" t="s">
        <v>4</v>
      </c>
      <c r="F39" s="27" t="s">
        <v>5</v>
      </c>
      <c r="G39" s="20" t="s">
        <v>6</v>
      </c>
      <c r="H39" s="20" t="s">
        <v>7</v>
      </c>
      <c r="I39" s="20" t="s">
        <v>8</v>
      </c>
      <c r="J39" s="20" t="s">
        <v>20</v>
      </c>
      <c r="L39" s="3" t="s">
        <v>3</v>
      </c>
      <c r="M39" s="3" t="s">
        <v>4</v>
      </c>
      <c r="N39" s="27" t="s">
        <v>5</v>
      </c>
      <c r="O39" s="20" t="s">
        <v>6</v>
      </c>
      <c r="P39" s="20" t="s">
        <v>7</v>
      </c>
      <c r="Q39" s="20" t="s">
        <v>8</v>
      </c>
      <c r="R39" s="21" t="s">
        <v>20</v>
      </c>
    </row>
    <row r="40" spans="2:19" ht="23.4" x14ac:dyDescent="0.3">
      <c r="B40" s="48"/>
      <c r="D40" s="214" t="s">
        <v>21</v>
      </c>
      <c r="E40" s="18">
        <v>0</v>
      </c>
      <c r="F40" s="19">
        <v>1.9</v>
      </c>
      <c r="G40" s="42">
        <v>44</v>
      </c>
      <c r="H40" s="43">
        <v>136</v>
      </c>
      <c r="I40" s="43">
        <v>780</v>
      </c>
      <c r="J40" s="43">
        <v>132</v>
      </c>
      <c r="L40" s="214" t="s">
        <v>21</v>
      </c>
      <c r="M40" s="18">
        <v>0</v>
      </c>
      <c r="N40" s="19">
        <v>3.98</v>
      </c>
      <c r="O40" s="4">
        <v>76</v>
      </c>
      <c r="P40" s="4">
        <v>172</v>
      </c>
      <c r="Q40" s="4">
        <v>620</v>
      </c>
      <c r="R40" s="22">
        <v>80</v>
      </c>
    </row>
    <row r="41" spans="2:19" ht="23.4" x14ac:dyDescent="0.3">
      <c r="B41" s="48"/>
      <c r="D41" s="214"/>
      <c r="E41" s="18">
        <v>1</v>
      </c>
      <c r="F41" s="19">
        <v>0.72</v>
      </c>
      <c r="G41" s="42" t="s">
        <v>22</v>
      </c>
      <c r="H41" s="43" t="s">
        <v>22</v>
      </c>
      <c r="I41" s="43">
        <v>30</v>
      </c>
      <c r="J41" s="43">
        <v>8</v>
      </c>
      <c r="L41" s="214"/>
      <c r="M41" s="18">
        <v>1</v>
      </c>
      <c r="N41" s="19">
        <v>2.56</v>
      </c>
      <c r="O41" s="4" t="s">
        <v>22</v>
      </c>
      <c r="P41" s="4" t="s">
        <v>22</v>
      </c>
      <c r="Q41" s="4">
        <v>10</v>
      </c>
      <c r="R41" s="22">
        <v>4</v>
      </c>
    </row>
    <row r="42" spans="2:19" ht="23.4" x14ac:dyDescent="0.3">
      <c r="B42" s="48"/>
      <c r="D42" s="214"/>
      <c r="E42" s="18">
        <v>3</v>
      </c>
      <c r="F42" s="19">
        <v>0.44</v>
      </c>
      <c r="G42" s="42" t="s">
        <v>22</v>
      </c>
      <c r="H42" s="43" t="s">
        <v>22</v>
      </c>
      <c r="I42" s="43">
        <v>12</v>
      </c>
      <c r="J42" s="43">
        <v>16</v>
      </c>
      <c r="L42" s="214"/>
      <c r="M42" s="18">
        <v>3</v>
      </c>
      <c r="N42" s="19">
        <v>2.2000000000000002</v>
      </c>
      <c r="O42" s="4" t="s">
        <v>22</v>
      </c>
      <c r="P42" s="4" t="s">
        <v>22</v>
      </c>
      <c r="Q42" s="4">
        <v>4</v>
      </c>
      <c r="R42" s="22" t="s">
        <v>22</v>
      </c>
    </row>
    <row r="43" spans="2:19" ht="103.2" x14ac:dyDescent="0.3">
      <c r="B43" s="50" t="s">
        <v>17</v>
      </c>
      <c r="D43" s="214"/>
      <c r="E43" s="18">
        <v>5</v>
      </c>
      <c r="F43" s="19">
        <v>0.34</v>
      </c>
      <c r="G43" s="42" t="s">
        <v>22</v>
      </c>
      <c r="H43" s="43" t="s">
        <v>22</v>
      </c>
      <c r="I43" s="43">
        <v>4</v>
      </c>
      <c r="J43" s="43" t="s">
        <v>22</v>
      </c>
      <c r="L43" s="214"/>
      <c r="M43" s="18">
        <v>5</v>
      </c>
      <c r="N43" s="19">
        <v>1.91</v>
      </c>
      <c r="O43" s="4" t="s">
        <v>22</v>
      </c>
      <c r="P43" s="4" t="s">
        <v>22</v>
      </c>
      <c r="Q43" s="4" t="s">
        <v>22</v>
      </c>
      <c r="R43" s="22" t="s">
        <v>22</v>
      </c>
    </row>
    <row r="44" spans="2:19" ht="23.4" x14ac:dyDescent="0.3">
      <c r="B44" s="48"/>
      <c r="D44" s="214"/>
      <c r="E44" s="18">
        <v>10</v>
      </c>
      <c r="F44" s="19">
        <v>0.2</v>
      </c>
      <c r="G44" s="42">
        <v>1</v>
      </c>
      <c r="H44" s="43">
        <v>1</v>
      </c>
      <c r="I44" s="43">
        <v>9</v>
      </c>
      <c r="J44" s="43">
        <v>7</v>
      </c>
      <c r="L44" s="214"/>
      <c r="M44" s="18">
        <v>10</v>
      </c>
      <c r="N44" s="19">
        <v>1.67</v>
      </c>
      <c r="O44" s="4" t="s">
        <v>24</v>
      </c>
      <c r="P44" s="4" t="s">
        <v>24</v>
      </c>
      <c r="Q44" s="4" t="s">
        <v>24</v>
      </c>
      <c r="R44" s="22" t="s">
        <v>24</v>
      </c>
    </row>
    <row r="45" spans="2:19" ht="23.4" x14ac:dyDescent="0.3">
      <c r="B45" s="48"/>
      <c r="D45" s="214"/>
      <c r="E45" s="18">
        <v>30</v>
      </c>
      <c r="F45" s="18">
        <v>0.06</v>
      </c>
      <c r="G45" s="42">
        <v>1</v>
      </c>
      <c r="H45" s="43">
        <v>2</v>
      </c>
      <c r="I45" s="43">
        <v>2</v>
      </c>
      <c r="J45" s="43">
        <v>1</v>
      </c>
      <c r="L45" s="214"/>
      <c r="M45" s="18">
        <v>30</v>
      </c>
      <c r="N45" s="18">
        <v>1.21</v>
      </c>
      <c r="O45" s="4" t="s">
        <v>24</v>
      </c>
      <c r="P45" s="4" t="s">
        <v>24</v>
      </c>
      <c r="Q45" s="4" t="s">
        <v>24</v>
      </c>
      <c r="R45" s="22" t="s">
        <v>24</v>
      </c>
    </row>
    <row r="46" spans="2:19" ht="23.4" x14ac:dyDescent="0.3">
      <c r="B46" s="48"/>
      <c r="D46" s="214"/>
      <c r="E46" s="5"/>
      <c r="F46" s="5"/>
      <c r="G46" s="4"/>
      <c r="H46" s="4"/>
      <c r="I46" s="4"/>
      <c r="J46" s="4"/>
      <c r="L46" s="214"/>
      <c r="M46" s="5"/>
      <c r="N46" s="5"/>
      <c r="O46" s="4"/>
      <c r="P46" s="4"/>
      <c r="Q46" s="4"/>
      <c r="R46" s="22"/>
    </row>
    <row r="47" spans="2:19" ht="23.4" x14ac:dyDescent="0.3">
      <c r="B47" s="48"/>
      <c r="D47" s="11"/>
      <c r="E47" s="10"/>
      <c r="F47" s="10"/>
      <c r="G47" s="61"/>
      <c r="H47" s="61"/>
      <c r="I47" s="61"/>
      <c r="J47" s="61"/>
      <c r="L47" s="11"/>
      <c r="M47" s="10"/>
      <c r="N47" s="10"/>
      <c r="O47" s="61"/>
      <c r="P47" s="61"/>
      <c r="Q47" s="61"/>
      <c r="R47" s="23"/>
    </row>
    <row r="48" spans="2:19" ht="23.4" x14ac:dyDescent="0.3">
      <c r="B48" s="48"/>
      <c r="R48" s="9"/>
    </row>
    <row r="49" spans="2:18" ht="24" thickBot="1" x14ac:dyDescent="0.35">
      <c r="B49" s="49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6"/>
    </row>
    <row r="52" spans="2:18" ht="15" customHeight="1" x14ac:dyDescent="0.3"/>
    <row r="55" spans="2:18" ht="14.7" customHeight="1" x14ac:dyDescent="0.3"/>
    <row r="70" ht="14.25" customHeight="1" x14ac:dyDescent="0.3"/>
    <row r="72" ht="14.25" customHeight="1" x14ac:dyDescent="0.3"/>
    <row r="108" ht="14.7" customHeight="1" x14ac:dyDescent="0.3"/>
    <row r="123" ht="14.25" customHeight="1" x14ac:dyDescent="0.3"/>
    <row r="125" ht="14.25" customHeight="1" x14ac:dyDescent="0.3"/>
    <row r="161" ht="14.7" customHeight="1" x14ac:dyDescent="0.3"/>
    <row r="176" ht="14.25" customHeight="1" x14ac:dyDescent="0.3"/>
    <row r="178" ht="14.25" customHeight="1" x14ac:dyDescent="0.3"/>
  </sheetData>
  <mergeCells count="8">
    <mergeCell ref="D16:D22"/>
    <mergeCell ref="L16:L22"/>
    <mergeCell ref="D4:D10"/>
    <mergeCell ref="L4:L10"/>
    <mergeCell ref="D40:D46"/>
    <mergeCell ref="L40:L46"/>
    <mergeCell ref="D28:D34"/>
    <mergeCell ref="L28:L3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33B8-4523-4B4F-913D-C29E45360289}">
  <dimension ref="A1:X178"/>
  <sheetViews>
    <sheetView zoomScale="80" zoomScaleNormal="80" workbookViewId="0">
      <selection activeCell="Y43" sqref="Y43"/>
    </sheetView>
  </sheetViews>
  <sheetFormatPr defaultColWidth="10.6640625" defaultRowHeight="14.4" x14ac:dyDescent="0.3"/>
  <cols>
    <col min="1" max="10" width="10.6640625" style="2"/>
    <col min="11" max="11" width="23" style="2" bestFit="1" customWidth="1"/>
    <col min="12" max="18" width="10.6640625" style="2"/>
    <col min="19" max="19" width="23" style="2" bestFit="1" customWidth="1"/>
    <col min="20" max="16384" width="10.6640625" style="2"/>
  </cols>
  <sheetData>
    <row r="1" spans="1:24" ht="26.4" thickBot="1" x14ac:dyDescent="0.55000000000000004">
      <c r="A1" s="51" t="s">
        <v>0</v>
      </c>
    </row>
    <row r="2" spans="1:24" ht="26.4" thickBot="1" x14ac:dyDescent="0.55000000000000004">
      <c r="A2" s="51" t="s">
        <v>19</v>
      </c>
      <c r="B2" s="47"/>
      <c r="C2" s="6"/>
      <c r="D2" s="7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8"/>
    </row>
    <row r="3" spans="1:24" ht="25.8" x14ac:dyDescent="0.5">
      <c r="A3" s="51" t="s">
        <v>2</v>
      </c>
      <c r="B3" s="48"/>
      <c r="D3" s="3" t="s">
        <v>3</v>
      </c>
      <c r="E3" s="3" t="s">
        <v>4</v>
      </c>
      <c r="F3" s="27" t="s">
        <v>5</v>
      </c>
      <c r="G3" s="74" t="s">
        <v>6</v>
      </c>
      <c r="H3" s="74" t="s">
        <v>7</v>
      </c>
      <c r="I3" s="74" t="s">
        <v>8</v>
      </c>
      <c r="J3" s="74" t="s">
        <v>20</v>
      </c>
      <c r="L3" s="3" t="s">
        <v>3</v>
      </c>
      <c r="M3" s="3" t="s">
        <v>4</v>
      </c>
      <c r="N3" s="27" t="s">
        <v>5</v>
      </c>
      <c r="O3" s="20" t="s">
        <v>6</v>
      </c>
      <c r="P3" s="20" t="s">
        <v>7</v>
      </c>
      <c r="Q3" s="20" t="s">
        <v>8</v>
      </c>
      <c r="R3" s="21" t="s">
        <v>20</v>
      </c>
      <c r="T3" s="1"/>
      <c r="V3" s="1"/>
      <c r="X3" s="1"/>
    </row>
    <row r="4" spans="1:24" ht="25.8" x14ac:dyDescent="0.5">
      <c r="A4" s="52">
        <v>45258</v>
      </c>
      <c r="B4" s="48"/>
      <c r="D4" s="214" t="s">
        <v>21</v>
      </c>
      <c r="E4" s="18">
        <v>0</v>
      </c>
      <c r="F4" s="19">
        <v>0.93149999999999999</v>
      </c>
      <c r="G4" s="40">
        <v>56</v>
      </c>
      <c r="H4" s="41">
        <v>132</v>
      </c>
      <c r="I4" s="41">
        <v>860</v>
      </c>
      <c r="J4" s="41">
        <v>108</v>
      </c>
      <c r="L4" s="214" t="s">
        <v>21</v>
      </c>
      <c r="M4" s="18">
        <v>0</v>
      </c>
      <c r="N4" s="19">
        <v>1.863</v>
      </c>
      <c r="O4" s="42">
        <v>48</v>
      </c>
      <c r="P4" s="43">
        <v>152</v>
      </c>
      <c r="Q4" s="43">
        <v>910</v>
      </c>
      <c r="R4" s="43">
        <v>80</v>
      </c>
      <c r="T4" s="1"/>
      <c r="V4" s="1"/>
    </row>
    <row r="5" spans="1:24" ht="23.4" x14ac:dyDescent="0.3">
      <c r="B5" s="48"/>
      <c r="D5" s="214"/>
      <c r="E5" s="18">
        <v>1</v>
      </c>
      <c r="F5" s="19">
        <v>0.72495000000000009</v>
      </c>
      <c r="G5" s="42">
        <v>12</v>
      </c>
      <c r="H5" s="43">
        <v>36</v>
      </c>
      <c r="I5" s="43">
        <v>490</v>
      </c>
      <c r="J5" s="43">
        <v>80</v>
      </c>
      <c r="L5" s="214"/>
      <c r="M5" s="18">
        <v>1</v>
      </c>
      <c r="N5" s="19">
        <v>1.7091000000000003</v>
      </c>
      <c r="O5" s="42" t="s">
        <v>22</v>
      </c>
      <c r="P5" s="43">
        <v>8</v>
      </c>
      <c r="Q5" s="43">
        <v>120</v>
      </c>
      <c r="R5" s="43">
        <v>42</v>
      </c>
    </row>
    <row r="6" spans="1:24" ht="25.8" x14ac:dyDescent="0.5">
      <c r="A6" s="51" t="s">
        <v>23</v>
      </c>
      <c r="B6" s="48"/>
      <c r="D6" s="214"/>
      <c r="E6" s="18">
        <v>3</v>
      </c>
      <c r="F6" s="19">
        <v>0.6885</v>
      </c>
      <c r="G6" s="42" t="s">
        <v>22</v>
      </c>
      <c r="H6" s="43">
        <v>16</v>
      </c>
      <c r="I6" s="43">
        <v>120</v>
      </c>
      <c r="J6" s="43">
        <v>40</v>
      </c>
      <c r="L6" s="214"/>
      <c r="M6" s="18">
        <v>3</v>
      </c>
      <c r="N6" s="19">
        <v>1.6604999999999999</v>
      </c>
      <c r="O6" s="42" t="s">
        <v>22</v>
      </c>
      <c r="P6" s="43">
        <v>4</v>
      </c>
      <c r="Q6" s="43" t="s">
        <v>22</v>
      </c>
      <c r="R6" s="43" t="s">
        <v>22</v>
      </c>
    </row>
    <row r="7" spans="1:24" ht="25.8" x14ac:dyDescent="0.3">
      <c r="B7" s="50" t="s">
        <v>12</v>
      </c>
      <c r="D7" s="214"/>
      <c r="E7" s="18">
        <v>5</v>
      </c>
      <c r="F7" s="19">
        <v>0.65205000000000013</v>
      </c>
      <c r="G7" s="42" t="s">
        <v>22</v>
      </c>
      <c r="H7" s="43" t="s">
        <v>22</v>
      </c>
      <c r="I7" s="43">
        <v>8</v>
      </c>
      <c r="J7" s="43">
        <v>10</v>
      </c>
      <c r="L7" s="214"/>
      <c r="M7" s="18">
        <v>5</v>
      </c>
      <c r="N7" s="19">
        <v>1.6524000000000001</v>
      </c>
      <c r="O7" s="42" t="s">
        <v>22</v>
      </c>
      <c r="P7" s="43" t="s">
        <v>22</v>
      </c>
      <c r="Q7" s="43" t="s">
        <v>22</v>
      </c>
      <c r="R7" s="43" t="s">
        <v>22</v>
      </c>
    </row>
    <row r="8" spans="1:24" ht="23.4" x14ac:dyDescent="0.3">
      <c r="B8" s="48"/>
      <c r="D8" s="214"/>
      <c r="E8" s="18">
        <v>10</v>
      </c>
      <c r="F8" s="19">
        <v>0.58320000000000005</v>
      </c>
      <c r="G8" s="42" t="s">
        <v>24</v>
      </c>
      <c r="H8" s="43" t="s">
        <v>24</v>
      </c>
      <c r="I8" s="43">
        <v>1</v>
      </c>
      <c r="J8" s="43">
        <v>1</v>
      </c>
      <c r="L8" s="214"/>
      <c r="M8" s="18">
        <v>10</v>
      </c>
      <c r="N8" s="19">
        <v>1.5794999999999999</v>
      </c>
      <c r="O8" s="42" t="s">
        <v>24</v>
      </c>
      <c r="P8" s="43" t="s">
        <v>24</v>
      </c>
      <c r="Q8" s="43">
        <v>1</v>
      </c>
      <c r="R8" s="43" t="s">
        <v>24</v>
      </c>
    </row>
    <row r="9" spans="1:24" ht="23.4" x14ac:dyDescent="0.3">
      <c r="B9" s="48"/>
      <c r="D9" s="214"/>
      <c r="E9" s="18">
        <v>30</v>
      </c>
      <c r="F9" s="19">
        <v>0.34425</v>
      </c>
      <c r="G9" s="42">
        <v>1</v>
      </c>
      <c r="H9" s="43">
        <v>1</v>
      </c>
      <c r="I9" s="43" t="s">
        <v>24</v>
      </c>
      <c r="J9" s="43" t="s">
        <v>24</v>
      </c>
      <c r="L9" s="214"/>
      <c r="M9" s="18">
        <v>30</v>
      </c>
      <c r="N9" s="19">
        <v>1.2514500000000002</v>
      </c>
      <c r="O9" s="42" t="s">
        <v>24</v>
      </c>
      <c r="P9" s="43" t="s">
        <v>24</v>
      </c>
      <c r="Q9" s="43">
        <v>1</v>
      </c>
      <c r="R9" s="43" t="s">
        <v>24</v>
      </c>
    </row>
    <row r="10" spans="1:24" ht="23.4" x14ac:dyDescent="0.3">
      <c r="B10" s="48"/>
      <c r="D10" s="214"/>
      <c r="E10" s="5"/>
      <c r="F10" s="5"/>
      <c r="G10" s="4"/>
      <c r="H10" s="4"/>
      <c r="I10" s="4"/>
      <c r="J10" s="4"/>
      <c r="L10" s="214"/>
      <c r="M10" s="5"/>
      <c r="N10" s="5"/>
      <c r="O10" s="4"/>
      <c r="P10" s="4"/>
      <c r="Q10" s="4"/>
      <c r="R10" s="22"/>
    </row>
    <row r="11" spans="1:24" ht="23.4" x14ac:dyDescent="0.3">
      <c r="B11" s="48"/>
      <c r="D11" s="12"/>
      <c r="E11" s="11"/>
      <c r="F11" s="11"/>
      <c r="G11" s="11"/>
      <c r="H11" s="11"/>
      <c r="I11" s="11"/>
      <c r="J11" s="11"/>
      <c r="M11" s="10"/>
      <c r="N11" s="17"/>
      <c r="R11" s="9"/>
    </row>
    <row r="12" spans="1:24" ht="23.4" x14ac:dyDescent="0.3">
      <c r="B12" s="48"/>
      <c r="D12" s="12"/>
      <c r="E12" s="11"/>
      <c r="F12" s="11"/>
      <c r="G12" s="11"/>
      <c r="H12" s="11"/>
      <c r="I12" s="11"/>
      <c r="J12" s="11"/>
      <c r="M12" s="10"/>
      <c r="N12" s="17"/>
      <c r="R12" s="9"/>
    </row>
    <row r="13" spans="1:24" ht="24" thickBot="1" x14ac:dyDescent="0.35">
      <c r="B13" s="49"/>
      <c r="C13" s="13"/>
      <c r="D13" s="14"/>
      <c r="E13" s="15"/>
      <c r="F13" s="15"/>
      <c r="G13" s="15"/>
      <c r="H13" s="15"/>
      <c r="I13" s="15"/>
      <c r="J13" s="15"/>
      <c r="K13" s="13"/>
      <c r="L13" s="13"/>
      <c r="M13" s="15"/>
      <c r="N13" s="15"/>
      <c r="O13" s="13"/>
      <c r="P13" s="13"/>
      <c r="Q13" s="13"/>
      <c r="R13" s="16"/>
    </row>
    <row r="14" spans="1:24" ht="24" thickBot="1" x14ac:dyDescent="0.35">
      <c r="B14" s="47"/>
      <c r="C14" s="6"/>
      <c r="D14" s="7"/>
      <c r="E14" s="6"/>
      <c r="F14" s="6"/>
      <c r="G14" s="6"/>
      <c r="H14" s="6"/>
      <c r="I14" s="6"/>
      <c r="J14" s="6"/>
      <c r="K14" s="6"/>
      <c r="L14" s="7"/>
      <c r="M14" s="6"/>
      <c r="N14" s="6"/>
      <c r="O14" s="6"/>
      <c r="P14" s="6"/>
      <c r="Q14" s="6"/>
      <c r="R14" s="8"/>
    </row>
    <row r="15" spans="1:24" ht="23.4" x14ac:dyDescent="0.3">
      <c r="B15" s="48"/>
      <c r="D15" s="3" t="s">
        <v>3</v>
      </c>
      <c r="E15" s="3" t="s">
        <v>4</v>
      </c>
      <c r="F15" s="27" t="s">
        <v>5</v>
      </c>
      <c r="G15" s="20" t="s">
        <v>6</v>
      </c>
      <c r="H15" s="20" t="s">
        <v>7</v>
      </c>
      <c r="I15" s="20" t="s">
        <v>8</v>
      </c>
      <c r="J15" s="20" t="s">
        <v>20</v>
      </c>
      <c r="L15" s="3" t="s">
        <v>3</v>
      </c>
      <c r="M15" s="3" t="s">
        <v>4</v>
      </c>
      <c r="N15" s="27" t="s">
        <v>5</v>
      </c>
      <c r="O15" s="20" t="s">
        <v>6</v>
      </c>
      <c r="P15" s="20" t="s">
        <v>7</v>
      </c>
      <c r="Q15" s="20" t="s">
        <v>8</v>
      </c>
      <c r="R15" s="21" t="s">
        <v>20</v>
      </c>
    </row>
    <row r="16" spans="1:24" ht="23.4" x14ac:dyDescent="0.3">
      <c r="B16" s="48"/>
      <c r="D16" s="214" t="s">
        <v>21</v>
      </c>
      <c r="E16" s="18">
        <v>0</v>
      </c>
      <c r="F16" s="19">
        <v>2.0099999999999998</v>
      </c>
      <c r="G16" s="42">
        <v>75</v>
      </c>
      <c r="H16" s="43">
        <v>180</v>
      </c>
      <c r="I16" s="43">
        <v>850</v>
      </c>
      <c r="J16" s="43">
        <v>98</v>
      </c>
      <c r="L16" s="214" t="s">
        <v>21</v>
      </c>
      <c r="M16" s="18">
        <v>0</v>
      </c>
      <c r="N16" s="19">
        <v>4.07</v>
      </c>
      <c r="O16" s="42">
        <v>120</v>
      </c>
      <c r="P16" s="43">
        <v>140</v>
      </c>
      <c r="Q16" s="43">
        <v>1400</v>
      </c>
      <c r="R16" s="43">
        <v>84</v>
      </c>
    </row>
    <row r="17" spans="2:19" ht="15" customHeight="1" x14ac:dyDescent="0.3">
      <c r="B17" s="48"/>
      <c r="D17" s="214"/>
      <c r="E17" s="18">
        <v>1</v>
      </c>
      <c r="F17" s="19">
        <v>1.7450000000000001</v>
      </c>
      <c r="G17" s="42">
        <v>64</v>
      </c>
      <c r="H17" s="43">
        <v>170</v>
      </c>
      <c r="I17" s="43">
        <v>550</v>
      </c>
      <c r="J17" s="43">
        <v>132</v>
      </c>
      <c r="L17" s="214"/>
      <c r="M17" s="18">
        <v>1</v>
      </c>
      <c r="N17" s="19">
        <v>3.665</v>
      </c>
      <c r="O17" s="42">
        <v>60</v>
      </c>
      <c r="P17" s="43">
        <v>130</v>
      </c>
      <c r="Q17" s="43">
        <v>750</v>
      </c>
      <c r="R17" s="43">
        <v>92</v>
      </c>
    </row>
    <row r="18" spans="2:19" ht="25.8" x14ac:dyDescent="0.3">
      <c r="B18" s="50" t="s">
        <v>13</v>
      </c>
      <c r="D18" s="214"/>
      <c r="E18" s="18">
        <v>3</v>
      </c>
      <c r="F18" s="19">
        <v>1.7349999999999999</v>
      </c>
      <c r="G18" s="42">
        <v>56</v>
      </c>
      <c r="H18" s="43">
        <v>72</v>
      </c>
      <c r="I18" s="43">
        <v>940</v>
      </c>
      <c r="J18" s="43">
        <v>84</v>
      </c>
      <c r="L18" s="214"/>
      <c r="M18" s="18">
        <v>3</v>
      </c>
      <c r="N18" s="19">
        <v>3.665</v>
      </c>
      <c r="O18" s="42">
        <v>4</v>
      </c>
      <c r="P18" s="43">
        <v>44</v>
      </c>
      <c r="Q18" s="43">
        <v>580</v>
      </c>
      <c r="R18" s="43">
        <v>96</v>
      </c>
    </row>
    <row r="19" spans="2:19" ht="14.25" customHeight="1" x14ac:dyDescent="0.3">
      <c r="B19" s="48"/>
      <c r="D19" s="214"/>
      <c r="E19" s="18">
        <v>5</v>
      </c>
      <c r="F19" s="19">
        <v>1.68</v>
      </c>
      <c r="G19" s="42">
        <v>40</v>
      </c>
      <c r="H19" s="43">
        <v>40</v>
      </c>
      <c r="I19" s="43">
        <v>540</v>
      </c>
      <c r="J19" s="43">
        <v>60</v>
      </c>
      <c r="L19" s="214"/>
      <c r="M19" s="18">
        <v>5</v>
      </c>
      <c r="N19" s="19">
        <v>3.62</v>
      </c>
      <c r="O19" s="42">
        <v>6</v>
      </c>
      <c r="P19" s="43">
        <v>12</v>
      </c>
      <c r="Q19" s="43">
        <v>156</v>
      </c>
      <c r="R19" s="43">
        <v>22</v>
      </c>
    </row>
    <row r="20" spans="2:19" ht="23.4" x14ac:dyDescent="0.3">
      <c r="B20" s="48"/>
      <c r="D20" s="214"/>
      <c r="E20" s="18">
        <v>10</v>
      </c>
      <c r="F20" s="19">
        <v>1.6850000000000001</v>
      </c>
      <c r="G20" s="42">
        <v>2</v>
      </c>
      <c r="H20" s="43">
        <v>13</v>
      </c>
      <c r="I20" s="43">
        <v>191</v>
      </c>
      <c r="J20" s="43">
        <v>33</v>
      </c>
      <c r="L20" s="214"/>
      <c r="M20" s="18">
        <v>10</v>
      </c>
      <c r="N20" s="19">
        <v>3.2450000000000001</v>
      </c>
      <c r="O20" s="42" t="s">
        <v>24</v>
      </c>
      <c r="P20" s="43">
        <v>1</v>
      </c>
      <c r="Q20" s="43">
        <v>24</v>
      </c>
      <c r="R20" s="43">
        <v>3</v>
      </c>
    </row>
    <row r="21" spans="2:19" ht="23.4" x14ac:dyDescent="0.3">
      <c r="B21" s="48"/>
      <c r="D21" s="214"/>
      <c r="E21" s="18">
        <v>30</v>
      </c>
      <c r="F21" s="18">
        <v>1.55</v>
      </c>
      <c r="G21" s="42">
        <v>2</v>
      </c>
      <c r="H21" s="43">
        <v>4</v>
      </c>
      <c r="I21" s="43">
        <v>6</v>
      </c>
      <c r="J21" s="43">
        <v>1</v>
      </c>
      <c r="L21" s="214"/>
      <c r="M21" s="18">
        <v>30</v>
      </c>
      <c r="N21" s="18">
        <v>2.95</v>
      </c>
      <c r="O21" s="42" t="s">
        <v>24</v>
      </c>
      <c r="P21" s="43">
        <v>1</v>
      </c>
      <c r="Q21" s="43">
        <v>4</v>
      </c>
      <c r="R21" s="43" t="s">
        <v>24</v>
      </c>
    </row>
    <row r="22" spans="2:19" ht="23.4" x14ac:dyDescent="0.3">
      <c r="B22" s="48"/>
      <c r="D22" s="214"/>
      <c r="E22" s="5"/>
      <c r="F22" s="5"/>
      <c r="G22" s="4"/>
      <c r="H22" s="4"/>
      <c r="I22" s="4"/>
      <c r="J22" s="4"/>
      <c r="L22" s="214"/>
      <c r="M22" s="5"/>
      <c r="N22" s="5"/>
      <c r="O22" s="4"/>
      <c r="P22" s="4"/>
      <c r="Q22" s="4"/>
      <c r="R22" s="22"/>
    </row>
    <row r="23" spans="2:19" ht="23.4" x14ac:dyDescent="0.3">
      <c r="B23" s="48"/>
      <c r="D23" s="12"/>
      <c r="E23" s="11"/>
      <c r="F23" s="11"/>
      <c r="G23" s="11"/>
      <c r="H23" s="11"/>
      <c r="I23" s="11"/>
      <c r="J23" s="11"/>
      <c r="M23" s="10"/>
      <c r="N23" s="17"/>
      <c r="R23" s="9"/>
    </row>
    <row r="24" spans="2:19" ht="23.4" x14ac:dyDescent="0.3">
      <c r="B24" s="48"/>
      <c r="D24" s="12"/>
      <c r="E24" s="11"/>
      <c r="F24" s="11"/>
      <c r="G24" s="11"/>
      <c r="H24" s="11"/>
      <c r="I24" s="11"/>
      <c r="J24" s="11"/>
      <c r="M24" s="10"/>
      <c r="N24" s="17"/>
      <c r="R24" s="9"/>
    </row>
    <row r="25" spans="2:19" ht="24" thickBot="1" x14ac:dyDescent="0.35">
      <c r="B25" s="49"/>
      <c r="C25" s="13"/>
      <c r="D25" s="14"/>
      <c r="E25" s="15"/>
      <c r="F25" s="15"/>
      <c r="G25" s="15"/>
      <c r="H25" s="15"/>
      <c r="I25" s="15"/>
      <c r="J25" s="15"/>
      <c r="K25" s="13"/>
      <c r="L25" s="13"/>
      <c r="M25" s="15"/>
      <c r="N25" s="15"/>
      <c r="O25" s="13"/>
      <c r="P25" s="13"/>
      <c r="Q25" s="13"/>
      <c r="R25" s="16"/>
    </row>
    <row r="26" spans="2:19" ht="15" thickBot="1" x14ac:dyDescent="0.35">
      <c r="B26" s="58"/>
      <c r="C26" s="6"/>
      <c r="D26" s="7"/>
      <c r="E26" s="6"/>
      <c r="F26" s="6"/>
      <c r="G26" s="6"/>
      <c r="H26" s="6"/>
      <c r="I26" s="6"/>
      <c r="J26" s="6"/>
      <c r="K26" s="6"/>
      <c r="L26" s="7"/>
      <c r="M26" s="6"/>
      <c r="N26" s="6"/>
      <c r="O26" s="6"/>
      <c r="P26" s="6"/>
      <c r="Q26" s="6"/>
      <c r="R26" s="8"/>
    </row>
    <row r="27" spans="2:19" ht="23.4" x14ac:dyDescent="0.3">
      <c r="B27" s="48"/>
      <c r="D27" s="3" t="s">
        <v>3</v>
      </c>
      <c r="E27" s="3" t="s">
        <v>4</v>
      </c>
      <c r="F27" s="27" t="s">
        <v>5</v>
      </c>
      <c r="G27" s="20" t="s">
        <v>6</v>
      </c>
      <c r="H27" s="20" t="s">
        <v>7</v>
      </c>
      <c r="I27" s="20" t="s">
        <v>8</v>
      </c>
      <c r="J27" s="20" t="s">
        <v>20</v>
      </c>
      <c r="K27" s="74" t="s">
        <v>14</v>
      </c>
      <c r="L27" s="3" t="s">
        <v>3</v>
      </c>
      <c r="M27" s="3" t="s">
        <v>4</v>
      </c>
      <c r="N27" s="27" t="s">
        <v>5</v>
      </c>
      <c r="O27" s="20" t="s">
        <v>6</v>
      </c>
      <c r="P27" s="20" t="s">
        <v>7</v>
      </c>
      <c r="Q27" s="20" t="s">
        <v>8</v>
      </c>
      <c r="R27" s="21" t="s">
        <v>20</v>
      </c>
      <c r="S27" s="74" t="s">
        <v>14</v>
      </c>
    </row>
    <row r="28" spans="2:19" ht="23.4" x14ac:dyDescent="0.3">
      <c r="B28" s="48"/>
      <c r="D28" s="214" t="s">
        <v>21</v>
      </c>
      <c r="E28" s="18">
        <v>0</v>
      </c>
      <c r="F28" s="19">
        <v>1.9</v>
      </c>
      <c r="G28" s="42">
        <v>44</v>
      </c>
      <c r="H28" s="43">
        <v>136</v>
      </c>
      <c r="I28" s="43">
        <v>780</v>
      </c>
      <c r="J28" s="43">
        <v>132</v>
      </c>
      <c r="K28" s="112"/>
      <c r="L28" s="214" t="s">
        <v>21</v>
      </c>
      <c r="M28" s="18">
        <v>0</v>
      </c>
      <c r="N28" s="19">
        <v>3.98</v>
      </c>
      <c r="O28" s="42">
        <v>76</v>
      </c>
      <c r="P28" s="43">
        <v>172</v>
      </c>
      <c r="Q28" s="43">
        <v>620</v>
      </c>
      <c r="R28" s="59">
        <v>80</v>
      </c>
      <c r="S28" s="112"/>
    </row>
    <row r="29" spans="2:19" ht="23.4" x14ac:dyDescent="0.3">
      <c r="B29" s="48"/>
      <c r="D29" s="214"/>
      <c r="E29" s="18">
        <v>1</v>
      </c>
      <c r="F29" s="19">
        <v>0.91</v>
      </c>
      <c r="G29" s="42" t="s">
        <v>22</v>
      </c>
      <c r="H29" s="43" t="s">
        <v>22</v>
      </c>
      <c r="I29" s="43">
        <v>30</v>
      </c>
      <c r="J29" s="43">
        <v>8</v>
      </c>
      <c r="K29" s="112"/>
      <c r="L29" s="214"/>
      <c r="M29" s="18">
        <v>1</v>
      </c>
      <c r="N29" s="19">
        <v>3.02</v>
      </c>
      <c r="O29" s="42" t="s">
        <v>22</v>
      </c>
      <c r="P29" s="43" t="s">
        <v>22</v>
      </c>
      <c r="Q29" s="43">
        <v>10</v>
      </c>
      <c r="R29" s="59">
        <v>4</v>
      </c>
      <c r="S29" s="112"/>
    </row>
    <row r="30" spans="2:19" ht="129" x14ac:dyDescent="0.3">
      <c r="B30" s="50" t="s">
        <v>15</v>
      </c>
      <c r="D30" s="214"/>
      <c r="E30" s="18">
        <v>3</v>
      </c>
      <c r="F30" s="19">
        <v>0.68</v>
      </c>
      <c r="G30" s="42" t="s">
        <v>22</v>
      </c>
      <c r="H30" s="43" t="s">
        <v>22</v>
      </c>
      <c r="I30" s="43">
        <v>12</v>
      </c>
      <c r="J30" s="43">
        <v>16</v>
      </c>
      <c r="K30" s="112"/>
      <c r="L30" s="214"/>
      <c r="M30" s="18">
        <v>3</v>
      </c>
      <c r="N30" s="19">
        <v>2.48</v>
      </c>
      <c r="O30" s="42" t="s">
        <v>22</v>
      </c>
      <c r="P30" s="43" t="s">
        <v>22</v>
      </c>
      <c r="Q30" s="43">
        <v>4</v>
      </c>
      <c r="R30" s="59" t="s">
        <v>22</v>
      </c>
      <c r="S30" s="112"/>
    </row>
    <row r="31" spans="2:19" ht="23.4" x14ac:dyDescent="0.3">
      <c r="B31" s="48"/>
      <c r="D31" s="214"/>
      <c r="E31" s="18">
        <v>5</v>
      </c>
      <c r="F31" s="19">
        <v>0.56500000000000006</v>
      </c>
      <c r="G31" s="42" t="s">
        <v>22</v>
      </c>
      <c r="H31" s="43" t="s">
        <v>22</v>
      </c>
      <c r="I31" s="43">
        <v>4</v>
      </c>
      <c r="J31" s="43" t="s">
        <v>22</v>
      </c>
      <c r="K31" s="112"/>
      <c r="L31" s="214"/>
      <c r="M31" s="18">
        <v>5</v>
      </c>
      <c r="N31" s="19">
        <v>2.58</v>
      </c>
      <c r="O31" s="42" t="s">
        <v>22</v>
      </c>
      <c r="P31" s="43" t="s">
        <v>22</v>
      </c>
      <c r="Q31" s="43" t="s">
        <v>22</v>
      </c>
      <c r="R31" s="59" t="s">
        <v>22</v>
      </c>
      <c r="S31" s="112"/>
    </row>
    <row r="32" spans="2:19" ht="23.4" x14ac:dyDescent="0.3">
      <c r="B32" s="48"/>
      <c r="D32" s="214"/>
      <c r="E32" s="18">
        <v>10</v>
      </c>
      <c r="F32" s="19">
        <v>0.43500000000000005</v>
      </c>
      <c r="G32" s="42">
        <v>1</v>
      </c>
      <c r="H32" s="43">
        <v>1</v>
      </c>
      <c r="I32" s="43">
        <v>9</v>
      </c>
      <c r="J32" s="43">
        <v>7</v>
      </c>
      <c r="K32" s="5" t="s">
        <v>16</v>
      </c>
      <c r="L32" s="214"/>
      <c r="M32" s="18">
        <v>10</v>
      </c>
      <c r="N32" s="19">
        <v>2.2000000000000002</v>
      </c>
      <c r="O32" s="42" t="s">
        <v>24</v>
      </c>
      <c r="P32" s="43" t="s">
        <v>24</v>
      </c>
      <c r="Q32" s="43" t="s">
        <v>24</v>
      </c>
      <c r="R32" s="59" t="s">
        <v>24</v>
      </c>
      <c r="S32" s="5" t="s">
        <v>16</v>
      </c>
    </row>
    <row r="33" spans="2:19" ht="24" thickBot="1" x14ac:dyDescent="0.35">
      <c r="B33" s="48"/>
      <c r="D33" s="214"/>
      <c r="E33" s="18">
        <v>30</v>
      </c>
      <c r="F33" s="19">
        <v>0.28500000000000003</v>
      </c>
      <c r="G33" s="42">
        <v>1</v>
      </c>
      <c r="H33" s="43">
        <v>2</v>
      </c>
      <c r="I33" s="43">
        <v>2</v>
      </c>
      <c r="J33" s="43">
        <v>1</v>
      </c>
      <c r="K33" s="5" t="s">
        <v>16</v>
      </c>
      <c r="L33" s="214"/>
      <c r="M33" s="18">
        <v>30</v>
      </c>
      <c r="N33" s="18">
        <v>1.82</v>
      </c>
      <c r="O33" s="44" t="s">
        <v>24</v>
      </c>
      <c r="P33" s="45" t="s">
        <v>24</v>
      </c>
      <c r="Q33" s="46" t="s">
        <v>24</v>
      </c>
      <c r="R33" s="60" t="s">
        <v>24</v>
      </c>
      <c r="S33" s="5" t="s">
        <v>16</v>
      </c>
    </row>
    <row r="34" spans="2:19" ht="23.4" x14ac:dyDescent="0.3">
      <c r="B34" s="48"/>
      <c r="D34" s="214"/>
      <c r="E34" s="5"/>
      <c r="F34" s="5"/>
      <c r="G34" s="4"/>
      <c r="H34" s="4"/>
      <c r="I34" s="4"/>
      <c r="J34" s="4"/>
      <c r="K34" s="112"/>
      <c r="L34" s="214"/>
      <c r="M34" s="5"/>
      <c r="N34" s="5"/>
      <c r="O34" s="4"/>
      <c r="P34" s="4"/>
      <c r="Q34" s="4"/>
      <c r="R34" s="22"/>
      <c r="S34" s="112"/>
    </row>
    <row r="35" spans="2:19" ht="23.4" x14ac:dyDescent="0.3">
      <c r="B35" s="48"/>
      <c r="D35" s="12"/>
      <c r="E35" s="11"/>
      <c r="F35" s="11"/>
      <c r="G35" s="11"/>
      <c r="H35" s="11"/>
      <c r="I35" s="11"/>
      <c r="J35" s="11"/>
      <c r="M35" s="10"/>
      <c r="N35" s="17"/>
      <c r="R35" s="9"/>
    </row>
    <row r="36" spans="2:19" ht="15" customHeight="1" x14ac:dyDescent="0.3">
      <c r="B36" s="48"/>
      <c r="D36" s="12"/>
      <c r="E36" s="11"/>
      <c r="F36" s="11"/>
      <c r="G36" s="11"/>
      <c r="H36" s="11"/>
      <c r="I36" s="11"/>
      <c r="J36" s="11"/>
      <c r="M36" s="10"/>
      <c r="N36" s="17"/>
      <c r="R36" s="9"/>
    </row>
    <row r="37" spans="2:19" ht="24" thickBot="1" x14ac:dyDescent="0.35">
      <c r="B37" s="49"/>
      <c r="C37" s="13"/>
      <c r="D37" s="14"/>
      <c r="E37" s="15"/>
      <c r="F37" s="15"/>
      <c r="G37" s="15"/>
      <c r="H37" s="15"/>
      <c r="I37" s="15"/>
      <c r="J37" s="15"/>
      <c r="K37" s="13"/>
      <c r="L37" s="13"/>
      <c r="M37" s="15"/>
      <c r="N37" s="15"/>
      <c r="O37" s="13"/>
      <c r="P37" s="13"/>
      <c r="Q37" s="13"/>
      <c r="R37" s="16"/>
    </row>
    <row r="38" spans="2:19" ht="15" thickBot="1" x14ac:dyDescent="0.35">
      <c r="B38" s="58"/>
      <c r="C38" s="6"/>
      <c r="D38" s="7"/>
      <c r="E38" s="6"/>
      <c r="F38" s="6"/>
      <c r="G38" s="6"/>
      <c r="H38" s="6"/>
      <c r="I38" s="6"/>
      <c r="J38" s="6"/>
      <c r="K38" s="6"/>
      <c r="L38" s="7"/>
      <c r="M38" s="6"/>
      <c r="N38" s="6"/>
      <c r="O38" s="6"/>
      <c r="P38" s="6"/>
      <c r="Q38" s="6"/>
      <c r="R38" s="8"/>
    </row>
    <row r="39" spans="2:19" ht="15" customHeight="1" x14ac:dyDescent="0.3">
      <c r="B39" s="48"/>
      <c r="D39" s="3" t="s">
        <v>3</v>
      </c>
      <c r="E39" s="3" t="s">
        <v>4</v>
      </c>
      <c r="F39" s="27" t="s">
        <v>5</v>
      </c>
      <c r="G39" s="20" t="s">
        <v>6</v>
      </c>
      <c r="H39" s="20" t="s">
        <v>7</v>
      </c>
      <c r="I39" s="20" t="s">
        <v>8</v>
      </c>
      <c r="J39" s="20" t="s">
        <v>20</v>
      </c>
      <c r="L39" s="3" t="s">
        <v>3</v>
      </c>
      <c r="M39" s="3" t="s">
        <v>4</v>
      </c>
      <c r="N39" s="27" t="s">
        <v>5</v>
      </c>
      <c r="O39" s="20" t="s">
        <v>6</v>
      </c>
      <c r="P39" s="20" t="s">
        <v>7</v>
      </c>
      <c r="Q39" s="20" t="s">
        <v>8</v>
      </c>
      <c r="R39" s="21" t="s">
        <v>20</v>
      </c>
    </row>
    <row r="40" spans="2:19" ht="23.4" x14ac:dyDescent="0.3">
      <c r="B40" s="48"/>
      <c r="D40" s="214" t="s">
        <v>21</v>
      </c>
      <c r="E40" s="18">
        <v>0</v>
      </c>
      <c r="F40" s="19">
        <v>1.9</v>
      </c>
      <c r="G40" s="42">
        <v>44</v>
      </c>
      <c r="H40" s="43">
        <v>136</v>
      </c>
      <c r="I40" s="43">
        <v>780</v>
      </c>
      <c r="J40" s="43">
        <v>132</v>
      </c>
      <c r="L40" s="214" t="s">
        <v>21</v>
      </c>
      <c r="M40" s="18">
        <v>0</v>
      </c>
      <c r="N40" s="19">
        <v>3.98</v>
      </c>
      <c r="O40" s="4">
        <v>76</v>
      </c>
      <c r="P40" s="4">
        <v>172</v>
      </c>
      <c r="Q40" s="4">
        <v>620</v>
      </c>
      <c r="R40" s="22">
        <v>80</v>
      </c>
    </row>
    <row r="41" spans="2:19" ht="23.4" x14ac:dyDescent="0.3">
      <c r="B41" s="48"/>
      <c r="D41" s="214"/>
      <c r="E41" s="18">
        <v>1</v>
      </c>
      <c r="F41" s="19">
        <v>0.72</v>
      </c>
      <c r="G41" s="42" t="s">
        <v>22</v>
      </c>
      <c r="H41" s="43" t="s">
        <v>22</v>
      </c>
      <c r="I41" s="43">
        <v>30</v>
      </c>
      <c r="J41" s="43">
        <v>8</v>
      </c>
      <c r="L41" s="214"/>
      <c r="M41" s="18">
        <v>1</v>
      </c>
      <c r="N41" s="19">
        <v>2.56</v>
      </c>
      <c r="O41" s="4" t="s">
        <v>22</v>
      </c>
      <c r="P41" s="4" t="s">
        <v>22</v>
      </c>
      <c r="Q41" s="4">
        <v>10</v>
      </c>
      <c r="R41" s="22">
        <v>4</v>
      </c>
    </row>
    <row r="42" spans="2:19" ht="23.4" x14ac:dyDescent="0.3">
      <c r="B42" s="48"/>
      <c r="D42" s="214"/>
      <c r="E42" s="18">
        <v>3</v>
      </c>
      <c r="F42" s="19">
        <v>0.44</v>
      </c>
      <c r="G42" s="42" t="s">
        <v>22</v>
      </c>
      <c r="H42" s="43" t="s">
        <v>22</v>
      </c>
      <c r="I42" s="43">
        <v>12</v>
      </c>
      <c r="J42" s="43">
        <v>16</v>
      </c>
      <c r="L42" s="214"/>
      <c r="M42" s="18">
        <v>3</v>
      </c>
      <c r="N42" s="19">
        <v>2.2000000000000002</v>
      </c>
      <c r="O42" s="4" t="s">
        <v>22</v>
      </c>
      <c r="P42" s="4" t="s">
        <v>22</v>
      </c>
      <c r="Q42" s="4">
        <v>4</v>
      </c>
      <c r="R42" s="22" t="s">
        <v>22</v>
      </c>
    </row>
    <row r="43" spans="2:19" ht="103.2" x14ac:dyDescent="0.3">
      <c r="B43" s="50" t="s">
        <v>17</v>
      </c>
      <c r="D43" s="214"/>
      <c r="E43" s="18">
        <v>5</v>
      </c>
      <c r="F43" s="19">
        <v>0.34</v>
      </c>
      <c r="G43" s="42" t="s">
        <v>22</v>
      </c>
      <c r="H43" s="43" t="s">
        <v>22</v>
      </c>
      <c r="I43" s="43">
        <v>4</v>
      </c>
      <c r="J43" s="43" t="s">
        <v>22</v>
      </c>
      <c r="L43" s="214"/>
      <c r="M43" s="18">
        <v>5</v>
      </c>
      <c r="N43" s="19">
        <v>1.91</v>
      </c>
      <c r="O43" s="4" t="s">
        <v>22</v>
      </c>
      <c r="P43" s="4" t="s">
        <v>22</v>
      </c>
      <c r="Q43" s="4" t="s">
        <v>22</v>
      </c>
      <c r="R43" s="22" t="s">
        <v>22</v>
      </c>
    </row>
    <row r="44" spans="2:19" ht="23.4" x14ac:dyDescent="0.3">
      <c r="B44" s="48"/>
      <c r="D44" s="214"/>
      <c r="E44" s="18">
        <v>10</v>
      </c>
      <c r="F44" s="19">
        <v>0.2</v>
      </c>
      <c r="G44" s="42">
        <v>1</v>
      </c>
      <c r="H44" s="43">
        <v>1</v>
      </c>
      <c r="I44" s="43">
        <v>9</v>
      </c>
      <c r="J44" s="43">
        <v>7</v>
      </c>
      <c r="L44" s="214"/>
      <c r="M44" s="18">
        <v>10</v>
      </c>
      <c r="N44" s="19">
        <v>1.67</v>
      </c>
      <c r="O44" s="4" t="s">
        <v>24</v>
      </c>
      <c r="P44" s="4" t="s">
        <v>24</v>
      </c>
      <c r="Q44" s="4" t="s">
        <v>24</v>
      </c>
      <c r="R44" s="22" t="s">
        <v>24</v>
      </c>
    </row>
    <row r="45" spans="2:19" ht="23.4" x14ac:dyDescent="0.3">
      <c r="B45" s="48"/>
      <c r="D45" s="214"/>
      <c r="E45" s="18">
        <v>30</v>
      </c>
      <c r="F45" s="18">
        <v>0.06</v>
      </c>
      <c r="G45" s="42">
        <v>1</v>
      </c>
      <c r="H45" s="43">
        <v>2</v>
      </c>
      <c r="I45" s="43">
        <v>2</v>
      </c>
      <c r="J45" s="43">
        <v>1</v>
      </c>
      <c r="L45" s="214"/>
      <c r="M45" s="18">
        <v>30</v>
      </c>
      <c r="N45" s="18">
        <v>1.21</v>
      </c>
      <c r="O45" s="4" t="s">
        <v>24</v>
      </c>
      <c r="P45" s="4" t="s">
        <v>24</v>
      </c>
      <c r="Q45" s="4" t="s">
        <v>24</v>
      </c>
      <c r="R45" s="22" t="s">
        <v>24</v>
      </c>
    </row>
    <row r="46" spans="2:19" ht="23.4" x14ac:dyDescent="0.3">
      <c r="B46" s="48"/>
      <c r="D46" s="214"/>
      <c r="E46" s="5"/>
      <c r="F46" s="5"/>
      <c r="G46" s="4"/>
      <c r="H46" s="4"/>
      <c r="I46" s="4"/>
      <c r="J46" s="4"/>
      <c r="L46" s="214"/>
      <c r="M46" s="5"/>
      <c r="N46" s="5"/>
      <c r="O46" s="4"/>
      <c r="P46" s="4"/>
      <c r="Q46" s="4"/>
      <c r="R46" s="22"/>
    </row>
    <row r="47" spans="2:19" ht="23.4" x14ac:dyDescent="0.3">
      <c r="B47" s="48"/>
      <c r="D47" s="11"/>
      <c r="E47" s="10"/>
      <c r="F47" s="10"/>
      <c r="G47" s="61"/>
      <c r="H47" s="61"/>
      <c r="I47" s="61"/>
      <c r="J47" s="61"/>
      <c r="L47" s="11"/>
      <c r="M47" s="10"/>
      <c r="N47" s="10"/>
      <c r="O47" s="61"/>
      <c r="P47" s="61"/>
      <c r="Q47" s="61"/>
      <c r="R47" s="23"/>
    </row>
    <row r="48" spans="2:19" ht="23.4" x14ac:dyDescent="0.3">
      <c r="B48" s="48"/>
      <c r="R48" s="9"/>
    </row>
    <row r="49" spans="2:18" ht="24" thickBot="1" x14ac:dyDescent="0.35">
      <c r="B49" s="49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6"/>
    </row>
    <row r="52" spans="2:18" ht="15" customHeight="1" x14ac:dyDescent="0.3"/>
    <row r="55" spans="2:18" ht="14.7" customHeight="1" x14ac:dyDescent="0.3"/>
    <row r="70" ht="14.25" customHeight="1" x14ac:dyDescent="0.3"/>
    <row r="72" ht="14.25" customHeight="1" x14ac:dyDescent="0.3"/>
    <row r="108" ht="14.7" customHeight="1" x14ac:dyDescent="0.3"/>
    <row r="123" ht="14.25" customHeight="1" x14ac:dyDescent="0.3"/>
    <row r="125" ht="14.25" customHeight="1" x14ac:dyDescent="0.3"/>
    <row r="161" ht="14.7" customHeight="1" x14ac:dyDescent="0.3"/>
    <row r="176" ht="14.25" customHeight="1" x14ac:dyDescent="0.3"/>
    <row r="178" ht="14.25" customHeight="1" x14ac:dyDescent="0.3"/>
  </sheetData>
  <mergeCells count="8">
    <mergeCell ref="D40:D46"/>
    <mergeCell ref="L40:L46"/>
    <mergeCell ref="D4:D10"/>
    <mergeCell ref="L4:L10"/>
    <mergeCell ref="D16:D22"/>
    <mergeCell ref="L16:L22"/>
    <mergeCell ref="D28:D34"/>
    <mergeCell ref="L28:L3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13"/>
  <sheetViews>
    <sheetView zoomScale="80" zoomScaleNormal="80" workbookViewId="0">
      <selection activeCell="H44" sqref="H44"/>
    </sheetView>
  </sheetViews>
  <sheetFormatPr defaultColWidth="9.109375" defaultRowHeight="14.4" x14ac:dyDescent="0.3"/>
  <cols>
    <col min="1" max="1" width="56" style="2" bestFit="1" customWidth="1"/>
    <col min="2" max="2" width="17.44140625" style="2" customWidth="1"/>
    <col min="3" max="3" width="9.109375" style="2"/>
    <col min="4" max="4" width="17" style="2" customWidth="1"/>
    <col min="5" max="5" width="10.6640625" style="2" customWidth="1"/>
    <col min="6" max="6" width="11.6640625" style="2" customWidth="1"/>
    <col min="7" max="7" width="8.6640625" style="2" customWidth="1"/>
    <col min="8" max="8" width="13.109375" style="2" customWidth="1"/>
    <col min="9" max="9" width="7.44140625" style="2" customWidth="1"/>
    <col min="10" max="10" width="6.88671875" style="2" customWidth="1"/>
    <col min="11" max="11" width="8.44140625" style="2" customWidth="1"/>
    <col min="12" max="12" width="10.88671875" style="2" customWidth="1"/>
    <col min="13" max="13" width="10.33203125" style="2" customWidth="1"/>
    <col min="14" max="14" width="7.44140625" style="2" customWidth="1"/>
    <col min="15" max="15" width="13" style="2" customWidth="1"/>
    <col min="16" max="16" width="10.33203125" style="2" customWidth="1"/>
    <col min="17" max="17" width="7.5546875" style="2" customWidth="1"/>
    <col min="18" max="18" width="8" style="2" customWidth="1"/>
    <col min="19" max="19" width="21" style="2" bestFit="1" customWidth="1"/>
    <col min="20" max="28" width="9.109375" style="2"/>
    <col min="29" max="29" width="14.33203125" style="2" bestFit="1" customWidth="1"/>
    <col min="30" max="16384" width="9.109375" style="2"/>
  </cols>
  <sheetData>
    <row r="1" spans="1:24" ht="26.4" thickBot="1" x14ac:dyDescent="0.55000000000000004">
      <c r="A1" s="51" t="s">
        <v>25</v>
      </c>
    </row>
    <row r="2" spans="1:24" ht="26.4" thickBot="1" x14ac:dyDescent="0.55000000000000004">
      <c r="A2" s="51" t="s">
        <v>26</v>
      </c>
      <c r="B2" s="65"/>
      <c r="C2" s="6"/>
      <c r="D2" s="7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8"/>
    </row>
    <row r="3" spans="1:24" ht="25.8" x14ac:dyDescent="0.5">
      <c r="A3" s="52">
        <v>45264</v>
      </c>
      <c r="B3" s="66"/>
      <c r="D3" s="3" t="s">
        <v>3</v>
      </c>
      <c r="E3" s="3" t="s">
        <v>4</v>
      </c>
      <c r="F3" s="27" t="s">
        <v>5</v>
      </c>
      <c r="G3" s="20" t="s">
        <v>6</v>
      </c>
      <c r="H3" s="20" t="s">
        <v>7</v>
      </c>
      <c r="I3" s="20" t="s">
        <v>8</v>
      </c>
      <c r="J3" s="20" t="s">
        <v>20</v>
      </c>
      <c r="L3" s="3" t="s">
        <v>3</v>
      </c>
      <c r="M3" s="3" t="s">
        <v>4</v>
      </c>
      <c r="N3" s="27" t="s">
        <v>5</v>
      </c>
      <c r="O3" s="20" t="s">
        <v>6</v>
      </c>
      <c r="P3" s="20" t="s">
        <v>7</v>
      </c>
      <c r="Q3" s="20" t="s">
        <v>8</v>
      </c>
      <c r="R3" s="21" t="s">
        <v>20</v>
      </c>
      <c r="T3" s="1"/>
      <c r="V3" s="1"/>
      <c r="X3" s="1"/>
    </row>
    <row r="4" spans="1:24" x14ac:dyDescent="0.3">
      <c r="B4" s="66"/>
      <c r="D4" s="214" t="s">
        <v>27</v>
      </c>
      <c r="E4" s="18">
        <v>0</v>
      </c>
      <c r="F4" s="71">
        <v>1.0900000000000001</v>
      </c>
      <c r="G4" s="4">
        <v>15200</v>
      </c>
      <c r="H4" s="4">
        <v>22000</v>
      </c>
      <c r="I4" s="4">
        <v>110000</v>
      </c>
      <c r="J4" s="4">
        <v>5950</v>
      </c>
      <c r="L4" s="214" t="s">
        <v>27</v>
      </c>
      <c r="M4" s="18">
        <v>0</v>
      </c>
      <c r="N4" s="37">
        <v>2.08</v>
      </c>
      <c r="O4" s="4">
        <v>12400</v>
      </c>
      <c r="P4" s="4">
        <v>19750</v>
      </c>
      <c r="Q4" s="4">
        <v>105000</v>
      </c>
      <c r="R4" s="64">
        <v>5075</v>
      </c>
      <c r="T4" s="1"/>
      <c r="V4" s="1"/>
    </row>
    <row r="5" spans="1:24" x14ac:dyDescent="0.3">
      <c r="B5" s="66"/>
      <c r="D5" s="214"/>
      <c r="E5" s="18">
        <v>1</v>
      </c>
      <c r="F5" s="63">
        <v>0.88</v>
      </c>
      <c r="G5" s="4">
        <v>2400</v>
      </c>
      <c r="H5" s="4">
        <v>18500</v>
      </c>
      <c r="I5" s="4">
        <v>110000</v>
      </c>
      <c r="J5" s="4">
        <v>3750</v>
      </c>
      <c r="L5" s="214"/>
      <c r="M5" s="18">
        <v>1</v>
      </c>
      <c r="N5" s="63">
        <v>1.77</v>
      </c>
      <c r="O5" s="4">
        <v>3100</v>
      </c>
      <c r="P5" s="4">
        <v>4600</v>
      </c>
      <c r="Q5" s="4">
        <v>67000</v>
      </c>
      <c r="R5" s="22">
        <v>3950</v>
      </c>
    </row>
    <row r="6" spans="1:24" ht="25.8" x14ac:dyDescent="0.5">
      <c r="A6" s="51" t="s">
        <v>28</v>
      </c>
      <c r="B6" s="50" t="s">
        <v>12</v>
      </c>
      <c r="D6" s="214"/>
      <c r="E6" s="18">
        <v>3</v>
      </c>
      <c r="F6" s="63">
        <v>0.82</v>
      </c>
      <c r="G6" s="4">
        <v>3000</v>
      </c>
      <c r="H6" s="4">
        <v>5300</v>
      </c>
      <c r="I6" s="4">
        <v>59000</v>
      </c>
      <c r="J6" s="4">
        <v>3900</v>
      </c>
      <c r="L6" s="214"/>
      <c r="M6" s="18">
        <v>3</v>
      </c>
      <c r="N6" s="63">
        <v>1.68</v>
      </c>
      <c r="O6" s="4">
        <v>88</v>
      </c>
      <c r="P6" s="4">
        <v>148</v>
      </c>
      <c r="Q6" s="4">
        <v>2480</v>
      </c>
      <c r="R6" s="22">
        <v>600</v>
      </c>
    </row>
    <row r="7" spans="1:24" x14ac:dyDescent="0.3">
      <c r="B7" s="66"/>
      <c r="D7" s="214"/>
      <c r="E7" s="18">
        <v>5</v>
      </c>
      <c r="F7" s="63">
        <v>0.78</v>
      </c>
      <c r="G7" s="4">
        <v>405</v>
      </c>
      <c r="H7" s="4">
        <v>950</v>
      </c>
      <c r="I7" s="4">
        <v>19400</v>
      </c>
      <c r="J7" s="64">
        <v>1645</v>
      </c>
      <c r="L7" s="214"/>
      <c r="M7" s="18">
        <v>5</v>
      </c>
      <c r="N7" s="63">
        <v>1.58</v>
      </c>
      <c r="O7" s="4">
        <v>76</v>
      </c>
      <c r="P7" s="4">
        <v>94</v>
      </c>
      <c r="Q7" s="4">
        <v>350</v>
      </c>
      <c r="R7" s="22">
        <v>176</v>
      </c>
    </row>
    <row r="8" spans="1:24" x14ac:dyDescent="0.3">
      <c r="B8" s="66"/>
      <c r="D8" s="214"/>
      <c r="E8" s="18">
        <v>10</v>
      </c>
      <c r="F8" s="63">
        <v>0.72</v>
      </c>
      <c r="G8" s="4">
        <v>56.000000000000007</v>
      </c>
      <c r="H8" s="4">
        <v>164</v>
      </c>
      <c r="I8" s="4">
        <v>1450</v>
      </c>
      <c r="J8" s="4">
        <v>460.00000000000006</v>
      </c>
      <c r="L8" s="214"/>
      <c r="M8" s="18">
        <v>10</v>
      </c>
      <c r="N8" s="80">
        <v>1.5</v>
      </c>
      <c r="O8" s="4">
        <v>53</v>
      </c>
      <c r="P8" s="4">
        <v>72</v>
      </c>
      <c r="Q8" s="4">
        <v>280</v>
      </c>
      <c r="R8" s="22">
        <v>16</v>
      </c>
    </row>
    <row r="9" spans="1:24" x14ac:dyDescent="0.3">
      <c r="B9" s="66"/>
      <c r="D9" s="214"/>
      <c r="E9" s="18">
        <v>30</v>
      </c>
      <c r="F9" s="63">
        <v>0.49</v>
      </c>
      <c r="G9" s="4">
        <v>46</v>
      </c>
      <c r="H9" s="4">
        <v>64</v>
      </c>
      <c r="I9" s="4">
        <v>260</v>
      </c>
      <c r="J9" s="4">
        <v>20</v>
      </c>
      <c r="L9" s="214"/>
      <c r="M9" s="18">
        <v>30</v>
      </c>
      <c r="N9" s="63">
        <v>1.1200000000000001</v>
      </c>
      <c r="O9" s="4">
        <v>54</v>
      </c>
      <c r="P9" s="4">
        <v>54</v>
      </c>
      <c r="Q9" s="4">
        <v>140</v>
      </c>
      <c r="R9" s="22">
        <v>2</v>
      </c>
    </row>
    <row r="10" spans="1:24" x14ac:dyDescent="0.3">
      <c r="B10" s="66"/>
      <c r="D10" s="214"/>
      <c r="E10" s="5"/>
      <c r="F10" s="5"/>
      <c r="G10" s="4"/>
      <c r="H10" s="4"/>
      <c r="I10" s="4"/>
      <c r="J10" s="4"/>
      <c r="L10" s="214"/>
      <c r="M10" s="5"/>
      <c r="N10" s="5"/>
      <c r="O10" s="4"/>
      <c r="P10" s="4"/>
      <c r="Q10" s="4"/>
      <c r="R10" s="22"/>
    </row>
    <row r="11" spans="1:24" x14ac:dyDescent="0.3">
      <c r="B11" s="66"/>
      <c r="D11" s="12"/>
      <c r="E11" s="11"/>
      <c r="F11" s="11"/>
      <c r="G11" s="11"/>
      <c r="H11" s="11"/>
      <c r="I11" s="11"/>
      <c r="J11" s="11"/>
      <c r="M11" s="10"/>
      <c r="N11" s="17"/>
      <c r="R11" s="9"/>
    </row>
    <row r="12" spans="1:24" x14ac:dyDescent="0.3">
      <c r="B12" s="66"/>
      <c r="D12" s="12"/>
      <c r="E12" s="11"/>
      <c r="F12" s="11"/>
      <c r="G12" s="11"/>
      <c r="H12" s="11"/>
      <c r="I12" s="11"/>
      <c r="J12" s="11"/>
      <c r="M12" s="10"/>
      <c r="N12" s="17"/>
      <c r="R12" s="9"/>
    </row>
    <row r="13" spans="1:24" ht="15" thickBot="1" x14ac:dyDescent="0.35">
      <c r="B13" s="67"/>
      <c r="C13" s="13"/>
      <c r="D13" s="14"/>
      <c r="E13" s="15"/>
      <c r="F13" s="15"/>
      <c r="G13" s="15"/>
      <c r="H13" s="15"/>
      <c r="I13" s="15"/>
      <c r="J13" s="15"/>
      <c r="K13" s="13"/>
      <c r="L13" s="13"/>
      <c r="M13" s="15"/>
      <c r="N13" s="15"/>
      <c r="O13" s="13"/>
      <c r="P13" s="13"/>
      <c r="Q13" s="13"/>
      <c r="R13" s="16"/>
    </row>
    <row r="14" spans="1:24" ht="15" thickBot="1" x14ac:dyDescent="0.35">
      <c r="B14" s="65"/>
      <c r="C14" s="6"/>
      <c r="D14" s="7"/>
      <c r="E14" s="6"/>
      <c r="F14" s="6"/>
      <c r="G14" s="6"/>
      <c r="H14" s="6"/>
      <c r="I14" s="6"/>
      <c r="J14" s="6"/>
      <c r="K14" s="6"/>
      <c r="L14" s="7"/>
      <c r="M14" s="6"/>
      <c r="N14" s="6"/>
      <c r="O14" s="6"/>
      <c r="P14" s="6"/>
      <c r="Q14" s="6"/>
      <c r="R14" s="8"/>
    </row>
    <row r="15" spans="1:24" x14ac:dyDescent="0.3">
      <c r="B15" s="66"/>
      <c r="D15" s="3" t="s">
        <v>3</v>
      </c>
      <c r="E15" s="3" t="s">
        <v>4</v>
      </c>
      <c r="F15" s="27" t="s">
        <v>5</v>
      </c>
      <c r="G15" s="20" t="s">
        <v>6</v>
      </c>
      <c r="H15" s="20" t="s">
        <v>7</v>
      </c>
      <c r="I15" s="20" t="s">
        <v>8</v>
      </c>
      <c r="J15" s="20" t="s">
        <v>20</v>
      </c>
      <c r="L15" s="3" t="s">
        <v>3</v>
      </c>
      <c r="M15" s="3" t="s">
        <v>4</v>
      </c>
      <c r="N15" s="27" t="s">
        <v>5</v>
      </c>
      <c r="O15" s="20" t="s">
        <v>6</v>
      </c>
      <c r="P15" s="20" t="s">
        <v>7</v>
      </c>
      <c r="Q15" s="20" t="s">
        <v>8</v>
      </c>
      <c r="R15" s="21" t="s">
        <v>20</v>
      </c>
    </row>
    <row r="16" spans="1:24" x14ac:dyDescent="0.3">
      <c r="B16" s="66"/>
      <c r="D16" s="214" t="s">
        <v>27</v>
      </c>
      <c r="E16" s="18">
        <v>0</v>
      </c>
      <c r="F16" s="37">
        <v>2.12</v>
      </c>
      <c r="G16" s="4">
        <v>29100</v>
      </c>
      <c r="H16" s="4">
        <v>50500</v>
      </c>
      <c r="I16" s="4">
        <v>307500</v>
      </c>
      <c r="J16" s="64">
        <v>7100</v>
      </c>
      <c r="L16" s="214" t="s">
        <v>27</v>
      </c>
      <c r="M16" s="18">
        <v>0</v>
      </c>
      <c r="N16" s="37">
        <v>4.34</v>
      </c>
      <c r="O16" s="4">
        <v>24800</v>
      </c>
      <c r="P16" s="4">
        <v>36000</v>
      </c>
      <c r="Q16" s="4">
        <v>265000</v>
      </c>
      <c r="R16" s="22">
        <v>6320</v>
      </c>
    </row>
    <row r="17" spans="2:19" ht="15" customHeight="1" x14ac:dyDescent="0.3">
      <c r="B17" s="66"/>
      <c r="D17" s="214"/>
      <c r="E17" s="18">
        <v>1</v>
      </c>
      <c r="F17" s="63">
        <v>1.1299999999999999</v>
      </c>
      <c r="G17" s="4">
        <v>27600</v>
      </c>
      <c r="H17" s="4">
        <v>52000</v>
      </c>
      <c r="I17" s="4">
        <v>320000</v>
      </c>
      <c r="J17" s="4">
        <v>6560</v>
      </c>
      <c r="L17" s="214"/>
      <c r="M17" s="18">
        <v>1</v>
      </c>
      <c r="N17" s="63">
        <v>3.88</v>
      </c>
      <c r="O17" s="4">
        <v>27800</v>
      </c>
      <c r="P17" s="4">
        <v>48000</v>
      </c>
      <c r="Q17" s="4">
        <v>260000</v>
      </c>
      <c r="R17" s="22">
        <v>6540</v>
      </c>
    </row>
    <row r="18" spans="2:19" ht="25.8" x14ac:dyDescent="0.3">
      <c r="B18" s="50" t="s">
        <v>13</v>
      </c>
      <c r="D18" s="214"/>
      <c r="E18" s="18">
        <v>3</v>
      </c>
      <c r="F18" s="63">
        <v>1.06</v>
      </c>
      <c r="G18" s="4">
        <v>36400</v>
      </c>
      <c r="H18" s="4">
        <v>55000</v>
      </c>
      <c r="I18" s="4">
        <v>278000</v>
      </c>
      <c r="J18" s="4">
        <v>6900</v>
      </c>
      <c r="L18" s="214"/>
      <c r="M18" s="18">
        <v>3</v>
      </c>
      <c r="N18" s="63">
        <v>3.77</v>
      </c>
      <c r="O18" s="4">
        <v>16400</v>
      </c>
      <c r="P18" s="4">
        <v>31500</v>
      </c>
      <c r="Q18" s="4">
        <v>218000</v>
      </c>
      <c r="R18" s="22">
        <v>6280</v>
      </c>
    </row>
    <row r="19" spans="2:19" ht="14.25" customHeight="1" x14ac:dyDescent="0.3">
      <c r="B19" s="66"/>
      <c r="D19" s="214"/>
      <c r="E19" s="18">
        <v>5</v>
      </c>
      <c r="F19" s="63">
        <v>1.05</v>
      </c>
      <c r="G19" s="4">
        <v>25500</v>
      </c>
      <c r="H19" s="4">
        <v>51000</v>
      </c>
      <c r="I19" s="4">
        <v>310000</v>
      </c>
      <c r="J19" s="4">
        <v>7840</v>
      </c>
      <c r="L19" s="214"/>
      <c r="M19" s="18">
        <v>5</v>
      </c>
      <c r="N19" s="63">
        <v>3.73</v>
      </c>
      <c r="O19" s="4">
        <v>5225</v>
      </c>
      <c r="P19" s="4">
        <v>8525</v>
      </c>
      <c r="Q19" s="4">
        <v>109000</v>
      </c>
      <c r="R19" s="64">
        <v>2665</v>
      </c>
    </row>
    <row r="20" spans="2:19" x14ac:dyDescent="0.3">
      <c r="B20" s="66"/>
      <c r="D20" s="214"/>
      <c r="E20" s="18">
        <v>10</v>
      </c>
      <c r="F20" s="63">
        <v>0.96</v>
      </c>
      <c r="G20" s="4">
        <v>10600</v>
      </c>
      <c r="H20" s="4">
        <v>32000</v>
      </c>
      <c r="I20" s="4">
        <v>212000</v>
      </c>
      <c r="J20" s="4">
        <v>5850</v>
      </c>
      <c r="L20" s="214"/>
      <c r="M20" s="18">
        <v>10</v>
      </c>
      <c r="N20" s="80">
        <v>3.6</v>
      </c>
      <c r="O20" s="4">
        <v>320</v>
      </c>
      <c r="P20" s="4">
        <v>2050</v>
      </c>
      <c r="Q20" s="4">
        <v>31500</v>
      </c>
      <c r="R20" s="22">
        <v>908</v>
      </c>
    </row>
    <row r="21" spans="2:19" x14ac:dyDescent="0.3">
      <c r="B21" s="66"/>
      <c r="D21" s="214"/>
      <c r="E21" s="18">
        <v>30</v>
      </c>
      <c r="F21" s="63">
        <v>1.01</v>
      </c>
      <c r="G21" s="4">
        <v>250</v>
      </c>
      <c r="H21" s="4">
        <v>1740.0000000000002</v>
      </c>
      <c r="I21" s="4">
        <v>18000</v>
      </c>
      <c r="J21" s="4">
        <v>1010</v>
      </c>
      <c r="L21" s="214"/>
      <c r="M21" s="18">
        <v>30</v>
      </c>
      <c r="N21" s="63">
        <v>2.71</v>
      </c>
      <c r="O21" s="4">
        <v>140</v>
      </c>
      <c r="P21" s="4">
        <v>280</v>
      </c>
      <c r="Q21" s="4">
        <v>2120.0000000000005</v>
      </c>
      <c r="R21" s="22">
        <v>32</v>
      </c>
    </row>
    <row r="22" spans="2:19" x14ac:dyDescent="0.3">
      <c r="B22" s="66"/>
      <c r="D22" s="214"/>
      <c r="E22" s="5"/>
      <c r="F22" s="5"/>
      <c r="G22" s="4"/>
      <c r="H22" s="4"/>
      <c r="I22" s="4"/>
      <c r="J22" s="4"/>
      <c r="L22" s="214"/>
      <c r="M22" s="5"/>
      <c r="N22" s="5"/>
      <c r="O22" s="4"/>
      <c r="P22" s="4"/>
      <c r="Q22" s="4"/>
      <c r="R22" s="22"/>
    </row>
    <row r="23" spans="2:19" x14ac:dyDescent="0.3">
      <c r="B23" s="66"/>
      <c r="D23" s="12"/>
      <c r="E23" s="11"/>
      <c r="F23" s="11"/>
      <c r="G23" s="11"/>
      <c r="H23" s="11"/>
      <c r="I23" s="11"/>
      <c r="J23" s="11"/>
      <c r="M23" s="10"/>
      <c r="N23" s="17"/>
      <c r="R23" s="9"/>
    </row>
    <row r="24" spans="2:19" x14ac:dyDescent="0.3">
      <c r="B24" s="66"/>
      <c r="D24" s="12"/>
      <c r="E24" s="11"/>
      <c r="F24" s="11"/>
      <c r="G24" s="11"/>
      <c r="H24" s="11"/>
      <c r="I24" s="11"/>
      <c r="J24" s="11"/>
      <c r="M24" s="10"/>
      <c r="N24" s="17"/>
      <c r="R24" s="9"/>
    </row>
    <row r="25" spans="2:19" ht="15" thickBot="1" x14ac:dyDescent="0.35">
      <c r="B25" s="67"/>
      <c r="C25" s="13"/>
      <c r="D25" s="14"/>
      <c r="E25" s="15"/>
      <c r="F25" s="15"/>
      <c r="G25" s="15"/>
      <c r="H25" s="15"/>
      <c r="I25" s="15"/>
      <c r="J25" s="15"/>
      <c r="K25" s="13"/>
      <c r="L25" s="13"/>
      <c r="M25" s="15"/>
      <c r="N25" s="15"/>
      <c r="O25" s="13"/>
      <c r="P25" s="13"/>
      <c r="Q25" s="13"/>
      <c r="R25" s="16"/>
    </row>
    <row r="26" spans="2:19" ht="15" thickBot="1" x14ac:dyDescent="0.35">
      <c r="B26" s="65"/>
      <c r="C26" s="6"/>
      <c r="D26" s="7"/>
      <c r="E26" s="6"/>
      <c r="F26" s="6"/>
      <c r="G26" s="6"/>
      <c r="H26" s="6"/>
      <c r="I26" s="6"/>
      <c r="J26" s="6"/>
      <c r="K26" s="6"/>
      <c r="L26" s="7"/>
      <c r="M26" s="6"/>
      <c r="N26" s="6"/>
      <c r="O26" s="6"/>
      <c r="P26" s="6"/>
      <c r="Q26" s="6"/>
      <c r="R26" s="8"/>
    </row>
    <row r="27" spans="2:19" x14ac:dyDescent="0.3">
      <c r="B27" s="66"/>
      <c r="D27" s="3" t="s">
        <v>3</v>
      </c>
      <c r="E27" s="3" t="s">
        <v>4</v>
      </c>
      <c r="F27" s="27" t="s">
        <v>5</v>
      </c>
      <c r="G27" s="20" t="s">
        <v>6</v>
      </c>
      <c r="H27" s="20" t="s">
        <v>7</v>
      </c>
      <c r="I27" s="20" t="s">
        <v>8</v>
      </c>
      <c r="J27" s="20" t="s">
        <v>20</v>
      </c>
      <c r="K27" s="74" t="s">
        <v>14</v>
      </c>
      <c r="L27" s="3" t="s">
        <v>3</v>
      </c>
      <c r="M27" s="3" t="s">
        <v>4</v>
      </c>
      <c r="N27" s="27" t="s">
        <v>5</v>
      </c>
      <c r="O27" s="20" t="s">
        <v>6</v>
      </c>
      <c r="P27" s="20" t="s">
        <v>7</v>
      </c>
      <c r="Q27" s="20" t="s">
        <v>8</v>
      </c>
      <c r="R27" s="21" t="s">
        <v>20</v>
      </c>
      <c r="S27" s="74" t="s">
        <v>14</v>
      </c>
    </row>
    <row r="28" spans="2:19" x14ac:dyDescent="0.3">
      <c r="B28" s="66"/>
      <c r="D28" s="214" t="s">
        <v>27</v>
      </c>
      <c r="E28" s="18">
        <v>0</v>
      </c>
      <c r="F28" s="37">
        <v>2.08</v>
      </c>
      <c r="G28" s="4">
        <v>13600</v>
      </c>
      <c r="H28" s="4">
        <v>25500</v>
      </c>
      <c r="I28" s="4">
        <v>147500</v>
      </c>
      <c r="J28" s="64">
        <v>5525</v>
      </c>
      <c r="K28" s="112"/>
      <c r="L28" s="214" t="s">
        <v>27</v>
      </c>
      <c r="M28" s="18">
        <v>0</v>
      </c>
      <c r="N28" s="37">
        <v>3.96</v>
      </c>
      <c r="O28" s="4">
        <v>14800</v>
      </c>
      <c r="P28" s="4">
        <v>26500</v>
      </c>
      <c r="Q28" s="4">
        <v>130000</v>
      </c>
      <c r="R28" s="22">
        <v>5250</v>
      </c>
      <c r="S28" s="112"/>
    </row>
    <row r="29" spans="2:19" ht="14.25" customHeight="1" x14ac:dyDescent="0.3">
      <c r="B29" s="66"/>
      <c r="D29" s="214"/>
      <c r="E29" s="18">
        <v>1</v>
      </c>
      <c r="F29" s="63">
        <v>1.79</v>
      </c>
      <c r="G29" s="4">
        <v>17600</v>
      </c>
      <c r="H29" s="4">
        <v>42000</v>
      </c>
      <c r="I29" s="4">
        <v>245000</v>
      </c>
      <c r="J29" s="4">
        <v>6400</v>
      </c>
      <c r="K29" s="112"/>
      <c r="L29" s="214"/>
      <c r="M29" s="18">
        <v>1</v>
      </c>
      <c r="N29" s="80">
        <v>3.7</v>
      </c>
      <c r="O29" s="4">
        <v>17200</v>
      </c>
      <c r="P29" s="4">
        <v>25000</v>
      </c>
      <c r="Q29" s="4">
        <v>255000</v>
      </c>
      <c r="R29" s="22">
        <v>5050</v>
      </c>
      <c r="S29" s="112"/>
    </row>
    <row r="30" spans="2:19" ht="24.45" customHeight="1" x14ac:dyDescent="0.3">
      <c r="B30" s="50" t="s">
        <v>15</v>
      </c>
      <c r="D30" s="214"/>
      <c r="E30" s="18">
        <v>3</v>
      </c>
      <c r="F30" s="63">
        <v>1.82</v>
      </c>
      <c r="G30" s="4">
        <v>15600</v>
      </c>
      <c r="H30" s="4">
        <v>31500</v>
      </c>
      <c r="I30" s="4">
        <v>190000</v>
      </c>
      <c r="J30" s="4">
        <v>4060</v>
      </c>
      <c r="K30" s="112"/>
      <c r="L30" s="214"/>
      <c r="M30" s="18">
        <v>3</v>
      </c>
      <c r="N30" s="63">
        <v>3.52</v>
      </c>
      <c r="O30" s="4">
        <v>1750</v>
      </c>
      <c r="P30" s="4">
        <v>5550</v>
      </c>
      <c r="Q30" s="4">
        <v>125000</v>
      </c>
      <c r="R30" s="22">
        <v>3100</v>
      </c>
      <c r="S30" s="112"/>
    </row>
    <row r="31" spans="2:19" ht="14.25" customHeight="1" x14ac:dyDescent="0.3">
      <c r="B31" s="66"/>
      <c r="D31" s="214"/>
      <c r="E31" s="18">
        <v>5</v>
      </c>
      <c r="F31" s="63">
        <v>1.74</v>
      </c>
      <c r="G31" s="4">
        <v>5050</v>
      </c>
      <c r="H31" s="4">
        <v>13600</v>
      </c>
      <c r="I31" s="4">
        <v>174000</v>
      </c>
      <c r="J31" s="4">
        <v>3260</v>
      </c>
      <c r="K31" s="112"/>
      <c r="L31" s="214"/>
      <c r="M31" s="18">
        <v>5</v>
      </c>
      <c r="N31" s="63">
        <v>3.56</v>
      </c>
      <c r="O31" s="4">
        <v>487.5</v>
      </c>
      <c r="P31" s="4">
        <v>1415</v>
      </c>
      <c r="Q31" s="4">
        <v>72000</v>
      </c>
      <c r="R31" s="64">
        <v>1328</v>
      </c>
      <c r="S31" s="112"/>
    </row>
    <row r="32" spans="2:19" x14ac:dyDescent="0.3">
      <c r="B32" s="66"/>
      <c r="D32" s="214"/>
      <c r="E32" s="18">
        <v>10</v>
      </c>
      <c r="F32" s="63">
        <v>1.76</v>
      </c>
      <c r="G32" s="4">
        <v>960.00000000000011</v>
      </c>
      <c r="H32" s="4">
        <v>3080</v>
      </c>
      <c r="I32" s="4">
        <v>84000</v>
      </c>
      <c r="J32" s="4">
        <v>1940.0000000000002</v>
      </c>
      <c r="K32" s="5" t="s">
        <v>16</v>
      </c>
      <c r="L32" s="214"/>
      <c r="M32" s="18">
        <v>10</v>
      </c>
      <c r="N32" s="63">
        <v>3.46</v>
      </c>
      <c r="O32" s="4">
        <v>64</v>
      </c>
      <c r="P32" s="4">
        <v>144</v>
      </c>
      <c r="Q32" s="4">
        <v>12200</v>
      </c>
      <c r="R32" s="22">
        <v>330</v>
      </c>
      <c r="S32" s="5" t="s">
        <v>16</v>
      </c>
    </row>
    <row r="33" spans="2:19" x14ac:dyDescent="0.3">
      <c r="B33" s="66"/>
      <c r="D33" s="214"/>
      <c r="E33" s="18">
        <v>30</v>
      </c>
      <c r="F33" s="63">
        <v>1.63</v>
      </c>
      <c r="G33" s="4">
        <v>25</v>
      </c>
      <c r="H33" s="4">
        <v>43</v>
      </c>
      <c r="I33" s="4">
        <v>5100</v>
      </c>
      <c r="J33" s="4">
        <v>51</v>
      </c>
      <c r="K33" s="5" t="s">
        <v>16</v>
      </c>
      <c r="L33" s="214"/>
      <c r="M33" s="18">
        <v>30</v>
      </c>
      <c r="N33" s="62">
        <v>3.54</v>
      </c>
      <c r="O33" s="4">
        <v>1</v>
      </c>
      <c r="P33" s="4">
        <v>1</v>
      </c>
      <c r="Q33" s="4">
        <v>47</v>
      </c>
      <c r="R33" s="22">
        <v>1</v>
      </c>
      <c r="S33" s="5" t="s">
        <v>16</v>
      </c>
    </row>
    <row r="34" spans="2:19" x14ac:dyDescent="0.3">
      <c r="B34" s="66"/>
      <c r="D34" s="214"/>
      <c r="E34" s="5"/>
      <c r="F34" s="5"/>
      <c r="G34" s="4"/>
      <c r="H34" s="4"/>
      <c r="I34" s="4"/>
      <c r="J34" s="4"/>
      <c r="K34" s="112"/>
      <c r="L34" s="214"/>
      <c r="M34" s="5"/>
      <c r="N34" s="5"/>
      <c r="O34" s="4"/>
      <c r="P34" s="4"/>
      <c r="Q34" s="4"/>
      <c r="R34" s="22"/>
      <c r="S34" s="112"/>
    </row>
    <row r="35" spans="2:19" x14ac:dyDescent="0.3">
      <c r="B35" s="66"/>
      <c r="D35" s="12"/>
      <c r="E35" s="11"/>
      <c r="F35" s="11"/>
      <c r="G35" s="11"/>
      <c r="H35" s="11"/>
      <c r="I35" s="11"/>
      <c r="J35" s="11"/>
      <c r="M35" s="10"/>
      <c r="N35" s="17"/>
      <c r="R35" s="9"/>
    </row>
    <row r="36" spans="2:19" ht="15" customHeight="1" x14ac:dyDescent="0.3">
      <c r="B36" s="66"/>
      <c r="D36" s="12"/>
      <c r="E36" s="11"/>
      <c r="F36" s="11"/>
      <c r="G36" s="11"/>
      <c r="H36" s="11"/>
      <c r="I36" s="11"/>
      <c r="J36" s="11"/>
      <c r="M36" s="10"/>
      <c r="N36" s="17"/>
      <c r="R36" s="9"/>
    </row>
    <row r="37" spans="2:19" ht="15" thickBot="1" x14ac:dyDescent="0.35">
      <c r="B37" s="67"/>
      <c r="C37" s="13"/>
      <c r="D37" s="14"/>
      <c r="E37" s="15"/>
      <c r="F37" s="15"/>
      <c r="G37" s="15"/>
      <c r="H37" s="15"/>
      <c r="I37" s="15"/>
      <c r="J37" s="15"/>
      <c r="K37" s="13"/>
      <c r="L37" s="13"/>
      <c r="M37" s="15"/>
      <c r="N37" s="15"/>
      <c r="O37" s="13"/>
      <c r="P37" s="13"/>
      <c r="Q37" s="13"/>
      <c r="R37" s="16"/>
    </row>
    <row r="38" spans="2:19" ht="15" thickBot="1" x14ac:dyDescent="0.35">
      <c r="B38" s="65"/>
      <c r="C38" s="6"/>
      <c r="D38" s="7"/>
      <c r="E38" s="6"/>
      <c r="F38" s="6"/>
      <c r="G38" s="6"/>
      <c r="H38" s="6"/>
      <c r="I38" s="6"/>
      <c r="J38" s="6"/>
      <c r="K38" s="6"/>
      <c r="L38" s="7"/>
      <c r="M38" s="6"/>
      <c r="N38" s="6"/>
      <c r="O38" s="6"/>
      <c r="P38" s="6"/>
      <c r="Q38" s="6"/>
      <c r="R38" s="8"/>
    </row>
    <row r="39" spans="2:19" ht="15" customHeight="1" x14ac:dyDescent="0.3">
      <c r="B39" s="66"/>
      <c r="D39" s="3" t="s">
        <v>3</v>
      </c>
      <c r="E39" s="3" t="s">
        <v>4</v>
      </c>
      <c r="F39" s="27" t="s">
        <v>5</v>
      </c>
      <c r="G39" s="20" t="s">
        <v>6</v>
      </c>
      <c r="H39" s="20" t="s">
        <v>7</v>
      </c>
      <c r="I39" s="20" t="s">
        <v>8</v>
      </c>
      <c r="J39" s="20" t="s">
        <v>20</v>
      </c>
      <c r="L39" s="3" t="s">
        <v>3</v>
      </c>
      <c r="M39" s="3" t="s">
        <v>4</v>
      </c>
      <c r="N39" s="27" t="s">
        <v>5</v>
      </c>
      <c r="O39" s="20" t="s">
        <v>6</v>
      </c>
      <c r="P39" s="20" t="s">
        <v>7</v>
      </c>
      <c r="Q39" s="20" t="s">
        <v>8</v>
      </c>
      <c r="R39" s="21" t="s">
        <v>20</v>
      </c>
    </row>
    <row r="40" spans="2:19" x14ac:dyDescent="0.3">
      <c r="B40" s="66"/>
      <c r="D40" s="214" t="s">
        <v>27</v>
      </c>
      <c r="E40" s="18">
        <v>0</v>
      </c>
      <c r="F40" s="38">
        <v>2.08</v>
      </c>
      <c r="G40" s="4">
        <v>13600</v>
      </c>
      <c r="H40" s="4">
        <v>25500</v>
      </c>
      <c r="I40" s="4">
        <v>147500</v>
      </c>
      <c r="J40" s="4">
        <v>5525</v>
      </c>
      <c r="L40" s="214" t="s">
        <v>27</v>
      </c>
      <c r="M40" s="18">
        <v>0</v>
      </c>
      <c r="N40" s="70">
        <v>3.96</v>
      </c>
      <c r="O40" s="4">
        <v>14800</v>
      </c>
      <c r="P40" s="4">
        <v>26500</v>
      </c>
      <c r="Q40" s="4">
        <v>130000</v>
      </c>
      <c r="R40" s="22">
        <v>5250</v>
      </c>
    </row>
    <row r="41" spans="2:19" x14ac:dyDescent="0.3">
      <c r="B41" s="66"/>
      <c r="D41" s="214"/>
      <c r="E41" s="18">
        <v>1</v>
      </c>
      <c r="F41" s="38">
        <v>0.22</v>
      </c>
      <c r="G41" s="4">
        <v>17600</v>
      </c>
      <c r="H41" s="4">
        <v>42000</v>
      </c>
      <c r="I41" s="4">
        <v>245000</v>
      </c>
      <c r="J41" s="4">
        <v>6400</v>
      </c>
      <c r="L41" s="214"/>
      <c r="M41" s="18">
        <v>1</v>
      </c>
      <c r="N41" s="68">
        <v>0.66</v>
      </c>
      <c r="O41" s="4">
        <v>17200</v>
      </c>
      <c r="P41" s="4">
        <v>25000</v>
      </c>
      <c r="Q41" s="4">
        <v>255000</v>
      </c>
      <c r="R41" s="22">
        <v>5050</v>
      </c>
    </row>
    <row r="42" spans="2:19" ht="16.95" customHeight="1" x14ac:dyDescent="0.3">
      <c r="B42" s="50" t="s">
        <v>17</v>
      </c>
      <c r="D42" s="214"/>
      <c r="E42" s="18">
        <v>3</v>
      </c>
      <c r="F42" s="38">
        <v>0.18</v>
      </c>
      <c r="G42" s="4">
        <v>15600</v>
      </c>
      <c r="H42" s="4">
        <v>31500</v>
      </c>
      <c r="I42" s="4">
        <v>190000</v>
      </c>
      <c r="J42" s="4">
        <v>4060</v>
      </c>
      <c r="L42" s="214"/>
      <c r="M42" s="18">
        <v>3</v>
      </c>
      <c r="N42" s="68">
        <v>0.2</v>
      </c>
      <c r="O42" s="4">
        <v>1750</v>
      </c>
      <c r="P42" s="4">
        <v>5550</v>
      </c>
      <c r="Q42" s="4">
        <v>125000</v>
      </c>
      <c r="R42" s="22">
        <v>3100</v>
      </c>
    </row>
    <row r="43" spans="2:19" x14ac:dyDescent="0.3">
      <c r="B43" s="66"/>
      <c r="D43" s="214"/>
      <c r="E43" s="18">
        <v>5</v>
      </c>
      <c r="F43" s="38">
        <v>0.17</v>
      </c>
      <c r="G43" s="4">
        <v>5050</v>
      </c>
      <c r="H43" s="4">
        <v>13600</v>
      </c>
      <c r="I43" s="4">
        <v>174000</v>
      </c>
      <c r="J43" s="4">
        <v>3260</v>
      </c>
      <c r="L43" s="214"/>
      <c r="M43" s="18">
        <v>5</v>
      </c>
      <c r="N43" s="68">
        <v>0.2</v>
      </c>
      <c r="O43" s="4">
        <v>487.5</v>
      </c>
      <c r="P43" s="4">
        <v>1415</v>
      </c>
      <c r="Q43" s="4">
        <v>72000</v>
      </c>
      <c r="R43" s="22">
        <v>1328</v>
      </c>
    </row>
    <row r="44" spans="2:19" x14ac:dyDescent="0.3">
      <c r="B44" s="66"/>
      <c r="D44" s="214"/>
      <c r="E44" s="18">
        <v>10</v>
      </c>
      <c r="F44" s="38">
        <v>0.18</v>
      </c>
      <c r="G44" s="4">
        <v>960.00000000000011</v>
      </c>
      <c r="H44" s="4">
        <v>3080</v>
      </c>
      <c r="I44" s="4">
        <v>84000</v>
      </c>
      <c r="J44" s="4">
        <v>1940.0000000000002</v>
      </c>
      <c r="L44" s="214"/>
      <c r="M44" s="18">
        <v>10</v>
      </c>
      <c r="N44" s="68">
        <v>0.13</v>
      </c>
      <c r="O44" s="4">
        <v>64</v>
      </c>
      <c r="P44" s="4">
        <v>144</v>
      </c>
      <c r="Q44" s="4">
        <v>12200</v>
      </c>
      <c r="R44" s="22">
        <v>330</v>
      </c>
    </row>
    <row r="45" spans="2:19" x14ac:dyDescent="0.3">
      <c r="B45" s="66"/>
      <c r="D45" s="214"/>
      <c r="E45" s="18">
        <v>30</v>
      </c>
      <c r="F45" s="38">
        <v>0.12</v>
      </c>
      <c r="G45" s="4">
        <v>25</v>
      </c>
      <c r="H45" s="4">
        <v>43</v>
      </c>
      <c r="I45" s="4">
        <v>5100</v>
      </c>
      <c r="J45" s="4">
        <v>51</v>
      </c>
      <c r="L45" s="214"/>
      <c r="M45" s="18">
        <v>30</v>
      </c>
      <c r="N45" s="69">
        <v>0.13</v>
      </c>
      <c r="O45" s="4">
        <v>1</v>
      </c>
      <c r="P45" s="4">
        <v>1</v>
      </c>
      <c r="Q45" s="4">
        <v>47</v>
      </c>
      <c r="R45" s="22">
        <v>1</v>
      </c>
    </row>
    <row r="46" spans="2:19" x14ac:dyDescent="0.3">
      <c r="B46" s="66"/>
      <c r="D46" s="214"/>
      <c r="E46" s="5"/>
      <c r="F46" s="5"/>
      <c r="G46" s="4"/>
      <c r="H46" s="4"/>
      <c r="I46" s="4"/>
      <c r="J46" s="4"/>
      <c r="L46" s="214"/>
      <c r="M46" s="5"/>
      <c r="N46" s="5"/>
      <c r="O46" s="4"/>
      <c r="P46" s="4"/>
      <c r="Q46" s="4"/>
      <c r="R46" s="22"/>
    </row>
    <row r="47" spans="2:19" x14ac:dyDescent="0.3">
      <c r="B47" s="66"/>
      <c r="R47" s="9"/>
    </row>
    <row r="48" spans="2:19" x14ac:dyDescent="0.3">
      <c r="B48" s="66"/>
      <c r="R48" s="9"/>
    </row>
    <row r="49" spans="2:18" x14ac:dyDescent="0.3">
      <c r="B49" s="66"/>
      <c r="R49" s="9"/>
    </row>
    <row r="50" spans="2:18" x14ac:dyDescent="0.3">
      <c r="B50" s="66"/>
      <c r="R50" s="9"/>
    </row>
    <row r="51" spans="2:18" ht="15" thickBot="1" x14ac:dyDescent="0.35">
      <c r="B51" s="67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6"/>
    </row>
    <row r="52" spans="2:18" ht="15" customHeight="1" x14ac:dyDescent="0.3"/>
    <row r="82" ht="14.25" customHeight="1" x14ac:dyDescent="0.3"/>
    <row r="84" ht="14.25" customHeight="1" x14ac:dyDescent="0.3"/>
    <row r="108" ht="14.25" customHeight="1" x14ac:dyDescent="0.3"/>
    <row r="135" ht="14.25" customHeight="1" x14ac:dyDescent="0.3"/>
    <row r="137" ht="14.25" customHeight="1" x14ac:dyDescent="0.3"/>
    <row r="160" ht="15" thickBot="1" x14ac:dyDescent="0.35"/>
    <row r="161" spans="2:2" x14ac:dyDescent="0.3">
      <c r="B161" s="219" t="s">
        <v>18</v>
      </c>
    </row>
    <row r="162" spans="2:2" x14ac:dyDescent="0.3">
      <c r="B162" s="220"/>
    </row>
    <row r="163" spans="2:2" x14ac:dyDescent="0.3">
      <c r="B163" s="220"/>
    </row>
    <row r="164" spans="2:2" x14ac:dyDescent="0.3">
      <c r="B164" s="220"/>
    </row>
    <row r="165" spans="2:2" x14ac:dyDescent="0.3">
      <c r="B165" s="220"/>
    </row>
    <row r="166" spans="2:2" x14ac:dyDescent="0.3">
      <c r="B166" s="220"/>
    </row>
    <row r="167" spans="2:2" x14ac:dyDescent="0.3">
      <c r="B167" s="220"/>
    </row>
    <row r="168" spans="2:2" x14ac:dyDescent="0.3">
      <c r="B168" s="220"/>
    </row>
    <row r="169" spans="2:2" x14ac:dyDescent="0.3">
      <c r="B169" s="220"/>
    </row>
    <row r="170" spans="2:2" x14ac:dyDescent="0.3">
      <c r="B170" s="220"/>
    </row>
    <row r="171" spans="2:2" x14ac:dyDescent="0.3">
      <c r="B171" s="220"/>
    </row>
    <row r="172" spans="2:2" x14ac:dyDescent="0.3">
      <c r="B172" s="220"/>
    </row>
    <row r="173" spans="2:2" x14ac:dyDescent="0.3">
      <c r="B173" s="220"/>
    </row>
    <row r="174" spans="2:2" x14ac:dyDescent="0.3">
      <c r="B174" s="220"/>
    </row>
    <row r="175" spans="2:2" x14ac:dyDescent="0.3">
      <c r="B175" s="220"/>
    </row>
    <row r="176" spans="2:2" x14ac:dyDescent="0.3">
      <c r="B176" s="220"/>
    </row>
    <row r="177" spans="2:2" x14ac:dyDescent="0.3">
      <c r="B177" s="220"/>
    </row>
    <row r="178" spans="2:2" x14ac:dyDescent="0.3">
      <c r="B178" s="220"/>
    </row>
    <row r="179" spans="2:2" x14ac:dyDescent="0.3">
      <c r="B179" s="220"/>
    </row>
    <row r="180" spans="2:2" x14ac:dyDescent="0.3">
      <c r="B180" s="220"/>
    </row>
    <row r="181" spans="2:2" x14ac:dyDescent="0.3">
      <c r="B181" s="220"/>
    </row>
    <row r="182" spans="2:2" x14ac:dyDescent="0.3">
      <c r="B182" s="220"/>
    </row>
    <row r="183" spans="2:2" x14ac:dyDescent="0.3">
      <c r="B183" s="220"/>
    </row>
    <row r="184" spans="2:2" x14ac:dyDescent="0.3">
      <c r="B184" s="220"/>
    </row>
    <row r="185" spans="2:2" x14ac:dyDescent="0.3">
      <c r="B185" s="220"/>
    </row>
    <row r="186" spans="2:2" x14ac:dyDescent="0.3">
      <c r="B186" s="220"/>
    </row>
    <row r="187" spans="2:2" x14ac:dyDescent="0.3">
      <c r="B187" s="220"/>
    </row>
    <row r="188" spans="2:2" x14ac:dyDescent="0.3">
      <c r="B188" s="220"/>
    </row>
    <row r="189" spans="2:2" x14ac:dyDescent="0.3">
      <c r="B189" s="220"/>
    </row>
    <row r="190" spans="2:2" x14ac:dyDescent="0.3">
      <c r="B190" s="220"/>
    </row>
    <row r="191" spans="2:2" x14ac:dyDescent="0.3">
      <c r="B191" s="220"/>
    </row>
    <row r="192" spans="2:2" x14ac:dyDescent="0.3">
      <c r="B192" s="220"/>
    </row>
    <row r="193" spans="2:2" x14ac:dyDescent="0.3">
      <c r="B193" s="220"/>
    </row>
    <row r="194" spans="2:2" x14ac:dyDescent="0.3">
      <c r="B194" s="220"/>
    </row>
    <row r="195" spans="2:2" x14ac:dyDescent="0.3">
      <c r="B195" s="220"/>
    </row>
    <row r="196" spans="2:2" x14ac:dyDescent="0.3">
      <c r="B196" s="220"/>
    </row>
    <row r="197" spans="2:2" x14ac:dyDescent="0.3">
      <c r="B197" s="220"/>
    </row>
    <row r="198" spans="2:2" x14ac:dyDescent="0.3">
      <c r="B198" s="220"/>
    </row>
    <row r="199" spans="2:2" x14ac:dyDescent="0.3">
      <c r="B199" s="220"/>
    </row>
    <row r="200" spans="2:2" x14ac:dyDescent="0.3">
      <c r="B200" s="220"/>
    </row>
    <row r="201" spans="2:2" x14ac:dyDescent="0.3">
      <c r="B201" s="220"/>
    </row>
    <row r="202" spans="2:2" x14ac:dyDescent="0.3">
      <c r="B202" s="220"/>
    </row>
    <row r="203" spans="2:2" x14ac:dyDescent="0.3">
      <c r="B203" s="220"/>
    </row>
    <row r="204" spans="2:2" x14ac:dyDescent="0.3">
      <c r="B204" s="220"/>
    </row>
    <row r="205" spans="2:2" x14ac:dyDescent="0.3">
      <c r="B205" s="220"/>
    </row>
    <row r="206" spans="2:2" x14ac:dyDescent="0.3">
      <c r="B206" s="220"/>
    </row>
    <row r="207" spans="2:2" x14ac:dyDescent="0.3">
      <c r="B207" s="220"/>
    </row>
    <row r="208" spans="2:2" x14ac:dyDescent="0.3">
      <c r="B208" s="220"/>
    </row>
    <row r="209" spans="2:3" x14ac:dyDescent="0.3">
      <c r="B209" s="220"/>
    </row>
    <row r="210" spans="2:3" x14ac:dyDescent="0.3">
      <c r="B210" s="220"/>
    </row>
    <row r="211" spans="2:3" x14ac:dyDescent="0.3">
      <c r="B211" s="220"/>
    </row>
    <row r="212" spans="2:3" x14ac:dyDescent="0.3">
      <c r="B212" s="220"/>
    </row>
    <row r="213" spans="2:3" ht="15" thickBot="1" x14ac:dyDescent="0.35">
      <c r="B213" s="221"/>
      <c r="C213" s="13"/>
    </row>
  </sheetData>
  <mergeCells count="9">
    <mergeCell ref="D16:D22"/>
    <mergeCell ref="L16:L22"/>
    <mergeCell ref="L4:L10"/>
    <mergeCell ref="D4:D10"/>
    <mergeCell ref="B161:B213"/>
    <mergeCell ref="D40:D46"/>
    <mergeCell ref="L40:L46"/>
    <mergeCell ref="D28:D34"/>
    <mergeCell ref="L28:L3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98AF-447E-40E9-A56C-670D7C46B92C}">
  <dimension ref="A1:X213"/>
  <sheetViews>
    <sheetView topLeftCell="B1" zoomScale="80" zoomScaleNormal="80" workbookViewId="0">
      <selection activeCell="AC20" sqref="AC20"/>
    </sheetView>
  </sheetViews>
  <sheetFormatPr defaultColWidth="9.109375" defaultRowHeight="14.4" x14ac:dyDescent="0.3"/>
  <cols>
    <col min="1" max="1" width="56" style="2" bestFit="1" customWidth="1"/>
    <col min="2" max="2" width="17.44140625" style="2" customWidth="1"/>
    <col min="3" max="3" width="9.109375" style="2"/>
    <col min="4" max="4" width="17" style="2" customWidth="1"/>
    <col min="5" max="5" width="10.6640625" style="2" customWidth="1"/>
    <col min="6" max="6" width="11.6640625" style="2" customWidth="1"/>
    <col min="7" max="7" width="8.6640625" style="2" customWidth="1"/>
    <col min="8" max="8" width="13.109375" style="2" customWidth="1"/>
    <col min="9" max="9" width="7.44140625" style="2" customWidth="1"/>
    <col min="10" max="10" width="6.88671875" style="2" customWidth="1"/>
    <col min="11" max="11" width="8.44140625" style="2" customWidth="1"/>
    <col min="12" max="12" width="10.88671875" style="2" customWidth="1"/>
    <col min="13" max="13" width="10.33203125" style="2" customWidth="1"/>
    <col min="14" max="14" width="7.44140625" style="2" customWidth="1"/>
    <col min="15" max="15" width="13" style="2" customWidth="1"/>
    <col min="16" max="16" width="10.33203125" style="2" customWidth="1"/>
    <col min="17" max="17" width="7.5546875" style="2" customWidth="1"/>
    <col min="18" max="18" width="8" style="2" customWidth="1"/>
    <col min="19" max="19" width="21" style="2" bestFit="1" customWidth="1"/>
    <col min="20" max="28" width="9.109375" style="2"/>
    <col min="29" max="29" width="14.33203125" style="2" bestFit="1" customWidth="1"/>
    <col min="30" max="16384" width="9.109375" style="2"/>
  </cols>
  <sheetData>
    <row r="1" spans="1:24" ht="26.4" thickBot="1" x14ac:dyDescent="0.55000000000000004">
      <c r="A1" s="51" t="s">
        <v>25</v>
      </c>
    </row>
    <row r="2" spans="1:24" ht="26.4" thickBot="1" x14ac:dyDescent="0.55000000000000004">
      <c r="A2" s="51" t="s">
        <v>26</v>
      </c>
      <c r="B2" s="65"/>
      <c r="C2" s="6"/>
      <c r="D2" s="7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8"/>
    </row>
    <row r="3" spans="1:24" ht="25.8" x14ac:dyDescent="0.5">
      <c r="A3" s="52">
        <v>45264</v>
      </c>
      <c r="B3" s="66"/>
      <c r="D3" s="3" t="s">
        <v>3</v>
      </c>
      <c r="E3" s="3" t="s">
        <v>4</v>
      </c>
      <c r="F3" s="27" t="s">
        <v>5</v>
      </c>
      <c r="G3" s="20" t="s">
        <v>6</v>
      </c>
      <c r="H3" s="20" t="s">
        <v>7</v>
      </c>
      <c r="I3" s="20" t="s">
        <v>8</v>
      </c>
      <c r="J3" s="20" t="s">
        <v>20</v>
      </c>
      <c r="L3" s="3" t="s">
        <v>3</v>
      </c>
      <c r="M3" s="3" t="s">
        <v>4</v>
      </c>
      <c r="N3" s="27" t="s">
        <v>5</v>
      </c>
      <c r="O3" s="20" t="s">
        <v>6</v>
      </c>
      <c r="P3" s="20" t="s">
        <v>7</v>
      </c>
      <c r="Q3" s="20" t="s">
        <v>8</v>
      </c>
      <c r="R3" s="21" t="s">
        <v>20</v>
      </c>
      <c r="T3" s="1"/>
      <c r="V3" s="1"/>
      <c r="X3" s="1"/>
    </row>
    <row r="4" spans="1:24" x14ac:dyDescent="0.3">
      <c r="B4" s="66"/>
      <c r="D4" s="214" t="s">
        <v>27</v>
      </c>
      <c r="E4" s="18">
        <v>0</v>
      </c>
      <c r="F4" s="71">
        <v>1.0900000000000001</v>
      </c>
      <c r="G4" s="4">
        <v>15200</v>
      </c>
      <c r="H4" s="4">
        <v>22000</v>
      </c>
      <c r="I4" s="4">
        <v>110000</v>
      </c>
      <c r="J4" s="4">
        <v>5950</v>
      </c>
      <c r="L4" s="214" t="s">
        <v>27</v>
      </c>
      <c r="M4" s="18">
        <v>0</v>
      </c>
      <c r="N4" s="37">
        <v>2.08</v>
      </c>
      <c r="O4" s="4">
        <v>12400</v>
      </c>
      <c r="P4" s="4">
        <v>19750</v>
      </c>
      <c r="Q4" s="4">
        <v>105000</v>
      </c>
      <c r="R4" s="64">
        <v>5075</v>
      </c>
      <c r="T4" s="1"/>
      <c r="V4" s="1"/>
    </row>
    <row r="5" spans="1:24" x14ac:dyDescent="0.3">
      <c r="B5" s="66"/>
      <c r="D5" s="214"/>
      <c r="E5" s="18">
        <v>1</v>
      </c>
      <c r="F5" s="63">
        <v>0.88</v>
      </c>
      <c r="G5" s="4">
        <v>2400</v>
      </c>
      <c r="H5" s="4">
        <v>18500</v>
      </c>
      <c r="I5" s="4">
        <v>110000</v>
      </c>
      <c r="J5" s="4">
        <v>3750</v>
      </c>
      <c r="L5" s="214"/>
      <c r="M5" s="18">
        <v>1</v>
      </c>
      <c r="N5" s="63">
        <v>1.77</v>
      </c>
      <c r="O5" s="4">
        <v>3100</v>
      </c>
      <c r="P5" s="4">
        <v>4600</v>
      </c>
      <c r="Q5" s="4">
        <v>67000</v>
      </c>
      <c r="R5" s="22">
        <v>3950</v>
      </c>
    </row>
    <row r="6" spans="1:24" ht="25.8" x14ac:dyDescent="0.5">
      <c r="A6" s="51" t="s">
        <v>28</v>
      </c>
      <c r="B6" s="50" t="s">
        <v>12</v>
      </c>
      <c r="D6" s="214"/>
      <c r="E6" s="18">
        <v>3</v>
      </c>
      <c r="F6" s="63">
        <v>0.82</v>
      </c>
      <c r="G6" s="4">
        <v>3000</v>
      </c>
      <c r="H6" s="4">
        <v>5300</v>
      </c>
      <c r="I6" s="4">
        <v>59000</v>
      </c>
      <c r="J6" s="4">
        <v>3900</v>
      </c>
      <c r="L6" s="214"/>
      <c r="M6" s="18">
        <v>3</v>
      </c>
      <c r="N6" s="63">
        <v>1.68</v>
      </c>
      <c r="O6" s="4">
        <v>88</v>
      </c>
      <c r="P6" s="4">
        <v>148</v>
      </c>
      <c r="Q6" s="4">
        <v>2480</v>
      </c>
      <c r="R6" s="22">
        <v>600</v>
      </c>
    </row>
    <row r="7" spans="1:24" x14ac:dyDescent="0.3">
      <c r="B7" s="66"/>
      <c r="D7" s="214"/>
      <c r="E7" s="18">
        <v>5</v>
      </c>
      <c r="F7" s="63">
        <v>0.78</v>
      </c>
      <c r="G7" s="4">
        <v>405</v>
      </c>
      <c r="H7" s="4">
        <v>950</v>
      </c>
      <c r="I7" s="4">
        <v>19400</v>
      </c>
      <c r="J7" s="64">
        <v>1645</v>
      </c>
      <c r="L7" s="214"/>
      <c r="M7" s="18">
        <v>5</v>
      </c>
      <c r="N7" s="63">
        <v>1.58</v>
      </c>
      <c r="O7" s="4">
        <v>76</v>
      </c>
      <c r="P7" s="4">
        <v>94</v>
      </c>
      <c r="Q7" s="4">
        <v>350</v>
      </c>
      <c r="R7" s="22">
        <v>176</v>
      </c>
    </row>
    <row r="8" spans="1:24" x14ac:dyDescent="0.3">
      <c r="B8" s="66"/>
      <c r="D8" s="214"/>
      <c r="E8" s="18">
        <v>10</v>
      </c>
      <c r="F8" s="63">
        <v>0.72</v>
      </c>
      <c r="G8" s="4">
        <v>56.000000000000007</v>
      </c>
      <c r="H8" s="4">
        <v>164</v>
      </c>
      <c r="I8" s="4">
        <v>1450</v>
      </c>
      <c r="J8" s="4">
        <v>460.00000000000006</v>
      </c>
      <c r="L8" s="214"/>
      <c r="M8" s="18">
        <v>10</v>
      </c>
      <c r="N8" s="80">
        <v>1.5</v>
      </c>
      <c r="O8" s="4">
        <v>53</v>
      </c>
      <c r="P8" s="4">
        <v>72</v>
      </c>
      <c r="Q8" s="4">
        <v>280</v>
      </c>
      <c r="R8" s="22">
        <v>16</v>
      </c>
    </row>
    <row r="9" spans="1:24" x14ac:dyDescent="0.3">
      <c r="B9" s="66"/>
      <c r="D9" s="214"/>
      <c r="E9" s="18">
        <v>30</v>
      </c>
      <c r="F9" s="63">
        <v>0.49</v>
      </c>
      <c r="G9" s="4">
        <v>46</v>
      </c>
      <c r="H9" s="4">
        <v>64</v>
      </c>
      <c r="I9" s="4">
        <v>260</v>
      </c>
      <c r="J9" s="4">
        <v>20</v>
      </c>
      <c r="L9" s="214"/>
      <c r="M9" s="18">
        <v>30</v>
      </c>
      <c r="N9" s="63">
        <v>1.1200000000000001</v>
      </c>
      <c r="O9" s="4">
        <v>54</v>
      </c>
      <c r="P9" s="4">
        <v>54</v>
      </c>
      <c r="Q9" s="4">
        <v>140</v>
      </c>
      <c r="R9" s="22">
        <v>2</v>
      </c>
    </row>
    <row r="10" spans="1:24" x14ac:dyDescent="0.3">
      <c r="B10" s="66"/>
      <c r="D10" s="214"/>
      <c r="E10" s="5"/>
      <c r="F10" s="5"/>
      <c r="G10" s="4"/>
      <c r="H10" s="4"/>
      <c r="I10" s="4"/>
      <c r="J10" s="4"/>
      <c r="L10" s="214"/>
      <c r="M10" s="5"/>
      <c r="N10" s="5"/>
      <c r="O10" s="4"/>
      <c r="P10" s="4"/>
      <c r="Q10" s="4"/>
      <c r="R10" s="22"/>
    </row>
    <row r="11" spans="1:24" x14ac:dyDescent="0.3">
      <c r="B11" s="66"/>
      <c r="D11" s="12"/>
      <c r="E11" s="11"/>
      <c r="F11" s="11"/>
      <c r="G11" s="11"/>
      <c r="H11" s="11"/>
      <c r="I11" s="11"/>
      <c r="J11" s="11"/>
      <c r="M11" s="10"/>
      <c r="N11" s="17"/>
      <c r="R11" s="9"/>
    </row>
    <row r="12" spans="1:24" x14ac:dyDescent="0.3">
      <c r="B12" s="66"/>
      <c r="D12" s="12"/>
      <c r="E12" s="11"/>
      <c r="F12" s="11"/>
      <c r="G12" s="11"/>
      <c r="H12" s="11"/>
      <c r="I12" s="11"/>
      <c r="J12" s="11"/>
      <c r="M12" s="10"/>
      <c r="N12" s="17"/>
      <c r="R12" s="9"/>
    </row>
    <row r="13" spans="1:24" ht="15" thickBot="1" x14ac:dyDescent="0.35">
      <c r="B13" s="67"/>
      <c r="C13" s="13"/>
      <c r="D13" s="14"/>
      <c r="E13" s="15"/>
      <c r="F13" s="15"/>
      <c r="G13" s="15"/>
      <c r="H13" s="15"/>
      <c r="I13" s="15"/>
      <c r="J13" s="15"/>
      <c r="K13" s="13"/>
      <c r="L13" s="13"/>
      <c r="M13" s="15"/>
      <c r="N13" s="15"/>
      <c r="O13" s="13"/>
      <c r="P13" s="13"/>
      <c r="Q13" s="13"/>
      <c r="R13" s="16"/>
    </row>
    <row r="14" spans="1:24" ht="15" thickBot="1" x14ac:dyDescent="0.35">
      <c r="B14" s="65"/>
      <c r="C14" s="6"/>
      <c r="D14" s="7"/>
      <c r="E14" s="6"/>
      <c r="F14" s="6"/>
      <c r="G14" s="6"/>
      <c r="H14" s="6"/>
      <c r="I14" s="6"/>
      <c r="J14" s="6"/>
      <c r="K14" s="6"/>
      <c r="L14" s="7"/>
      <c r="M14" s="6"/>
      <c r="N14" s="6"/>
      <c r="O14" s="6"/>
      <c r="P14" s="6"/>
      <c r="Q14" s="6"/>
      <c r="R14" s="8"/>
    </row>
    <row r="15" spans="1:24" x14ac:dyDescent="0.3">
      <c r="B15" s="66"/>
      <c r="D15" s="3" t="s">
        <v>3</v>
      </c>
      <c r="E15" s="3" t="s">
        <v>4</v>
      </c>
      <c r="F15" s="27" t="s">
        <v>5</v>
      </c>
      <c r="G15" s="20" t="s">
        <v>6</v>
      </c>
      <c r="H15" s="20" t="s">
        <v>7</v>
      </c>
      <c r="I15" s="20" t="s">
        <v>8</v>
      </c>
      <c r="J15" s="20" t="s">
        <v>20</v>
      </c>
      <c r="L15" s="3" t="s">
        <v>3</v>
      </c>
      <c r="M15" s="3" t="s">
        <v>4</v>
      </c>
      <c r="N15" s="27" t="s">
        <v>5</v>
      </c>
      <c r="O15" s="20" t="s">
        <v>6</v>
      </c>
      <c r="P15" s="20" t="s">
        <v>7</v>
      </c>
      <c r="Q15" s="20" t="s">
        <v>8</v>
      </c>
      <c r="R15" s="21" t="s">
        <v>20</v>
      </c>
    </row>
    <row r="16" spans="1:24" x14ac:dyDescent="0.3">
      <c r="B16" s="66"/>
      <c r="D16" s="214" t="s">
        <v>27</v>
      </c>
      <c r="E16" s="18">
        <v>0</v>
      </c>
      <c r="F16" s="37">
        <v>2.12</v>
      </c>
      <c r="G16" s="4">
        <v>29100</v>
      </c>
      <c r="H16" s="4">
        <v>50500</v>
      </c>
      <c r="I16" s="4">
        <v>307500</v>
      </c>
      <c r="J16" s="64">
        <v>7100</v>
      </c>
      <c r="L16" s="214" t="s">
        <v>27</v>
      </c>
      <c r="M16" s="18">
        <v>0</v>
      </c>
      <c r="N16" s="37">
        <v>4.34</v>
      </c>
      <c r="O16" s="4">
        <v>24800</v>
      </c>
      <c r="P16" s="4">
        <v>36000</v>
      </c>
      <c r="Q16" s="4">
        <v>265000</v>
      </c>
      <c r="R16" s="22">
        <v>6320</v>
      </c>
    </row>
    <row r="17" spans="2:19" ht="15" customHeight="1" x14ac:dyDescent="0.3">
      <c r="B17" s="66"/>
      <c r="D17" s="214"/>
      <c r="E17" s="18">
        <v>1</v>
      </c>
      <c r="F17" s="63">
        <v>1.1299999999999999</v>
      </c>
      <c r="G17" s="4">
        <v>27600</v>
      </c>
      <c r="H17" s="4">
        <v>52000</v>
      </c>
      <c r="I17" s="4">
        <v>320000</v>
      </c>
      <c r="J17" s="4">
        <v>6560</v>
      </c>
      <c r="L17" s="214"/>
      <c r="M17" s="18">
        <v>1</v>
      </c>
      <c r="N17" s="63">
        <v>3.88</v>
      </c>
      <c r="O17" s="4">
        <v>27800</v>
      </c>
      <c r="P17" s="4">
        <v>48000</v>
      </c>
      <c r="Q17" s="4">
        <v>260000</v>
      </c>
      <c r="R17" s="22">
        <v>6540</v>
      </c>
    </row>
    <row r="18" spans="2:19" ht="25.8" x14ac:dyDescent="0.3">
      <c r="B18" s="50" t="s">
        <v>13</v>
      </c>
      <c r="D18" s="214"/>
      <c r="E18" s="18">
        <v>3</v>
      </c>
      <c r="F18" s="63">
        <v>1.06</v>
      </c>
      <c r="G18" s="4">
        <v>36400</v>
      </c>
      <c r="H18" s="4">
        <v>55000</v>
      </c>
      <c r="I18" s="4">
        <v>278000</v>
      </c>
      <c r="J18" s="4">
        <v>6900</v>
      </c>
      <c r="L18" s="214"/>
      <c r="M18" s="18">
        <v>3</v>
      </c>
      <c r="N18" s="63">
        <v>3.77</v>
      </c>
      <c r="O18" s="4">
        <v>16400</v>
      </c>
      <c r="P18" s="4">
        <v>31500</v>
      </c>
      <c r="Q18" s="4">
        <v>218000</v>
      </c>
      <c r="R18" s="22">
        <v>6280</v>
      </c>
    </row>
    <row r="19" spans="2:19" ht="14.25" customHeight="1" x14ac:dyDescent="0.3">
      <c r="B19" s="66"/>
      <c r="D19" s="214"/>
      <c r="E19" s="18">
        <v>5</v>
      </c>
      <c r="F19" s="63">
        <v>1.05</v>
      </c>
      <c r="G19" s="4">
        <v>25500</v>
      </c>
      <c r="H19" s="4">
        <v>51000</v>
      </c>
      <c r="I19" s="4">
        <v>310000</v>
      </c>
      <c r="J19" s="4">
        <v>7840</v>
      </c>
      <c r="L19" s="214"/>
      <c r="M19" s="18">
        <v>5</v>
      </c>
      <c r="N19" s="63">
        <v>3.73</v>
      </c>
      <c r="O19" s="4">
        <v>5225</v>
      </c>
      <c r="P19" s="4">
        <v>8525</v>
      </c>
      <c r="Q19" s="4">
        <v>109000</v>
      </c>
      <c r="R19" s="64">
        <v>2665</v>
      </c>
    </row>
    <row r="20" spans="2:19" x14ac:dyDescent="0.3">
      <c r="B20" s="66"/>
      <c r="D20" s="214"/>
      <c r="E20" s="18">
        <v>10</v>
      </c>
      <c r="F20" s="63">
        <v>0.96</v>
      </c>
      <c r="G20" s="4">
        <v>10600</v>
      </c>
      <c r="H20" s="4">
        <v>32000</v>
      </c>
      <c r="I20" s="4">
        <v>212000</v>
      </c>
      <c r="J20" s="4">
        <v>5850</v>
      </c>
      <c r="L20" s="214"/>
      <c r="M20" s="18">
        <v>10</v>
      </c>
      <c r="N20" s="80">
        <v>3.6</v>
      </c>
      <c r="O20" s="4">
        <v>320</v>
      </c>
      <c r="P20" s="4">
        <v>2050</v>
      </c>
      <c r="Q20" s="4">
        <v>31500</v>
      </c>
      <c r="R20" s="22">
        <v>908</v>
      </c>
    </row>
    <row r="21" spans="2:19" x14ac:dyDescent="0.3">
      <c r="B21" s="66"/>
      <c r="D21" s="214"/>
      <c r="E21" s="18">
        <v>30</v>
      </c>
      <c r="F21" s="63">
        <v>1.01</v>
      </c>
      <c r="G21" s="4">
        <v>250</v>
      </c>
      <c r="H21" s="4">
        <v>1740.0000000000002</v>
      </c>
      <c r="I21" s="4">
        <v>18000</v>
      </c>
      <c r="J21" s="4">
        <v>1010</v>
      </c>
      <c r="L21" s="214"/>
      <c r="M21" s="18">
        <v>30</v>
      </c>
      <c r="N21" s="63">
        <v>2.71</v>
      </c>
      <c r="O21" s="4">
        <v>140</v>
      </c>
      <c r="P21" s="4">
        <v>280</v>
      </c>
      <c r="Q21" s="4">
        <v>2120.0000000000005</v>
      </c>
      <c r="R21" s="22">
        <v>32</v>
      </c>
    </row>
    <row r="22" spans="2:19" x14ac:dyDescent="0.3">
      <c r="B22" s="66"/>
      <c r="D22" s="214"/>
      <c r="E22" s="5"/>
      <c r="F22" s="5"/>
      <c r="G22" s="4"/>
      <c r="H22" s="4"/>
      <c r="I22" s="4"/>
      <c r="J22" s="4"/>
      <c r="L22" s="214"/>
      <c r="M22" s="5"/>
      <c r="N22" s="5"/>
      <c r="O22" s="4"/>
      <c r="P22" s="4"/>
      <c r="Q22" s="4"/>
      <c r="R22" s="22"/>
    </row>
    <row r="23" spans="2:19" x14ac:dyDescent="0.3">
      <c r="B23" s="66"/>
      <c r="D23" s="12"/>
      <c r="E23" s="11"/>
      <c r="F23" s="11"/>
      <c r="G23" s="11"/>
      <c r="H23" s="11"/>
      <c r="I23" s="11"/>
      <c r="J23" s="11"/>
      <c r="M23" s="10"/>
      <c r="N23" s="17"/>
      <c r="R23" s="9"/>
    </row>
    <row r="24" spans="2:19" x14ac:dyDescent="0.3">
      <c r="B24" s="66"/>
      <c r="D24" s="12"/>
      <c r="E24" s="11"/>
      <c r="F24" s="11"/>
      <c r="G24" s="11"/>
      <c r="H24" s="11"/>
      <c r="I24" s="11"/>
      <c r="J24" s="11"/>
      <c r="M24" s="10"/>
      <c r="N24" s="17"/>
      <c r="R24" s="9"/>
    </row>
    <row r="25" spans="2:19" ht="15" thickBot="1" x14ac:dyDescent="0.35">
      <c r="B25" s="67"/>
      <c r="C25" s="13"/>
      <c r="D25" s="14"/>
      <c r="E25" s="15"/>
      <c r="F25" s="15"/>
      <c r="G25" s="15"/>
      <c r="H25" s="15"/>
      <c r="I25" s="15"/>
      <c r="J25" s="15"/>
      <c r="K25" s="13"/>
      <c r="L25" s="13"/>
      <c r="M25" s="15"/>
      <c r="N25" s="15"/>
      <c r="O25" s="13"/>
      <c r="P25" s="13"/>
      <c r="Q25" s="13"/>
      <c r="R25" s="16"/>
    </row>
    <row r="26" spans="2:19" ht="15" thickBot="1" x14ac:dyDescent="0.35">
      <c r="B26" s="65"/>
      <c r="C26" s="6"/>
      <c r="D26" s="7"/>
      <c r="E26" s="6"/>
      <c r="F26" s="6"/>
      <c r="G26" s="6"/>
      <c r="H26" s="6"/>
      <c r="I26" s="6"/>
      <c r="J26" s="6"/>
      <c r="K26" s="6"/>
      <c r="L26" s="7"/>
      <c r="M26" s="6"/>
      <c r="N26" s="6"/>
      <c r="O26" s="6"/>
      <c r="P26" s="6"/>
      <c r="Q26" s="6"/>
      <c r="R26" s="8"/>
    </row>
    <row r="27" spans="2:19" x14ac:dyDescent="0.3">
      <c r="B27" s="66"/>
      <c r="D27" s="3" t="s">
        <v>3</v>
      </c>
      <c r="E27" s="3" t="s">
        <v>4</v>
      </c>
      <c r="F27" s="27" t="s">
        <v>5</v>
      </c>
      <c r="G27" s="20" t="s">
        <v>6</v>
      </c>
      <c r="H27" s="20" t="s">
        <v>7</v>
      </c>
      <c r="I27" s="20" t="s">
        <v>8</v>
      </c>
      <c r="J27" s="20" t="s">
        <v>20</v>
      </c>
      <c r="K27" s="74" t="s">
        <v>14</v>
      </c>
      <c r="L27" s="3" t="s">
        <v>3</v>
      </c>
      <c r="M27" s="3" t="s">
        <v>4</v>
      </c>
      <c r="N27" s="27" t="s">
        <v>5</v>
      </c>
      <c r="O27" s="20" t="s">
        <v>6</v>
      </c>
      <c r="P27" s="20" t="s">
        <v>7</v>
      </c>
      <c r="Q27" s="20" t="s">
        <v>8</v>
      </c>
      <c r="R27" s="21" t="s">
        <v>20</v>
      </c>
      <c r="S27" s="74" t="s">
        <v>14</v>
      </c>
    </row>
    <row r="28" spans="2:19" x14ac:dyDescent="0.3">
      <c r="B28" s="66"/>
      <c r="D28" s="214" t="s">
        <v>27</v>
      </c>
      <c r="E28" s="18">
        <v>0</v>
      </c>
      <c r="F28" s="37">
        <v>2.08</v>
      </c>
      <c r="G28" s="4">
        <v>13600</v>
      </c>
      <c r="H28" s="4">
        <v>25500</v>
      </c>
      <c r="I28" s="4">
        <v>147500</v>
      </c>
      <c r="J28" s="64">
        <v>5525</v>
      </c>
      <c r="K28" s="112"/>
      <c r="L28" s="214" t="s">
        <v>27</v>
      </c>
      <c r="M28" s="18">
        <v>0</v>
      </c>
      <c r="N28" s="37">
        <v>3.96</v>
      </c>
      <c r="O28" s="4">
        <v>14800</v>
      </c>
      <c r="P28" s="4">
        <v>26500</v>
      </c>
      <c r="Q28" s="4">
        <v>130000</v>
      </c>
      <c r="R28" s="22">
        <v>5250</v>
      </c>
      <c r="S28" s="112"/>
    </row>
    <row r="29" spans="2:19" ht="14.25" customHeight="1" x14ac:dyDescent="0.3">
      <c r="B29" s="66"/>
      <c r="D29" s="214"/>
      <c r="E29" s="18">
        <v>1</v>
      </c>
      <c r="F29" s="63">
        <v>1.79</v>
      </c>
      <c r="G29" s="4">
        <v>17600</v>
      </c>
      <c r="H29" s="4">
        <v>42000</v>
      </c>
      <c r="I29" s="4">
        <v>245000</v>
      </c>
      <c r="J29" s="4">
        <v>6400</v>
      </c>
      <c r="K29" s="112"/>
      <c r="L29" s="214"/>
      <c r="M29" s="18">
        <v>1</v>
      </c>
      <c r="N29" s="80">
        <v>3.7</v>
      </c>
      <c r="O29" s="4">
        <v>17200</v>
      </c>
      <c r="P29" s="4">
        <v>25000</v>
      </c>
      <c r="Q29" s="4">
        <v>255000</v>
      </c>
      <c r="R29" s="22">
        <v>5050</v>
      </c>
      <c r="S29" s="112"/>
    </row>
    <row r="30" spans="2:19" ht="24.45" customHeight="1" x14ac:dyDescent="0.3">
      <c r="B30" s="50" t="s">
        <v>15</v>
      </c>
      <c r="D30" s="214"/>
      <c r="E30" s="18">
        <v>3</v>
      </c>
      <c r="F30" s="63">
        <v>1.82</v>
      </c>
      <c r="G30" s="4">
        <v>15600</v>
      </c>
      <c r="H30" s="4">
        <v>31500</v>
      </c>
      <c r="I30" s="4">
        <v>190000</v>
      </c>
      <c r="J30" s="4">
        <v>4060</v>
      </c>
      <c r="K30" s="112"/>
      <c r="L30" s="214"/>
      <c r="M30" s="18">
        <v>3</v>
      </c>
      <c r="N30" s="63">
        <v>3.52</v>
      </c>
      <c r="O30" s="4">
        <v>1750</v>
      </c>
      <c r="P30" s="4">
        <v>5550</v>
      </c>
      <c r="Q30" s="4">
        <v>125000</v>
      </c>
      <c r="R30" s="22">
        <v>3100</v>
      </c>
      <c r="S30" s="112"/>
    </row>
    <row r="31" spans="2:19" ht="14.25" customHeight="1" x14ac:dyDescent="0.3">
      <c r="B31" s="66"/>
      <c r="D31" s="214"/>
      <c r="E31" s="18">
        <v>5</v>
      </c>
      <c r="F31" s="63">
        <v>1.74</v>
      </c>
      <c r="G31" s="4">
        <v>5050</v>
      </c>
      <c r="H31" s="4">
        <v>13600</v>
      </c>
      <c r="I31" s="4">
        <v>174000</v>
      </c>
      <c r="J31" s="4">
        <v>3260</v>
      </c>
      <c r="K31" s="112"/>
      <c r="L31" s="214"/>
      <c r="M31" s="18">
        <v>5</v>
      </c>
      <c r="N31" s="63">
        <v>3.56</v>
      </c>
      <c r="O31" s="4">
        <v>487.5</v>
      </c>
      <c r="P31" s="4">
        <v>1415</v>
      </c>
      <c r="Q31" s="4">
        <v>72000</v>
      </c>
      <c r="R31" s="64">
        <v>1328</v>
      </c>
      <c r="S31" s="112"/>
    </row>
    <row r="32" spans="2:19" x14ac:dyDescent="0.3">
      <c r="B32" s="66"/>
      <c r="D32" s="214"/>
      <c r="E32" s="18">
        <v>10</v>
      </c>
      <c r="F32" s="63">
        <v>1.76</v>
      </c>
      <c r="G32" s="4">
        <v>960.00000000000011</v>
      </c>
      <c r="H32" s="4">
        <v>3080</v>
      </c>
      <c r="I32" s="4">
        <v>84000</v>
      </c>
      <c r="J32" s="4">
        <v>1940.0000000000002</v>
      </c>
      <c r="K32" s="5" t="s">
        <v>16</v>
      </c>
      <c r="L32" s="214"/>
      <c r="M32" s="18">
        <v>10</v>
      </c>
      <c r="N32" s="63">
        <v>3.46</v>
      </c>
      <c r="O32" s="4">
        <v>64</v>
      </c>
      <c r="P32" s="4">
        <v>144</v>
      </c>
      <c r="Q32" s="4">
        <v>12200</v>
      </c>
      <c r="R32" s="22">
        <v>330</v>
      </c>
      <c r="S32" s="5" t="s">
        <v>16</v>
      </c>
    </row>
    <row r="33" spans="2:19" x14ac:dyDescent="0.3">
      <c r="B33" s="66"/>
      <c r="D33" s="214"/>
      <c r="E33" s="18">
        <v>30</v>
      </c>
      <c r="F33" s="63">
        <v>1.63</v>
      </c>
      <c r="G33" s="4">
        <v>25</v>
      </c>
      <c r="H33" s="4">
        <v>43</v>
      </c>
      <c r="I33" s="4">
        <v>5100</v>
      </c>
      <c r="J33" s="4">
        <v>51</v>
      </c>
      <c r="K33" s="5" t="s">
        <v>16</v>
      </c>
      <c r="L33" s="214"/>
      <c r="M33" s="18">
        <v>30</v>
      </c>
      <c r="N33" s="62">
        <v>3.54</v>
      </c>
      <c r="O33" s="4">
        <v>1</v>
      </c>
      <c r="P33" s="4">
        <v>1</v>
      </c>
      <c r="Q33" s="4">
        <v>47</v>
      </c>
      <c r="R33" s="22">
        <v>1</v>
      </c>
      <c r="S33" s="5" t="s">
        <v>16</v>
      </c>
    </row>
    <row r="34" spans="2:19" x14ac:dyDescent="0.3">
      <c r="B34" s="66"/>
      <c r="D34" s="214"/>
      <c r="E34" s="5"/>
      <c r="F34" s="5"/>
      <c r="G34" s="4"/>
      <c r="H34" s="4"/>
      <c r="I34" s="4"/>
      <c r="J34" s="4"/>
      <c r="K34" s="112"/>
      <c r="L34" s="214"/>
      <c r="M34" s="5"/>
      <c r="N34" s="5"/>
      <c r="O34" s="4"/>
      <c r="P34" s="4"/>
      <c r="Q34" s="4"/>
      <c r="R34" s="22"/>
      <c r="S34" s="112"/>
    </row>
    <row r="35" spans="2:19" x14ac:dyDescent="0.3">
      <c r="B35" s="66"/>
      <c r="D35" s="12"/>
      <c r="E35" s="11"/>
      <c r="F35" s="11"/>
      <c r="G35" s="11"/>
      <c r="H35" s="11"/>
      <c r="I35" s="11"/>
      <c r="J35" s="11"/>
      <c r="M35" s="10"/>
      <c r="N35" s="17"/>
      <c r="R35" s="9"/>
    </row>
    <row r="36" spans="2:19" ht="15" customHeight="1" x14ac:dyDescent="0.3">
      <c r="B36" s="66"/>
      <c r="D36" s="12"/>
      <c r="E36" s="11"/>
      <c r="F36" s="11"/>
      <c r="G36" s="11"/>
      <c r="H36" s="11"/>
      <c r="I36" s="11"/>
      <c r="J36" s="11"/>
      <c r="M36" s="10"/>
      <c r="N36" s="17"/>
      <c r="R36" s="9"/>
    </row>
    <row r="37" spans="2:19" ht="15" thickBot="1" x14ac:dyDescent="0.35">
      <c r="B37" s="67"/>
      <c r="C37" s="13"/>
      <c r="D37" s="14"/>
      <c r="E37" s="15"/>
      <c r="F37" s="15"/>
      <c r="G37" s="15"/>
      <c r="H37" s="15"/>
      <c r="I37" s="15"/>
      <c r="J37" s="15"/>
      <c r="K37" s="13"/>
      <c r="L37" s="13"/>
      <c r="M37" s="15"/>
      <c r="N37" s="15"/>
      <c r="O37" s="13"/>
      <c r="P37" s="13"/>
      <c r="Q37" s="13"/>
      <c r="R37" s="16"/>
    </row>
    <row r="38" spans="2:19" ht="15" thickBot="1" x14ac:dyDescent="0.35">
      <c r="B38" s="65"/>
      <c r="C38" s="6"/>
      <c r="D38" s="7"/>
      <c r="E38" s="6"/>
      <c r="F38" s="6"/>
      <c r="G38" s="6"/>
      <c r="H38" s="6"/>
      <c r="I38" s="6"/>
      <c r="J38" s="6"/>
      <c r="K38" s="6"/>
      <c r="L38" s="7"/>
      <c r="M38" s="6"/>
      <c r="N38" s="6"/>
      <c r="O38" s="6"/>
      <c r="P38" s="6"/>
      <c r="Q38" s="6"/>
      <c r="R38" s="8"/>
    </row>
    <row r="39" spans="2:19" ht="15" customHeight="1" x14ac:dyDescent="0.3">
      <c r="B39" s="66"/>
      <c r="D39" s="3" t="s">
        <v>3</v>
      </c>
      <c r="E39" s="3" t="s">
        <v>4</v>
      </c>
      <c r="F39" s="27" t="s">
        <v>5</v>
      </c>
      <c r="G39" s="20" t="s">
        <v>6</v>
      </c>
      <c r="H39" s="20" t="s">
        <v>7</v>
      </c>
      <c r="I39" s="20" t="s">
        <v>8</v>
      </c>
      <c r="J39" s="20" t="s">
        <v>20</v>
      </c>
      <c r="L39" s="3" t="s">
        <v>3</v>
      </c>
      <c r="M39" s="3" t="s">
        <v>4</v>
      </c>
      <c r="N39" s="27" t="s">
        <v>5</v>
      </c>
      <c r="O39" s="20" t="s">
        <v>6</v>
      </c>
      <c r="P39" s="20" t="s">
        <v>7</v>
      </c>
      <c r="Q39" s="20" t="s">
        <v>8</v>
      </c>
      <c r="R39" s="21" t="s">
        <v>20</v>
      </c>
    </row>
    <row r="40" spans="2:19" x14ac:dyDescent="0.3">
      <c r="B40" s="66"/>
      <c r="D40" s="214" t="s">
        <v>27</v>
      </c>
      <c r="E40" s="18">
        <v>0</v>
      </c>
      <c r="F40" s="38">
        <v>2.08</v>
      </c>
      <c r="G40" s="4">
        <v>13600</v>
      </c>
      <c r="H40" s="4">
        <v>25500</v>
      </c>
      <c r="I40" s="4">
        <v>147500</v>
      </c>
      <c r="J40" s="4">
        <v>5525</v>
      </c>
      <c r="L40" s="214" t="s">
        <v>27</v>
      </c>
      <c r="M40" s="18">
        <v>0</v>
      </c>
      <c r="N40" s="70">
        <v>3.96</v>
      </c>
      <c r="O40" s="4">
        <v>14800</v>
      </c>
      <c r="P40" s="4">
        <v>26500</v>
      </c>
      <c r="Q40" s="4">
        <v>130000</v>
      </c>
      <c r="R40" s="22">
        <v>5250</v>
      </c>
    </row>
    <row r="41" spans="2:19" x14ac:dyDescent="0.3">
      <c r="B41" s="66"/>
      <c r="D41" s="214"/>
      <c r="E41" s="18">
        <v>1</v>
      </c>
      <c r="F41" s="38">
        <v>0.22</v>
      </c>
      <c r="G41" s="4">
        <v>17600</v>
      </c>
      <c r="H41" s="4">
        <v>42000</v>
      </c>
      <c r="I41" s="4">
        <v>245000</v>
      </c>
      <c r="J41" s="4">
        <v>6400</v>
      </c>
      <c r="L41" s="214"/>
      <c r="M41" s="18">
        <v>1</v>
      </c>
      <c r="N41" s="68">
        <v>0.66</v>
      </c>
      <c r="O41" s="4">
        <v>17200</v>
      </c>
      <c r="P41" s="4">
        <v>25000</v>
      </c>
      <c r="Q41" s="4">
        <v>255000</v>
      </c>
      <c r="R41" s="22">
        <v>5050</v>
      </c>
    </row>
    <row r="42" spans="2:19" ht="16.95" customHeight="1" x14ac:dyDescent="0.3">
      <c r="B42" s="50" t="s">
        <v>17</v>
      </c>
      <c r="D42" s="214"/>
      <c r="E42" s="18">
        <v>3</v>
      </c>
      <c r="F42" s="38">
        <v>0.18</v>
      </c>
      <c r="G42" s="4">
        <v>15600</v>
      </c>
      <c r="H42" s="4">
        <v>31500</v>
      </c>
      <c r="I42" s="4">
        <v>190000</v>
      </c>
      <c r="J42" s="4">
        <v>4060</v>
      </c>
      <c r="L42" s="214"/>
      <c r="M42" s="18">
        <v>3</v>
      </c>
      <c r="N42" s="68">
        <v>0.2</v>
      </c>
      <c r="O42" s="4">
        <v>1750</v>
      </c>
      <c r="P42" s="4">
        <v>5550</v>
      </c>
      <c r="Q42" s="4">
        <v>125000</v>
      </c>
      <c r="R42" s="22">
        <v>3100</v>
      </c>
    </row>
    <row r="43" spans="2:19" x14ac:dyDescent="0.3">
      <c r="B43" s="66"/>
      <c r="D43" s="214"/>
      <c r="E43" s="18">
        <v>5</v>
      </c>
      <c r="F43" s="38">
        <v>0.17</v>
      </c>
      <c r="G43" s="4">
        <v>5050</v>
      </c>
      <c r="H43" s="4">
        <v>13600</v>
      </c>
      <c r="I43" s="4">
        <v>174000</v>
      </c>
      <c r="J43" s="4">
        <v>3260</v>
      </c>
      <c r="L43" s="214"/>
      <c r="M43" s="18">
        <v>5</v>
      </c>
      <c r="N43" s="68">
        <v>0.2</v>
      </c>
      <c r="O43" s="4">
        <v>487.5</v>
      </c>
      <c r="P43" s="4">
        <v>1415</v>
      </c>
      <c r="Q43" s="4">
        <v>72000</v>
      </c>
      <c r="R43" s="22">
        <v>1328</v>
      </c>
    </row>
    <row r="44" spans="2:19" x14ac:dyDescent="0.3">
      <c r="B44" s="66"/>
      <c r="D44" s="214"/>
      <c r="E44" s="18">
        <v>10</v>
      </c>
      <c r="F44" s="38">
        <v>0.18</v>
      </c>
      <c r="G44" s="4">
        <v>960.00000000000011</v>
      </c>
      <c r="H44" s="4">
        <v>3080</v>
      </c>
      <c r="I44" s="4">
        <v>84000</v>
      </c>
      <c r="J44" s="4">
        <v>1940.0000000000002</v>
      </c>
      <c r="L44" s="214"/>
      <c r="M44" s="18">
        <v>10</v>
      </c>
      <c r="N44" s="68">
        <v>0.13</v>
      </c>
      <c r="O44" s="4">
        <v>64</v>
      </c>
      <c r="P44" s="4">
        <v>144</v>
      </c>
      <c r="Q44" s="4">
        <v>12200</v>
      </c>
      <c r="R44" s="22">
        <v>330</v>
      </c>
    </row>
    <row r="45" spans="2:19" x14ac:dyDescent="0.3">
      <c r="B45" s="66"/>
      <c r="D45" s="214"/>
      <c r="E45" s="18">
        <v>30</v>
      </c>
      <c r="F45" s="38">
        <v>0.12</v>
      </c>
      <c r="G45" s="4">
        <v>25</v>
      </c>
      <c r="H45" s="4">
        <v>43</v>
      </c>
      <c r="I45" s="4">
        <v>5100</v>
      </c>
      <c r="J45" s="4">
        <v>51</v>
      </c>
      <c r="L45" s="214"/>
      <c r="M45" s="18">
        <v>30</v>
      </c>
      <c r="N45" s="69">
        <v>0.13</v>
      </c>
      <c r="O45" s="4">
        <v>1</v>
      </c>
      <c r="P45" s="4">
        <v>1</v>
      </c>
      <c r="Q45" s="4">
        <v>47</v>
      </c>
      <c r="R45" s="22">
        <v>1</v>
      </c>
    </row>
    <row r="46" spans="2:19" x14ac:dyDescent="0.3">
      <c r="B46" s="66"/>
      <c r="D46" s="214"/>
      <c r="E46" s="5"/>
      <c r="F46" s="5"/>
      <c r="G46" s="4"/>
      <c r="H46" s="4"/>
      <c r="I46" s="4"/>
      <c r="J46" s="4"/>
      <c r="L46" s="214"/>
      <c r="M46" s="5"/>
      <c r="N46" s="5"/>
      <c r="O46" s="4"/>
      <c r="P46" s="4"/>
      <c r="Q46" s="4"/>
      <c r="R46" s="22"/>
    </row>
    <row r="47" spans="2:19" x14ac:dyDescent="0.3">
      <c r="B47" s="66"/>
      <c r="R47" s="9"/>
    </row>
    <row r="48" spans="2:19" x14ac:dyDescent="0.3">
      <c r="B48" s="66"/>
      <c r="R48" s="9"/>
    </row>
    <row r="49" spans="2:18" x14ac:dyDescent="0.3">
      <c r="B49" s="66"/>
      <c r="R49" s="9"/>
    </row>
    <row r="50" spans="2:18" x14ac:dyDescent="0.3">
      <c r="B50" s="66"/>
      <c r="R50" s="9"/>
    </row>
    <row r="51" spans="2:18" ht="15" thickBot="1" x14ac:dyDescent="0.35">
      <c r="B51" s="67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6"/>
    </row>
    <row r="52" spans="2:18" ht="15" customHeight="1" x14ac:dyDescent="0.3"/>
    <row r="82" ht="14.25" customHeight="1" x14ac:dyDescent="0.3"/>
    <row r="84" ht="14.25" customHeight="1" x14ac:dyDescent="0.3"/>
    <row r="108" ht="14.25" customHeight="1" x14ac:dyDescent="0.3"/>
    <row r="135" ht="14.25" customHeight="1" x14ac:dyDescent="0.3"/>
    <row r="137" ht="14.25" customHeight="1" x14ac:dyDescent="0.3"/>
    <row r="160" ht="15" thickBot="1" x14ac:dyDescent="0.35"/>
    <row r="161" spans="2:2" x14ac:dyDescent="0.3">
      <c r="B161" s="219" t="s">
        <v>18</v>
      </c>
    </row>
    <row r="162" spans="2:2" x14ac:dyDescent="0.3">
      <c r="B162" s="220"/>
    </row>
    <row r="163" spans="2:2" x14ac:dyDescent="0.3">
      <c r="B163" s="220"/>
    </row>
    <row r="164" spans="2:2" x14ac:dyDescent="0.3">
      <c r="B164" s="220"/>
    </row>
    <row r="165" spans="2:2" x14ac:dyDescent="0.3">
      <c r="B165" s="220"/>
    </row>
    <row r="166" spans="2:2" x14ac:dyDescent="0.3">
      <c r="B166" s="220"/>
    </row>
    <row r="167" spans="2:2" x14ac:dyDescent="0.3">
      <c r="B167" s="220"/>
    </row>
    <row r="168" spans="2:2" x14ac:dyDescent="0.3">
      <c r="B168" s="220"/>
    </row>
    <row r="169" spans="2:2" x14ac:dyDescent="0.3">
      <c r="B169" s="220"/>
    </row>
    <row r="170" spans="2:2" x14ac:dyDescent="0.3">
      <c r="B170" s="220"/>
    </row>
    <row r="171" spans="2:2" x14ac:dyDescent="0.3">
      <c r="B171" s="220"/>
    </row>
    <row r="172" spans="2:2" x14ac:dyDescent="0.3">
      <c r="B172" s="220"/>
    </row>
    <row r="173" spans="2:2" x14ac:dyDescent="0.3">
      <c r="B173" s="220"/>
    </row>
    <row r="174" spans="2:2" x14ac:dyDescent="0.3">
      <c r="B174" s="220"/>
    </row>
    <row r="175" spans="2:2" x14ac:dyDescent="0.3">
      <c r="B175" s="220"/>
    </row>
    <row r="176" spans="2:2" x14ac:dyDescent="0.3">
      <c r="B176" s="220"/>
    </row>
    <row r="177" spans="2:2" x14ac:dyDescent="0.3">
      <c r="B177" s="220"/>
    </row>
    <row r="178" spans="2:2" x14ac:dyDescent="0.3">
      <c r="B178" s="220"/>
    </row>
    <row r="179" spans="2:2" x14ac:dyDescent="0.3">
      <c r="B179" s="220"/>
    </row>
    <row r="180" spans="2:2" x14ac:dyDescent="0.3">
      <c r="B180" s="220"/>
    </row>
    <row r="181" spans="2:2" x14ac:dyDescent="0.3">
      <c r="B181" s="220"/>
    </row>
    <row r="182" spans="2:2" x14ac:dyDescent="0.3">
      <c r="B182" s="220"/>
    </row>
    <row r="183" spans="2:2" x14ac:dyDescent="0.3">
      <c r="B183" s="220"/>
    </row>
    <row r="184" spans="2:2" x14ac:dyDescent="0.3">
      <c r="B184" s="220"/>
    </row>
    <row r="185" spans="2:2" x14ac:dyDescent="0.3">
      <c r="B185" s="220"/>
    </row>
    <row r="186" spans="2:2" x14ac:dyDescent="0.3">
      <c r="B186" s="220"/>
    </row>
    <row r="187" spans="2:2" x14ac:dyDescent="0.3">
      <c r="B187" s="220"/>
    </row>
    <row r="188" spans="2:2" x14ac:dyDescent="0.3">
      <c r="B188" s="220"/>
    </row>
    <row r="189" spans="2:2" x14ac:dyDescent="0.3">
      <c r="B189" s="220"/>
    </row>
    <row r="190" spans="2:2" x14ac:dyDescent="0.3">
      <c r="B190" s="220"/>
    </row>
    <row r="191" spans="2:2" x14ac:dyDescent="0.3">
      <c r="B191" s="220"/>
    </row>
    <row r="192" spans="2:2" x14ac:dyDescent="0.3">
      <c r="B192" s="220"/>
    </row>
    <row r="193" spans="2:2" x14ac:dyDescent="0.3">
      <c r="B193" s="220"/>
    </row>
    <row r="194" spans="2:2" x14ac:dyDescent="0.3">
      <c r="B194" s="220"/>
    </row>
    <row r="195" spans="2:2" x14ac:dyDescent="0.3">
      <c r="B195" s="220"/>
    </row>
    <row r="196" spans="2:2" x14ac:dyDescent="0.3">
      <c r="B196" s="220"/>
    </row>
    <row r="197" spans="2:2" x14ac:dyDescent="0.3">
      <c r="B197" s="220"/>
    </row>
    <row r="198" spans="2:2" x14ac:dyDescent="0.3">
      <c r="B198" s="220"/>
    </row>
    <row r="199" spans="2:2" x14ac:dyDescent="0.3">
      <c r="B199" s="220"/>
    </row>
    <row r="200" spans="2:2" x14ac:dyDescent="0.3">
      <c r="B200" s="220"/>
    </row>
    <row r="201" spans="2:2" x14ac:dyDescent="0.3">
      <c r="B201" s="220"/>
    </row>
    <row r="202" spans="2:2" x14ac:dyDescent="0.3">
      <c r="B202" s="220"/>
    </row>
    <row r="203" spans="2:2" x14ac:dyDescent="0.3">
      <c r="B203" s="220"/>
    </row>
    <row r="204" spans="2:2" x14ac:dyDescent="0.3">
      <c r="B204" s="220"/>
    </row>
    <row r="205" spans="2:2" x14ac:dyDescent="0.3">
      <c r="B205" s="220"/>
    </row>
    <row r="206" spans="2:2" x14ac:dyDescent="0.3">
      <c r="B206" s="220"/>
    </row>
    <row r="207" spans="2:2" x14ac:dyDescent="0.3">
      <c r="B207" s="220"/>
    </row>
    <row r="208" spans="2:2" x14ac:dyDescent="0.3">
      <c r="B208" s="220"/>
    </row>
    <row r="209" spans="2:3" x14ac:dyDescent="0.3">
      <c r="B209" s="220"/>
    </row>
    <row r="210" spans="2:3" x14ac:dyDescent="0.3">
      <c r="B210" s="220"/>
    </row>
    <row r="211" spans="2:3" x14ac:dyDescent="0.3">
      <c r="B211" s="220"/>
    </row>
    <row r="212" spans="2:3" x14ac:dyDescent="0.3">
      <c r="B212" s="220"/>
    </row>
    <row r="213" spans="2:3" ht="15" thickBot="1" x14ac:dyDescent="0.35">
      <c r="B213" s="221"/>
      <c r="C213" s="13"/>
    </row>
  </sheetData>
  <mergeCells count="9">
    <mergeCell ref="D40:D46"/>
    <mergeCell ref="L40:L46"/>
    <mergeCell ref="B161:B213"/>
    <mergeCell ref="D4:D10"/>
    <mergeCell ref="L4:L10"/>
    <mergeCell ref="D16:D22"/>
    <mergeCell ref="L16:L22"/>
    <mergeCell ref="D28:D34"/>
    <mergeCell ref="L28:L3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13"/>
  <sheetViews>
    <sheetView zoomScale="70" zoomScaleNormal="70" workbookViewId="0">
      <selection activeCell="I28" sqref="I28"/>
    </sheetView>
  </sheetViews>
  <sheetFormatPr defaultColWidth="9.109375" defaultRowHeight="14.4" x14ac:dyDescent="0.3"/>
  <cols>
    <col min="1" max="1" width="47.44140625" style="2" bestFit="1" customWidth="1"/>
    <col min="2" max="2" width="32.33203125" style="2" customWidth="1"/>
    <col min="3" max="3" width="9.109375" style="2"/>
    <col min="4" max="4" width="22.5546875" style="2" bestFit="1" customWidth="1"/>
    <col min="5" max="5" width="19.33203125" style="2" bestFit="1" customWidth="1"/>
    <col min="6" max="6" width="41.44140625" style="2" bestFit="1" customWidth="1"/>
    <col min="7" max="7" width="28.44140625" style="2" bestFit="1" customWidth="1"/>
    <col min="8" max="9" width="28.44140625" style="2" customWidth="1"/>
    <col min="10" max="10" width="32.44140625" style="2" customWidth="1"/>
    <col min="11" max="11" width="29.88671875" style="2" bestFit="1" customWidth="1"/>
    <col min="12" max="12" width="22.5546875" style="2" bestFit="1" customWidth="1"/>
    <col min="13" max="13" width="29.33203125" style="2" bestFit="1" customWidth="1"/>
    <col min="14" max="14" width="41.44140625" style="2" bestFit="1" customWidth="1"/>
    <col min="15" max="18" width="32.44140625" style="2" customWidth="1"/>
    <col min="19" max="19" width="29.88671875" style="2" bestFit="1" customWidth="1"/>
    <col min="20" max="28" width="9.109375" style="2"/>
    <col min="29" max="29" width="14.33203125" style="2" bestFit="1" customWidth="1"/>
    <col min="30" max="16384" width="9.109375" style="2"/>
  </cols>
  <sheetData>
    <row r="1" spans="1:24" ht="26.4" thickBot="1" x14ac:dyDescent="0.55000000000000004">
      <c r="A1" s="51" t="s">
        <v>29</v>
      </c>
    </row>
    <row r="2" spans="1:24" ht="26.4" thickBot="1" x14ac:dyDescent="0.55000000000000004">
      <c r="A2" s="51" t="s">
        <v>30</v>
      </c>
      <c r="B2" s="65"/>
      <c r="C2" s="6"/>
      <c r="D2" s="7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8"/>
    </row>
    <row r="3" spans="1:24" ht="25.8" x14ac:dyDescent="0.5">
      <c r="A3" s="52">
        <v>45271</v>
      </c>
      <c r="B3" s="66"/>
      <c r="D3" s="3" t="s">
        <v>3</v>
      </c>
      <c r="E3" s="3" t="s">
        <v>4</v>
      </c>
      <c r="F3" s="27" t="s">
        <v>5</v>
      </c>
      <c r="G3" s="20" t="s">
        <v>6</v>
      </c>
      <c r="H3" s="20" t="s">
        <v>7</v>
      </c>
      <c r="I3" s="20" t="s">
        <v>8</v>
      </c>
      <c r="J3" s="20" t="s">
        <v>31</v>
      </c>
      <c r="L3" s="3" t="s">
        <v>3</v>
      </c>
      <c r="M3" s="3" t="s">
        <v>4</v>
      </c>
      <c r="N3" s="27" t="s">
        <v>5</v>
      </c>
      <c r="O3" s="20" t="s">
        <v>6</v>
      </c>
      <c r="P3" s="20" t="s">
        <v>7</v>
      </c>
      <c r="Q3" s="20" t="s">
        <v>8</v>
      </c>
      <c r="R3" s="21" t="s">
        <v>31</v>
      </c>
      <c r="T3" s="1"/>
      <c r="V3" s="1"/>
      <c r="X3" s="1"/>
    </row>
    <row r="4" spans="1:24" ht="15" customHeight="1" x14ac:dyDescent="0.3">
      <c r="B4" s="66"/>
      <c r="D4" s="214" t="s">
        <v>32</v>
      </c>
      <c r="E4" s="18">
        <v>0</v>
      </c>
      <c r="F4" s="19">
        <v>1.0772999999999999</v>
      </c>
      <c r="G4" s="4">
        <v>9400</v>
      </c>
      <c r="H4" s="4">
        <v>24000</v>
      </c>
      <c r="I4" s="4">
        <v>115000</v>
      </c>
      <c r="J4" s="4">
        <v>5100</v>
      </c>
      <c r="L4" s="214" t="s">
        <v>32</v>
      </c>
      <c r="M4" s="18">
        <v>0</v>
      </c>
      <c r="N4" s="19">
        <v>2.0655000000000001</v>
      </c>
      <c r="O4" s="4">
        <v>8400</v>
      </c>
      <c r="P4" s="4">
        <v>16750</v>
      </c>
      <c r="Q4" s="72">
        <v>92750</v>
      </c>
      <c r="R4" s="22">
        <v>4100</v>
      </c>
      <c r="T4" s="1"/>
      <c r="V4" s="1"/>
    </row>
    <row r="5" spans="1:24" x14ac:dyDescent="0.3">
      <c r="B5" s="66"/>
      <c r="D5" s="214"/>
      <c r="E5" s="18">
        <v>1</v>
      </c>
      <c r="F5" s="19">
        <v>0.61560000000000004</v>
      </c>
      <c r="G5" s="4">
        <v>5200</v>
      </c>
      <c r="H5" s="4">
        <v>12000</v>
      </c>
      <c r="I5" s="4">
        <v>130000</v>
      </c>
      <c r="J5" s="4">
        <v>3700</v>
      </c>
      <c r="L5" s="214"/>
      <c r="M5" s="18">
        <v>1</v>
      </c>
      <c r="N5" s="19">
        <v>1.5389999999999999</v>
      </c>
      <c r="O5" s="4">
        <v>850</v>
      </c>
      <c r="P5" s="4">
        <v>3300</v>
      </c>
      <c r="Q5" s="4">
        <v>292000</v>
      </c>
      <c r="R5" s="22">
        <v>3600</v>
      </c>
    </row>
    <row r="6" spans="1:24" ht="25.8" x14ac:dyDescent="0.5">
      <c r="A6" s="51" t="s">
        <v>33</v>
      </c>
      <c r="B6" s="50" t="s">
        <v>12</v>
      </c>
      <c r="D6" s="214"/>
      <c r="E6" s="18">
        <v>3</v>
      </c>
      <c r="F6" s="19">
        <v>0.56700000000000006</v>
      </c>
      <c r="G6" s="4">
        <v>1350</v>
      </c>
      <c r="H6" s="4">
        <v>2800</v>
      </c>
      <c r="I6" s="4">
        <v>50000</v>
      </c>
      <c r="J6" s="4">
        <v>2850</v>
      </c>
      <c r="L6" s="214"/>
      <c r="M6" s="18">
        <v>3</v>
      </c>
      <c r="N6" s="19">
        <v>1.4094000000000002</v>
      </c>
      <c r="O6" s="4">
        <v>28.000000000000004</v>
      </c>
      <c r="P6" s="4">
        <v>52</v>
      </c>
      <c r="Q6" s="4">
        <v>880.00000000000011</v>
      </c>
      <c r="R6" s="22">
        <v>616</v>
      </c>
    </row>
    <row r="7" spans="1:24" x14ac:dyDescent="0.3">
      <c r="B7" s="66"/>
      <c r="D7" s="214"/>
      <c r="E7" s="18">
        <v>5</v>
      </c>
      <c r="F7" s="19">
        <v>0.52245000000000008</v>
      </c>
      <c r="G7" s="4">
        <v>100</v>
      </c>
      <c r="H7" s="4">
        <v>610</v>
      </c>
      <c r="I7" s="72">
        <v>17250</v>
      </c>
      <c r="J7" s="4">
        <v>1845</v>
      </c>
      <c r="L7" s="214"/>
      <c r="M7" s="18">
        <v>5</v>
      </c>
      <c r="N7" s="19">
        <v>1.3648500000000001</v>
      </c>
      <c r="O7" s="4">
        <v>44</v>
      </c>
      <c r="P7" s="4">
        <v>88</v>
      </c>
      <c r="Q7" s="4">
        <v>480.00000000000006</v>
      </c>
      <c r="R7" s="22">
        <v>172</v>
      </c>
    </row>
    <row r="8" spans="1:24" x14ac:dyDescent="0.3">
      <c r="B8" s="66"/>
      <c r="D8" s="214"/>
      <c r="E8" s="18">
        <v>10</v>
      </c>
      <c r="F8" s="19">
        <v>0.44550000000000006</v>
      </c>
      <c r="G8" s="4">
        <v>32</v>
      </c>
      <c r="H8" s="4">
        <v>70</v>
      </c>
      <c r="I8" s="4">
        <v>1233.3333333333333</v>
      </c>
      <c r="J8" s="4">
        <v>970.00000000000011</v>
      </c>
      <c r="L8" s="214"/>
      <c r="M8" s="18">
        <v>10</v>
      </c>
      <c r="N8" s="19">
        <v>1.2069000000000001</v>
      </c>
      <c r="O8" s="4">
        <v>6</v>
      </c>
      <c r="P8" s="4">
        <v>30</v>
      </c>
      <c r="Q8" s="4">
        <v>310</v>
      </c>
      <c r="R8" s="22">
        <v>35</v>
      </c>
    </row>
    <row r="9" spans="1:24" x14ac:dyDescent="0.3">
      <c r="B9" s="66"/>
      <c r="D9" s="214"/>
      <c r="E9" s="18">
        <v>30</v>
      </c>
      <c r="F9" s="19">
        <v>0.21870000000000003</v>
      </c>
      <c r="G9" s="4">
        <v>16</v>
      </c>
      <c r="H9" s="4">
        <v>210</v>
      </c>
      <c r="I9" s="4">
        <v>266.66666666666663</v>
      </c>
      <c r="J9" s="4">
        <v>76</v>
      </c>
      <c r="L9" s="214"/>
      <c r="M9" s="18">
        <v>30</v>
      </c>
      <c r="N9" s="19">
        <v>0.76139999999999997</v>
      </c>
      <c r="O9" s="4">
        <v>10</v>
      </c>
      <c r="P9" s="4">
        <v>21</v>
      </c>
      <c r="Q9" s="4">
        <v>125</v>
      </c>
      <c r="R9" s="22">
        <v>13</v>
      </c>
    </row>
    <row r="10" spans="1:24" x14ac:dyDescent="0.3">
      <c r="B10" s="66"/>
      <c r="D10" s="214"/>
      <c r="E10" s="5"/>
      <c r="F10" s="5"/>
      <c r="G10" s="4"/>
      <c r="H10" s="4"/>
      <c r="I10" s="4"/>
      <c r="J10" s="4"/>
      <c r="L10" s="214"/>
      <c r="M10" s="5"/>
      <c r="N10" s="5"/>
      <c r="O10" s="4"/>
      <c r="P10" s="4"/>
      <c r="Q10" s="4"/>
      <c r="R10" s="22"/>
    </row>
    <row r="11" spans="1:24" x14ac:dyDescent="0.3">
      <c r="B11" s="66"/>
      <c r="D11" s="12"/>
      <c r="E11" s="11"/>
      <c r="F11" s="11"/>
      <c r="G11" s="11"/>
      <c r="H11" s="11"/>
      <c r="I11" s="11"/>
      <c r="J11" s="11"/>
      <c r="M11" s="10"/>
      <c r="N11" s="17"/>
      <c r="R11" s="9"/>
    </row>
    <row r="12" spans="1:24" x14ac:dyDescent="0.3">
      <c r="B12" s="66"/>
      <c r="D12" s="12"/>
      <c r="E12" s="11"/>
      <c r="F12" s="11"/>
      <c r="G12" s="11"/>
      <c r="H12" s="11"/>
      <c r="I12" s="11"/>
      <c r="J12" s="11"/>
      <c r="M12" s="10"/>
      <c r="N12" s="17"/>
      <c r="R12" s="9"/>
    </row>
    <row r="13" spans="1:24" ht="15" thickBot="1" x14ac:dyDescent="0.35">
      <c r="B13" s="67"/>
      <c r="C13" s="13"/>
      <c r="D13" s="14"/>
      <c r="E13" s="15"/>
      <c r="F13" s="15"/>
      <c r="G13" s="15"/>
      <c r="H13" s="15"/>
      <c r="I13" s="15"/>
      <c r="J13" s="15"/>
      <c r="K13" s="13"/>
      <c r="L13" s="13"/>
      <c r="M13" s="15"/>
      <c r="N13" s="15"/>
      <c r="O13" s="13"/>
      <c r="P13" s="13"/>
      <c r="Q13" s="13"/>
      <c r="R13" s="16"/>
    </row>
    <row r="14" spans="1:24" ht="15" thickBot="1" x14ac:dyDescent="0.35">
      <c r="B14" s="65"/>
      <c r="C14" s="6"/>
      <c r="D14" s="7"/>
      <c r="E14" s="6"/>
      <c r="F14" s="6"/>
      <c r="G14" s="6"/>
      <c r="H14" s="6"/>
      <c r="I14" s="6"/>
      <c r="J14" s="6"/>
      <c r="K14" s="6"/>
      <c r="L14" s="7"/>
      <c r="M14" s="6"/>
      <c r="N14" s="6"/>
      <c r="O14" s="6"/>
      <c r="P14" s="6"/>
      <c r="Q14" s="6"/>
      <c r="R14" s="8"/>
    </row>
    <row r="15" spans="1:24" x14ac:dyDescent="0.3">
      <c r="B15" s="66"/>
      <c r="D15" s="3" t="s">
        <v>3</v>
      </c>
      <c r="E15" s="3" t="s">
        <v>4</v>
      </c>
      <c r="F15" s="27" t="s">
        <v>5</v>
      </c>
      <c r="G15" s="20" t="s">
        <v>6</v>
      </c>
      <c r="H15" s="20" t="s">
        <v>7</v>
      </c>
      <c r="I15" s="20" t="s">
        <v>8</v>
      </c>
      <c r="J15" s="20" t="s">
        <v>31</v>
      </c>
      <c r="L15" s="3" t="s">
        <v>3</v>
      </c>
      <c r="M15" s="3" t="s">
        <v>4</v>
      </c>
      <c r="N15" s="27" t="s">
        <v>5</v>
      </c>
      <c r="O15" s="20" t="s">
        <v>6</v>
      </c>
      <c r="P15" s="20" t="s">
        <v>7</v>
      </c>
      <c r="Q15" s="20" t="s">
        <v>8</v>
      </c>
      <c r="R15" s="21" t="s">
        <v>31</v>
      </c>
    </row>
    <row r="16" spans="1:24" x14ac:dyDescent="0.3">
      <c r="B16" s="66"/>
      <c r="D16" s="214" t="s">
        <v>32</v>
      </c>
      <c r="E16" s="18">
        <v>0</v>
      </c>
      <c r="F16" s="19">
        <v>1.94</v>
      </c>
      <c r="G16" s="4">
        <v>9200</v>
      </c>
      <c r="H16" s="4">
        <v>25500</v>
      </c>
      <c r="I16" s="72">
        <v>227500</v>
      </c>
      <c r="J16" s="4">
        <v>3525</v>
      </c>
      <c r="L16" s="214" t="s">
        <v>32</v>
      </c>
      <c r="M16" s="18">
        <v>0</v>
      </c>
      <c r="N16" s="19">
        <v>3.93</v>
      </c>
      <c r="O16" s="4">
        <v>8600</v>
      </c>
      <c r="P16" s="4">
        <v>33000</v>
      </c>
      <c r="Q16" s="4">
        <v>125000</v>
      </c>
      <c r="R16" s="22">
        <v>4450</v>
      </c>
    </row>
    <row r="17" spans="2:19" ht="15" customHeight="1" x14ac:dyDescent="0.3">
      <c r="B17" s="66"/>
      <c r="D17" s="214"/>
      <c r="E17" s="18">
        <v>1</v>
      </c>
      <c r="F17" s="19">
        <v>1.5350000000000001</v>
      </c>
      <c r="G17" s="4">
        <v>8400</v>
      </c>
      <c r="H17" s="4">
        <v>24000</v>
      </c>
      <c r="I17" s="4">
        <v>155000</v>
      </c>
      <c r="J17" s="4">
        <v>4350</v>
      </c>
      <c r="L17" s="214"/>
      <c r="M17" s="18">
        <v>1</v>
      </c>
      <c r="N17" s="19">
        <v>3.2850000000000001</v>
      </c>
      <c r="O17" s="4">
        <v>6600</v>
      </c>
      <c r="P17" s="4">
        <v>16000</v>
      </c>
      <c r="Q17" s="4">
        <v>125000</v>
      </c>
      <c r="R17" s="22">
        <v>4650</v>
      </c>
    </row>
    <row r="18" spans="2:19" ht="25.8" x14ac:dyDescent="0.3">
      <c r="B18" s="50" t="s">
        <v>13</v>
      </c>
      <c r="D18" s="214"/>
      <c r="E18" s="18">
        <v>3</v>
      </c>
      <c r="F18" s="19">
        <v>1.4</v>
      </c>
      <c r="G18" s="4">
        <v>9400</v>
      </c>
      <c r="H18" s="4">
        <v>17500</v>
      </c>
      <c r="I18" s="4">
        <v>240000</v>
      </c>
      <c r="J18" s="4">
        <v>4150</v>
      </c>
      <c r="L18" s="214"/>
      <c r="M18" s="18">
        <v>3</v>
      </c>
      <c r="N18" s="19">
        <v>3.1950000000000003</v>
      </c>
      <c r="O18" s="4">
        <v>2700</v>
      </c>
      <c r="P18" s="4">
        <v>10000</v>
      </c>
      <c r="Q18" s="4">
        <v>102000</v>
      </c>
      <c r="R18" s="22">
        <v>3850</v>
      </c>
    </row>
    <row r="19" spans="2:19" ht="14.25" customHeight="1" x14ac:dyDescent="0.3">
      <c r="B19" s="66"/>
      <c r="D19" s="214"/>
      <c r="E19" s="18">
        <v>5</v>
      </c>
      <c r="F19" s="19">
        <v>1.34</v>
      </c>
      <c r="G19" s="4">
        <v>4800</v>
      </c>
      <c r="H19" s="4">
        <v>22500</v>
      </c>
      <c r="I19" s="4">
        <v>100000</v>
      </c>
      <c r="J19" s="4">
        <v>4950</v>
      </c>
      <c r="L19" s="214"/>
      <c r="M19" s="18">
        <v>5</v>
      </c>
      <c r="N19" s="19">
        <v>3.1</v>
      </c>
      <c r="O19" s="4">
        <v>480</v>
      </c>
      <c r="P19" s="4">
        <v>3125</v>
      </c>
      <c r="Q19" s="72">
        <v>37000</v>
      </c>
      <c r="R19" s="22">
        <v>2710</v>
      </c>
    </row>
    <row r="20" spans="2:19" x14ac:dyDescent="0.3">
      <c r="B20" s="66"/>
      <c r="D20" s="214"/>
      <c r="E20" s="18">
        <v>10</v>
      </c>
      <c r="F20" s="19">
        <v>1.3</v>
      </c>
      <c r="G20" s="4">
        <v>1200</v>
      </c>
      <c r="H20" s="4">
        <v>9200</v>
      </c>
      <c r="I20" s="4">
        <v>96000</v>
      </c>
      <c r="J20" s="4">
        <v>3200</v>
      </c>
      <c r="L20" s="214"/>
      <c r="M20" s="18">
        <v>10</v>
      </c>
      <c r="N20" s="19">
        <v>3.0350000000000001</v>
      </c>
      <c r="O20" s="4">
        <v>72</v>
      </c>
      <c r="P20" s="4">
        <v>640</v>
      </c>
      <c r="Q20" s="4">
        <v>6500</v>
      </c>
      <c r="R20" s="22">
        <v>1340</v>
      </c>
    </row>
    <row r="21" spans="2:19" x14ac:dyDescent="0.3">
      <c r="B21" s="66"/>
      <c r="D21" s="214"/>
      <c r="E21" s="18">
        <v>30</v>
      </c>
      <c r="F21" s="18">
        <v>1.0900000000000001</v>
      </c>
      <c r="G21" s="4">
        <v>51</v>
      </c>
      <c r="H21" s="4">
        <v>680.00000000000011</v>
      </c>
      <c r="I21" s="4">
        <v>5800</v>
      </c>
      <c r="J21" s="4">
        <v>980.00000000000011</v>
      </c>
      <c r="L21" s="214"/>
      <c r="M21" s="18">
        <v>30</v>
      </c>
      <c r="N21" s="19">
        <v>2.7350000000000003</v>
      </c>
      <c r="O21" s="4">
        <v>44</v>
      </c>
      <c r="P21" s="4">
        <v>140</v>
      </c>
      <c r="Q21" s="4">
        <v>900</v>
      </c>
      <c r="R21" s="22">
        <v>191</v>
      </c>
    </row>
    <row r="22" spans="2:19" x14ac:dyDescent="0.3">
      <c r="B22" s="66"/>
      <c r="D22" s="214"/>
      <c r="E22" s="5"/>
      <c r="F22" s="5"/>
      <c r="G22" s="4"/>
      <c r="H22" s="4"/>
      <c r="I22" s="4"/>
      <c r="J22" s="4"/>
      <c r="L22" s="214"/>
      <c r="M22" s="5"/>
      <c r="N22" s="5"/>
      <c r="O22" s="4"/>
      <c r="P22" s="4"/>
      <c r="Q22" s="4"/>
      <c r="R22" s="22"/>
    </row>
    <row r="23" spans="2:19" x14ac:dyDescent="0.3">
      <c r="B23" s="66"/>
      <c r="D23" s="12"/>
      <c r="E23" s="11"/>
      <c r="F23" s="11"/>
      <c r="G23" s="11"/>
      <c r="H23" s="11"/>
      <c r="I23" s="11"/>
      <c r="J23" s="11"/>
      <c r="M23" s="10"/>
      <c r="N23" s="17"/>
      <c r="R23" s="9"/>
    </row>
    <row r="24" spans="2:19" x14ac:dyDescent="0.3">
      <c r="B24" s="66"/>
      <c r="D24" s="12"/>
      <c r="E24" s="11"/>
      <c r="F24" s="11"/>
      <c r="G24" s="11"/>
      <c r="H24" s="11"/>
      <c r="I24" s="11"/>
      <c r="J24" s="11"/>
      <c r="M24" s="10"/>
      <c r="N24" s="17"/>
      <c r="R24" s="9"/>
    </row>
    <row r="25" spans="2:19" ht="15" thickBot="1" x14ac:dyDescent="0.35">
      <c r="B25" s="67"/>
      <c r="C25" s="13"/>
      <c r="D25" s="14"/>
      <c r="E25" s="15"/>
      <c r="F25" s="15"/>
      <c r="G25" s="15"/>
      <c r="H25" s="15"/>
      <c r="I25" s="15"/>
      <c r="J25" s="15"/>
      <c r="K25" s="13"/>
      <c r="L25" s="13"/>
      <c r="M25" s="15"/>
      <c r="N25" s="15"/>
      <c r="O25" s="13"/>
      <c r="P25" s="13"/>
      <c r="Q25" s="13"/>
      <c r="R25" s="16"/>
    </row>
    <row r="26" spans="2:19" ht="15" thickBot="1" x14ac:dyDescent="0.35">
      <c r="B26" s="65"/>
      <c r="C26" s="6"/>
      <c r="D26" s="7"/>
      <c r="E26" s="6"/>
      <c r="F26" s="6"/>
      <c r="G26" s="6"/>
      <c r="H26" s="6"/>
      <c r="I26" s="6"/>
      <c r="J26" s="6"/>
      <c r="K26" s="6"/>
      <c r="L26" s="7"/>
      <c r="M26" s="6"/>
      <c r="N26" s="6"/>
      <c r="O26" s="6"/>
      <c r="P26" s="6"/>
      <c r="Q26" s="6"/>
      <c r="R26" s="8"/>
    </row>
    <row r="27" spans="2:19" x14ac:dyDescent="0.3">
      <c r="B27" s="66"/>
      <c r="D27" s="3" t="s">
        <v>3</v>
      </c>
      <c r="E27" s="3" t="s">
        <v>4</v>
      </c>
      <c r="F27" s="27" t="s">
        <v>5</v>
      </c>
      <c r="G27" s="20" t="s">
        <v>6</v>
      </c>
      <c r="H27" s="20" t="s">
        <v>7</v>
      </c>
      <c r="I27" s="20" t="s">
        <v>8</v>
      </c>
      <c r="J27" s="20" t="s">
        <v>31</v>
      </c>
      <c r="K27" s="74" t="s">
        <v>14</v>
      </c>
      <c r="L27" s="3" t="s">
        <v>3</v>
      </c>
      <c r="M27" s="3" t="s">
        <v>4</v>
      </c>
      <c r="N27" s="27" t="s">
        <v>5</v>
      </c>
      <c r="O27" s="20" t="s">
        <v>6</v>
      </c>
      <c r="P27" s="20" t="s">
        <v>7</v>
      </c>
      <c r="Q27" s="20" t="s">
        <v>8</v>
      </c>
      <c r="R27" s="21" t="s">
        <v>31</v>
      </c>
      <c r="S27" s="74" t="s">
        <v>14</v>
      </c>
    </row>
    <row r="28" spans="2:19" x14ac:dyDescent="0.3">
      <c r="B28" s="66"/>
      <c r="D28" s="214" t="s">
        <v>32</v>
      </c>
      <c r="E28" s="18">
        <v>0</v>
      </c>
      <c r="F28" s="19">
        <v>1.97</v>
      </c>
      <c r="G28" s="4">
        <v>7100</v>
      </c>
      <c r="H28" s="4">
        <v>20250</v>
      </c>
      <c r="I28" s="72">
        <v>100000</v>
      </c>
      <c r="J28" s="4">
        <v>4450</v>
      </c>
      <c r="K28" s="112"/>
      <c r="L28" s="214" t="s">
        <v>32</v>
      </c>
      <c r="M28" s="18">
        <v>0</v>
      </c>
      <c r="N28" s="19">
        <v>4.0199999999999996</v>
      </c>
      <c r="O28" s="4">
        <v>9400</v>
      </c>
      <c r="P28" s="4">
        <v>28500</v>
      </c>
      <c r="Q28" s="4">
        <v>130000</v>
      </c>
      <c r="R28" s="22">
        <v>5300</v>
      </c>
      <c r="S28" s="112"/>
    </row>
    <row r="29" spans="2:19" x14ac:dyDescent="0.3">
      <c r="B29" s="66"/>
      <c r="D29" s="214"/>
      <c r="E29" s="18">
        <v>1</v>
      </c>
      <c r="F29" s="19">
        <v>0.84</v>
      </c>
      <c r="G29" s="4">
        <v>6200</v>
      </c>
      <c r="H29" s="4">
        <v>11000</v>
      </c>
      <c r="I29" s="4">
        <v>95000</v>
      </c>
      <c r="J29" s="4">
        <v>3400</v>
      </c>
      <c r="K29" s="112"/>
      <c r="L29" s="214"/>
      <c r="M29" s="18">
        <v>1</v>
      </c>
      <c r="N29" s="19">
        <v>1.56</v>
      </c>
      <c r="O29" s="4">
        <v>550</v>
      </c>
      <c r="P29" s="4">
        <v>2600</v>
      </c>
      <c r="Q29" s="4">
        <v>18000</v>
      </c>
      <c r="R29" s="22">
        <v>800</v>
      </c>
      <c r="S29" s="112"/>
    </row>
    <row r="30" spans="2:19" ht="51.6" x14ac:dyDescent="0.3">
      <c r="B30" s="50" t="s">
        <v>15</v>
      </c>
      <c r="D30" s="214"/>
      <c r="E30" s="18">
        <v>3</v>
      </c>
      <c r="F30" s="19">
        <v>0.81</v>
      </c>
      <c r="G30" s="4">
        <v>3000</v>
      </c>
      <c r="H30" s="4">
        <v>12000</v>
      </c>
      <c r="I30" s="4">
        <v>125000</v>
      </c>
      <c r="J30" s="4">
        <v>1600</v>
      </c>
      <c r="K30" s="112"/>
      <c r="L30" s="214"/>
      <c r="M30" s="18">
        <v>3</v>
      </c>
      <c r="N30" s="19">
        <v>1.56</v>
      </c>
      <c r="O30" s="4">
        <v>180</v>
      </c>
      <c r="P30" s="4">
        <v>1660.0000000000002</v>
      </c>
      <c r="Q30" s="4">
        <v>26000</v>
      </c>
      <c r="R30" s="22">
        <v>1500</v>
      </c>
      <c r="S30" s="112"/>
    </row>
    <row r="31" spans="2:19" x14ac:dyDescent="0.3">
      <c r="B31" s="66"/>
      <c r="D31" s="214"/>
      <c r="E31" s="18">
        <v>5</v>
      </c>
      <c r="F31" s="19">
        <v>0.78</v>
      </c>
      <c r="G31" s="4">
        <v>3900</v>
      </c>
      <c r="H31" s="4">
        <v>6600</v>
      </c>
      <c r="I31" s="4">
        <v>90000</v>
      </c>
      <c r="J31" s="4">
        <v>2300</v>
      </c>
      <c r="K31" s="112"/>
      <c r="L31" s="214"/>
      <c r="M31" s="18">
        <v>5</v>
      </c>
      <c r="N31" s="19">
        <v>1.56</v>
      </c>
      <c r="O31" s="4">
        <v>130</v>
      </c>
      <c r="P31" s="4">
        <v>510.00000000000011</v>
      </c>
      <c r="Q31" s="72">
        <v>10600</v>
      </c>
      <c r="R31" s="22">
        <v>855</v>
      </c>
      <c r="S31" s="112"/>
    </row>
    <row r="32" spans="2:19" x14ac:dyDescent="0.3">
      <c r="B32" s="66"/>
      <c r="D32" s="214"/>
      <c r="E32" s="18">
        <v>10</v>
      </c>
      <c r="F32" s="19">
        <v>0.78</v>
      </c>
      <c r="G32" s="4">
        <v>1780</v>
      </c>
      <c r="H32" s="4">
        <v>6900</v>
      </c>
      <c r="I32" s="4">
        <v>88000</v>
      </c>
      <c r="J32" s="4">
        <v>1760.0000000000002</v>
      </c>
      <c r="K32" s="113">
        <v>0.75</v>
      </c>
      <c r="L32" s="214"/>
      <c r="M32" s="18">
        <v>10</v>
      </c>
      <c r="N32" s="19">
        <v>1.54</v>
      </c>
      <c r="O32" s="4">
        <v>56.000000000000007</v>
      </c>
      <c r="P32" s="4">
        <v>224.00000000000003</v>
      </c>
      <c r="Q32" s="4">
        <v>6600</v>
      </c>
      <c r="R32" s="22">
        <v>528</v>
      </c>
      <c r="S32" s="113">
        <v>1.27</v>
      </c>
    </row>
    <row r="33" spans="2:19" ht="15" thickBot="1" x14ac:dyDescent="0.35">
      <c r="B33" s="66"/>
      <c r="D33" s="214"/>
      <c r="E33" s="18">
        <v>30</v>
      </c>
      <c r="F33" s="18">
        <v>0.72</v>
      </c>
      <c r="G33" s="4">
        <v>260</v>
      </c>
      <c r="H33" s="4">
        <v>1633.3333333333333</v>
      </c>
      <c r="I33" s="4">
        <v>32500</v>
      </c>
      <c r="J33" s="4">
        <v>980.00000000000011</v>
      </c>
      <c r="K33" s="113">
        <v>0.71</v>
      </c>
      <c r="L33" s="214"/>
      <c r="M33" s="18">
        <v>30</v>
      </c>
      <c r="N33" s="18">
        <v>1.41</v>
      </c>
      <c r="O33" s="4">
        <v>2</v>
      </c>
      <c r="P33" s="4">
        <v>56.000000000000007</v>
      </c>
      <c r="Q33" s="4">
        <v>1066.6666666666665</v>
      </c>
      <c r="R33" s="22">
        <v>79</v>
      </c>
      <c r="S33" s="114">
        <v>1.17</v>
      </c>
    </row>
    <row r="34" spans="2:19" x14ac:dyDescent="0.3">
      <c r="B34" s="66"/>
      <c r="D34" s="214"/>
      <c r="E34" s="5"/>
      <c r="F34" s="5"/>
      <c r="G34" s="4"/>
      <c r="H34" s="4"/>
      <c r="I34" s="4"/>
      <c r="J34" s="4"/>
      <c r="K34" s="112"/>
      <c r="L34" s="214"/>
      <c r="M34" s="5"/>
      <c r="N34" s="5"/>
      <c r="O34" s="4"/>
      <c r="P34" s="4"/>
      <c r="Q34" s="4"/>
      <c r="R34" s="22"/>
      <c r="S34" s="112"/>
    </row>
    <row r="35" spans="2:19" x14ac:dyDescent="0.3">
      <c r="B35" s="66"/>
      <c r="D35" s="12"/>
      <c r="E35" s="11"/>
      <c r="F35" s="11"/>
      <c r="G35" s="11"/>
      <c r="H35" s="11"/>
      <c r="I35" s="11"/>
      <c r="J35" s="11"/>
      <c r="M35" s="10"/>
      <c r="N35" s="17"/>
      <c r="R35" s="9"/>
    </row>
    <row r="36" spans="2:19" ht="15" customHeight="1" x14ac:dyDescent="0.3">
      <c r="B36" s="66"/>
      <c r="D36" s="12"/>
      <c r="E36" s="11"/>
      <c r="F36" s="11"/>
      <c r="G36" s="11"/>
      <c r="H36" s="11"/>
      <c r="I36" s="11"/>
      <c r="J36" s="11"/>
      <c r="M36" s="10"/>
      <c r="N36" s="17"/>
      <c r="R36" s="9"/>
    </row>
    <row r="37" spans="2:19" ht="15" thickBot="1" x14ac:dyDescent="0.35">
      <c r="B37" s="67"/>
      <c r="C37" s="13"/>
      <c r="D37" s="14"/>
      <c r="E37" s="15"/>
      <c r="F37" s="15"/>
      <c r="G37" s="15"/>
      <c r="H37" s="15"/>
      <c r="I37" s="15"/>
      <c r="J37" s="15"/>
      <c r="K37" s="13"/>
      <c r="L37" s="13"/>
      <c r="M37" s="15"/>
      <c r="N37" s="15"/>
      <c r="O37" s="13"/>
      <c r="P37" s="13"/>
      <c r="Q37" s="13"/>
      <c r="R37" s="16"/>
    </row>
    <row r="38" spans="2:19" ht="15" thickBot="1" x14ac:dyDescent="0.35">
      <c r="B38" s="65"/>
      <c r="C38" s="6"/>
      <c r="D38" s="7"/>
      <c r="E38" s="6"/>
      <c r="F38" s="6"/>
      <c r="G38" s="6"/>
      <c r="H38" s="6"/>
      <c r="I38" s="6"/>
      <c r="J38" s="6"/>
      <c r="K38" s="6"/>
      <c r="L38" s="7"/>
      <c r="M38" s="6"/>
      <c r="N38" s="6"/>
      <c r="O38" s="6"/>
      <c r="P38" s="6"/>
      <c r="Q38" s="6"/>
      <c r="R38" s="8"/>
    </row>
    <row r="39" spans="2:19" ht="15" customHeight="1" x14ac:dyDescent="0.3">
      <c r="B39" s="66"/>
      <c r="D39" s="3" t="s">
        <v>3</v>
      </c>
      <c r="E39" s="3" t="s">
        <v>4</v>
      </c>
      <c r="F39" s="27" t="s">
        <v>5</v>
      </c>
      <c r="G39" s="20" t="s">
        <v>6</v>
      </c>
      <c r="H39" s="20" t="s">
        <v>7</v>
      </c>
      <c r="I39" s="20" t="s">
        <v>8</v>
      </c>
      <c r="J39" s="20" t="s">
        <v>31</v>
      </c>
      <c r="L39" s="3" t="s">
        <v>3</v>
      </c>
      <c r="M39" s="3" t="s">
        <v>4</v>
      </c>
      <c r="N39" s="27" t="s">
        <v>5</v>
      </c>
      <c r="O39" s="20" t="s">
        <v>6</v>
      </c>
      <c r="P39" s="20" t="s">
        <v>7</v>
      </c>
      <c r="Q39" s="20" t="s">
        <v>8</v>
      </c>
      <c r="R39" s="21" t="s">
        <v>31</v>
      </c>
    </row>
    <row r="40" spans="2:19" x14ac:dyDescent="0.3">
      <c r="B40" s="66"/>
      <c r="D40" s="214" t="s">
        <v>32</v>
      </c>
      <c r="E40" s="18">
        <v>0</v>
      </c>
      <c r="F40" s="19">
        <v>1.97</v>
      </c>
      <c r="G40" s="4">
        <v>7100</v>
      </c>
      <c r="H40" s="4">
        <v>20250</v>
      </c>
      <c r="I40" s="4">
        <v>100000</v>
      </c>
      <c r="J40" s="4">
        <v>4450</v>
      </c>
      <c r="L40" s="214" t="s">
        <v>32</v>
      </c>
      <c r="M40" s="18">
        <v>0</v>
      </c>
      <c r="N40" s="19">
        <v>4.0199999999999996</v>
      </c>
      <c r="O40" s="4">
        <v>9400</v>
      </c>
      <c r="P40" s="4">
        <v>28500</v>
      </c>
      <c r="Q40" s="4">
        <v>130000</v>
      </c>
      <c r="R40" s="22">
        <v>5300</v>
      </c>
    </row>
    <row r="41" spans="2:19" x14ac:dyDescent="0.3">
      <c r="B41" s="66"/>
      <c r="D41" s="214"/>
      <c r="E41" s="18">
        <v>1</v>
      </c>
      <c r="F41" s="19">
        <v>0.14000000000000001</v>
      </c>
      <c r="G41" s="4">
        <v>6200</v>
      </c>
      <c r="H41" s="4">
        <v>11000</v>
      </c>
      <c r="I41" s="4">
        <v>95000</v>
      </c>
      <c r="J41" s="4">
        <v>3400</v>
      </c>
      <c r="L41" s="214"/>
      <c r="M41" s="18">
        <v>1</v>
      </c>
      <c r="N41" s="19">
        <v>0.2</v>
      </c>
      <c r="O41" s="4">
        <v>550</v>
      </c>
      <c r="P41" s="4">
        <v>2600</v>
      </c>
      <c r="Q41" s="4">
        <v>18000</v>
      </c>
      <c r="R41" s="22">
        <v>800</v>
      </c>
    </row>
    <row r="42" spans="2:19" x14ac:dyDescent="0.3">
      <c r="B42" s="66"/>
      <c r="D42" s="214"/>
      <c r="E42" s="18">
        <v>3</v>
      </c>
      <c r="F42" s="19">
        <v>0.14000000000000001</v>
      </c>
      <c r="G42" s="4">
        <v>3000</v>
      </c>
      <c r="H42" s="4">
        <v>12000</v>
      </c>
      <c r="I42" s="4">
        <v>125000</v>
      </c>
      <c r="J42" s="4">
        <v>1600</v>
      </c>
      <c r="L42" s="214"/>
      <c r="M42" s="18">
        <v>3</v>
      </c>
      <c r="N42" s="19">
        <v>0.2</v>
      </c>
      <c r="O42" s="4">
        <v>180</v>
      </c>
      <c r="P42" s="4">
        <v>1660.0000000000002</v>
      </c>
      <c r="Q42" s="4">
        <v>26000</v>
      </c>
      <c r="R42" s="22">
        <v>1500</v>
      </c>
    </row>
    <row r="43" spans="2:19" ht="25.8" x14ac:dyDescent="0.3">
      <c r="B43" s="50" t="s">
        <v>17</v>
      </c>
      <c r="D43" s="214"/>
      <c r="E43" s="18">
        <v>5</v>
      </c>
      <c r="F43" s="19">
        <v>0.14000000000000001</v>
      </c>
      <c r="G43" s="4">
        <v>3900</v>
      </c>
      <c r="H43" s="4">
        <v>6600</v>
      </c>
      <c r="I43" s="4">
        <v>90000</v>
      </c>
      <c r="J43" s="4">
        <v>2300</v>
      </c>
      <c r="L43" s="214"/>
      <c r="M43" s="18">
        <v>5</v>
      </c>
      <c r="N43" s="19">
        <v>0.08</v>
      </c>
      <c r="O43" s="4">
        <v>130</v>
      </c>
      <c r="P43" s="4">
        <v>510.00000000000011</v>
      </c>
      <c r="Q43" s="4">
        <v>10600</v>
      </c>
      <c r="R43" s="22">
        <v>855</v>
      </c>
    </row>
    <row r="44" spans="2:19" x14ac:dyDescent="0.3">
      <c r="B44" s="66"/>
      <c r="D44" s="214"/>
      <c r="E44" s="18">
        <v>10</v>
      </c>
      <c r="F44" s="19">
        <v>0.08</v>
      </c>
      <c r="G44" s="4">
        <v>1780</v>
      </c>
      <c r="H44" s="4">
        <v>6900</v>
      </c>
      <c r="I44" s="4">
        <v>88000</v>
      </c>
      <c r="J44" s="4">
        <v>1760.0000000000002</v>
      </c>
      <c r="L44" s="214"/>
      <c r="M44" s="18">
        <v>10</v>
      </c>
      <c r="N44" s="19">
        <v>0.08</v>
      </c>
      <c r="O44" s="4">
        <v>56.000000000000007</v>
      </c>
      <c r="P44" s="4">
        <v>224.00000000000003</v>
      </c>
      <c r="Q44" s="4">
        <v>6600</v>
      </c>
      <c r="R44" s="22">
        <v>528</v>
      </c>
    </row>
    <row r="45" spans="2:19" x14ac:dyDescent="0.3">
      <c r="B45" s="66"/>
      <c r="D45" s="214"/>
      <c r="E45" s="18">
        <v>30</v>
      </c>
      <c r="F45" s="18">
        <v>0.08</v>
      </c>
      <c r="G45" s="4">
        <v>260</v>
      </c>
      <c r="H45" s="4">
        <v>1633.3333333333333</v>
      </c>
      <c r="I45" s="4">
        <v>32500</v>
      </c>
      <c r="J45" s="4">
        <v>980.00000000000011</v>
      </c>
      <c r="L45" s="214"/>
      <c r="M45" s="18">
        <v>30</v>
      </c>
      <c r="N45" s="18">
        <v>7.0000000000000007E-2</v>
      </c>
      <c r="O45" s="4">
        <v>2</v>
      </c>
      <c r="P45" s="4">
        <v>56.000000000000007</v>
      </c>
      <c r="Q45" s="4">
        <v>1066.6666666666665</v>
      </c>
      <c r="R45" s="22">
        <v>79</v>
      </c>
    </row>
    <row r="46" spans="2:19" x14ac:dyDescent="0.3">
      <c r="B46" s="66"/>
      <c r="D46" s="214"/>
      <c r="E46" s="5"/>
      <c r="F46" s="5"/>
      <c r="G46" s="4"/>
      <c r="H46" s="4"/>
      <c r="I46" s="4"/>
      <c r="J46" s="4"/>
      <c r="L46" s="214"/>
      <c r="M46" s="5"/>
      <c r="N46" s="5"/>
      <c r="O46" s="4"/>
      <c r="P46" s="4"/>
      <c r="Q46" s="4"/>
      <c r="R46" s="22"/>
    </row>
    <row r="47" spans="2:19" x14ac:dyDescent="0.3">
      <c r="B47" s="66"/>
      <c r="D47" s="11"/>
      <c r="E47" s="10"/>
      <c r="F47" s="10"/>
      <c r="G47" s="61"/>
      <c r="H47" s="61"/>
      <c r="I47" s="61"/>
      <c r="J47" s="61"/>
      <c r="L47" s="11"/>
      <c r="M47" s="10"/>
      <c r="N47" s="10"/>
      <c r="O47" s="61"/>
      <c r="P47" s="61"/>
      <c r="Q47" s="61"/>
      <c r="R47" s="23"/>
    </row>
    <row r="48" spans="2:19" x14ac:dyDescent="0.3">
      <c r="B48" s="66"/>
      <c r="R48" s="9"/>
    </row>
    <row r="49" spans="2:18" ht="15" thickBot="1" x14ac:dyDescent="0.35">
      <c r="B49" s="67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6"/>
    </row>
    <row r="52" spans="2:18" ht="15" customHeight="1" x14ac:dyDescent="0.3"/>
    <row r="57" spans="2:18" ht="15" customHeight="1" x14ac:dyDescent="0.3"/>
    <row r="70" ht="14.25" customHeight="1" x14ac:dyDescent="0.3"/>
    <row r="72" ht="14.25" customHeight="1" x14ac:dyDescent="0.3"/>
    <row r="107" spans="2:3" ht="15" thickBot="1" x14ac:dyDescent="0.35"/>
    <row r="108" spans="2:3" x14ac:dyDescent="0.3">
      <c r="B108" s="219" t="s">
        <v>18</v>
      </c>
      <c r="C108" s="6"/>
    </row>
    <row r="109" spans="2:3" x14ac:dyDescent="0.3">
      <c r="B109" s="220"/>
    </row>
    <row r="110" spans="2:3" ht="15" customHeight="1" x14ac:dyDescent="0.3">
      <c r="B110" s="220"/>
    </row>
    <row r="111" spans="2:3" x14ac:dyDescent="0.3">
      <c r="B111" s="220"/>
    </row>
    <row r="112" spans="2:3" x14ac:dyDescent="0.3">
      <c r="B112" s="220"/>
    </row>
    <row r="113" spans="2:2" x14ac:dyDescent="0.3">
      <c r="B113" s="220"/>
    </row>
    <row r="114" spans="2:2" x14ac:dyDescent="0.3">
      <c r="B114" s="220"/>
    </row>
    <row r="115" spans="2:2" x14ac:dyDescent="0.3">
      <c r="B115" s="220"/>
    </row>
    <row r="116" spans="2:2" x14ac:dyDescent="0.3">
      <c r="B116" s="220"/>
    </row>
    <row r="117" spans="2:2" x14ac:dyDescent="0.3">
      <c r="B117" s="220"/>
    </row>
    <row r="118" spans="2:2" x14ac:dyDescent="0.3">
      <c r="B118" s="220"/>
    </row>
    <row r="119" spans="2:2" x14ac:dyDescent="0.3">
      <c r="B119" s="220"/>
    </row>
    <row r="120" spans="2:2" x14ac:dyDescent="0.3">
      <c r="B120" s="220"/>
    </row>
    <row r="121" spans="2:2" x14ac:dyDescent="0.3">
      <c r="B121" s="220"/>
    </row>
    <row r="122" spans="2:2" x14ac:dyDescent="0.3">
      <c r="B122" s="220"/>
    </row>
    <row r="123" spans="2:2" ht="14.25" customHeight="1" x14ac:dyDescent="0.3">
      <c r="B123" s="220"/>
    </row>
    <row r="124" spans="2:2" x14ac:dyDescent="0.3">
      <c r="B124" s="220"/>
    </row>
    <row r="125" spans="2:2" ht="14.25" customHeight="1" x14ac:dyDescent="0.3">
      <c r="B125" s="220"/>
    </row>
    <row r="126" spans="2:2" x14ac:dyDescent="0.3">
      <c r="B126" s="220"/>
    </row>
    <row r="127" spans="2:2" x14ac:dyDescent="0.3">
      <c r="B127" s="220"/>
    </row>
    <row r="128" spans="2:2" x14ac:dyDescent="0.3">
      <c r="B128" s="220"/>
    </row>
    <row r="129" spans="2:2" x14ac:dyDescent="0.3">
      <c r="B129" s="220"/>
    </row>
    <row r="130" spans="2:2" x14ac:dyDescent="0.3">
      <c r="B130" s="220"/>
    </row>
    <row r="131" spans="2:2" x14ac:dyDescent="0.3">
      <c r="B131" s="220"/>
    </row>
    <row r="132" spans="2:2" x14ac:dyDescent="0.3">
      <c r="B132" s="220"/>
    </row>
    <row r="133" spans="2:2" x14ac:dyDescent="0.3">
      <c r="B133" s="220"/>
    </row>
    <row r="134" spans="2:2" x14ac:dyDescent="0.3">
      <c r="B134" s="220"/>
    </row>
    <row r="135" spans="2:2" x14ac:dyDescent="0.3">
      <c r="B135" s="220"/>
    </row>
    <row r="136" spans="2:2" x14ac:dyDescent="0.3">
      <c r="B136" s="220"/>
    </row>
    <row r="137" spans="2:2" x14ac:dyDescent="0.3">
      <c r="B137" s="220"/>
    </row>
    <row r="138" spans="2:2" x14ac:dyDescent="0.3">
      <c r="B138" s="220"/>
    </row>
    <row r="139" spans="2:2" x14ac:dyDescent="0.3">
      <c r="B139" s="220"/>
    </row>
    <row r="140" spans="2:2" x14ac:dyDescent="0.3">
      <c r="B140" s="220"/>
    </row>
    <row r="141" spans="2:2" x14ac:dyDescent="0.3">
      <c r="B141" s="220"/>
    </row>
    <row r="142" spans="2:2" x14ac:dyDescent="0.3">
      <c r="B142" s="220"/>
    </row>
    <row r="143" spans="2:2" x14ac:dyDescent="0.3">
      <c r="B143" s="220"/>
    </row>
    <row r="144" spans="2:2" x14ac:dyDescent="0.3">
      <c r="B144" s="220"/>
    </row>
    <row r="145" spans="2:3" x14ac:dyDescent="0.3">
      <c r="B145" s="220"/>
    </row>
    <row r="146" spans="2:3" x14ac:dyDescent="0.3">
      <c r="B146" s="220"/>
    </row>
    <row r="147" spans="2:3" x14ac:dyDescent="0.3">
      <c r="B147" s="220"/>
    </row>
    <row r="148" spans="2:3" x14ac:dyDescent="0.3">
      <c r="B148" s="220"/>
    </row>
    <row r="149" spans="2:3" x14ac:dyDescent="0.3">
      <c r="B149" s="220"/>
    </row>
    <row r="150" spans="2:3" x14ac:dyDescent="0.3">
      <c r="B150" s="220"/>
    </row>
    <row r="151" spans="2:3" x14ac:dyDescent="0.3">
      <c r="B151" s="220"/>
    </row>
    <row r="152" spans="2:3" x14ac:dyDescent="0.3">
      <c r="B152" s="220"/>
    </row>
    <row r="153" spans="2:3" x14ac:dyDescent="0.3">
      <c r="B153" s="220"/>
    </row>
    <row r="154" spans="2:3" x14ac:dyDescent="0.3">
      <c r="B154" s="220"/>
    </row>
    <row r="155" spans="2:3" x14ac:dyDescent="0.3">
      <c r="B155" s="220"/>
    </row>
    <row r="156" spans="2:3" x14ac:dyDescent="0.3">
      <c r="B156" s="220"/>
    </row>
    <row r="157" spans="2:3" x14ac:dyDescent="0.3">
      <c r="B157" s="220"/>
    </row>
    <row r="158" spans="2:3" x14ac:dyDescent="0.3">
      <c r="B158" s="220"/>
    </row>
    <row r="159" spans="2:3" x14ac:dyDescent="0.3">
      <c r="B159" s="220"/>
    </row>
    <row r="160" spans="2:3" ht="15" thickBot="1" x14ac:dyDescent="0.35">
      <c r="B160" s="221"/>
      <c r="C160" s="13"/>
    </row>
    <row r="161" spans="2:3" x14ac:dyDescent="0.3">
      <c r="B161" s="219" t="s">
        <v>18</v>
      </c>
      <c r="C161" s="6"/>
    </row>
    <row r="162" spans="2:3" x14ac:dyDescent="0.3">
      <c r="B162" s="220"/>
    </row>
    <row r="163" spans="2:3" ht="15" customHeight="1" x14ac:dyDescent="0.3">
      <c r="B163" s="220"/>
    </row>
    <row r="164" spans="2:3" x14ac:dyDescent="0.3">
      <c r="B164" s="220"/>
    </row>
    <row r="165" spans="2:3" x14ac:dyDescent="0.3">
      <c r="B165" s="220"/>
    </row>
    <row r="166" spans="2:3" x14ac:dyDescent="0.3">
      <c r="B166" s="220"/>
    </row>
    <row r="167" spans="2:3" x14ac:dyDescent="0.3">
      <c r="B167" s="220"/>
    </row>
    <row r="168" spans="2:3" x14ac:dyDescent="0.3">
      <c r="B168" s="220"/>
    </row>
    <row r="169" spans="2:3" x14ac:dyDescent="0.3">
      <c r="B169" s="220"/>
    </row>
    <row r="170" spans="2:3" x14ac:dyDescent="0.3">
      <c r="B170" s="220"/>
    </row>
    <row r="171" spans="2:3" x14ac:dyDescent="0.3">
      <c r="B171" s="220"/>
    </row>
    <row r="172" spans="2:3" x14ac:dyDescent="0.3">
      <c r="B172" s="220"/>
    </row>
    <row r="173" spans="2:3" x14ac:dyDescent="0.3">
      <c r="B173" s="220"/>
    </row>
    <row r="174" spans="2:3" x14ac:dyDescent="0.3">
      <c r="B174" s="220"/>
    </row>
    <row r="175" spans="2:3" x14ac:dyDescent="0.3">
      <c r="B175" s="220"/>
    </row>
    <row r="176" spans="2:3" ht="14.25" customHeight="1" x14ac:dyDescent="0.3">
      <c r="B176" s="220"/>
    </row>
    <row r="177" spans="2:2" x14ac:dyDescent="0.3">
      <c r="B177" s="220"/>
    </row>
    <row r="178" spans="2:2" ht="14.25" customHeight="1" x14ac:dyDescent="0.3">
      <c r="B178" s="220"/>
    </row>
    <row r="179" spans="2:2" x14ac:dyDescent="0.3">
      <c r="B179" s="220"/>
    </row>
    <row r="180" spans="2:2" x14ac:dyDescent="0.3">
      <c r="B180" s="220"/>
    </row>
    <row r="181" spans="2:2" x14ac:dyDescent="0.3">
      <c r="B181" s="220"/>
    </row>
    <row r="182" spans="2:2" x14ac:dyDescent="0.3">
      <c r="B182" s="220"/>
    </row>
    <row r="183" spans="2:2" x14ac:dyDescent="0.3">
      <c r="B183" s="220"/>
    </row>
    <row r="184" spans="2:2" x14ac:dyDescent="0.3">
      <c r="B184" s="220"/>
    </row>
    <row r="185" spans="2:2" x14ac:dyDescent="0.3">
      <c r="B185" s="220"/>
    </row>
    <row r="186" spans="2:2" x14ac:dyDescent="0.3">
      <c r="B186" s="220"/>
    </row>
    <row r="187" spans="2:2" x14ac:dyDescent="0.3">
      <c r="B187" s="220"/>
    </row>
    <row r="188" spans="2:2" x14ac:dyDescent="0.3">
      <c r="B188" s="220"/>
    </row>
    <row r="189" spans="2:2" x14ac:dyDescent="0.3">
      <c r="B189" s="220"/>
    </row>
    <row r="190" spans="2:2" x14ac:dyDescent="0.3">
      <c r="B190" s="220"/>
    </row>
    <row r="191" spans="2:2" x14ac:dyDescent="0.3">
      <c r="B191" s="220"/>
    </row>
    <row r="192" spans="2:2" x14ac:dyDescent="0.3">
      <c r="B192" s="220"/>
    </row>
    <row r="193" spans="2:2" x14ac:dyDescent="0.3">
      <c r="B193" s="220"/>
    </row>
    <row r="194" spans="2:2" x14ac:dyDescent="0.3">
      <c r="B194" s="220"/>
    </row>
    <row r="195" spans="2:2" x14ac:dyDescent="0.3">
      <c r="B195" s="220"/>
    </row>
    <row r="196" spans="2:2" x14ac:dyDescent="0.3">
      <c r="B196" s="220"/>
    </row>
    <row r="197" spans="2:2" x14ac:dyDescent="0.3">
      <c r="B197" s="220"/>
    </row>
    <row r="198" spans="2:2" x14ac:dyDescent="0.3">
      <c r="B198" s="220"/>
    </row>
    <row r="199" spans="2:2" x14ac:dyDescent="0.3">
      <c r="B199" s="220"/>
    </row>
    <row r="200" spans="2:2" x14ac:dyDescent="0.3">
      <c r="B200" s="220"/>
    </row>
    <row r="201" spans="2:2" x14ac:dyDescent="0.3">
      <c r="B201" s="220"/>
    </row>
    <row r="202" spans="2:2" x14ac:dyDescent="0.3">
      <c r="B202" s="220"/>
    </row>
    <row r="203" spans="2:2" x14ac:dyDescent="0.3">
      <c r="B203" s="220"/>
    </row>
    <row r="204" spans="2:2" x14ac:dyDescent="0.3">
      <c r="B204" s="220"/>
    </row>
    <row r="205" spans="2:2" x14ac:dyDescent="0.3">
      <c r="B205" s="220"/>
    </row>
    <row r="206" spans="2:2" x14ac:dyDescent="0.3">
      <c r="B206" s="220"/>
    </row>
    <row r="207" spans="2:2" x14ac:dyDescent="0.3">
      <c r="B207" s="220"/>
    </row>
    <row r="208" spans="2:2" x14ac:dyDescent="0.3">
      <c r="B208" s="220"/>
    </row>
    <row r="209" spans="2:3" x14ac:dyDescent="0.3">
      <c r="B209" s="220"/>
    </row>
    <row r="210" spans="2:3" x14ac:dyDescent="0.3">
      <c r="B210" s="220"/>
    </row>
    <row r="211" spans="2:3" x14ac:dyDescent="0.3">
      <c r="B211" s="220"/>
    </row>
    <row r="212" spans="2:3" x14ac:dyDescent="0.3">
      <c r="B212" s="220"/>
    </row>
    <row r="213" spans="2:3" ht="15" thickBot="1" x14ac:dyDescent="0.35">
      <c r="B213" s="221"/>
      <c r="C213" s="13"/>
    </row>
  </sheetData>
  <mergeCells count="10">
    <mergeCell ref="D16:D22"/>
    <mergeCell ref="L16:L22"/>
    <mergeCell ref="D4:D10"/>
    <mergeCell ref="L4:L10"/>
    <mergeCell ref="B161:B213"/>
    <mergeCell ref="D40:D46"/>
    <mergeCell ref="L40:L46"/>
    <mergeCell ref="B108:B160"/>
    <mergeCell ref="D28:D34"/>
    <mergeCell ref="L28:L3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308D-F88E-43B0-8AB8-3183D2BDB5EA}">
  <dimension ref="A1:X213"/>
  <sheetViews>
    <sheetView topLeftCell="E1" zoomScale="70" zoomScaleNormal="70" workbookViewId="0">
      <selection activeCell="T43" sqref="T43"/>
    </sheetView>
  </sheetViews>
  <sheetFormatPr defaultColWidth="9.109375" defaultRowHeight="14.4" x14ac:dyDescent="0.3"/>
  <cols>
    <col min="1" max="1" width="47.44140625" style="2" bestFit="1" customWidth="1"/>
    <col min="2" max="2" width="18.44140625" style="2" customWidth="1"/>
    <col min="3" max="3" width="9.109375" style="2"/>
    <col min="4" max="4" width="22.5546875" style="2" bestFit="1" customWidth="1"/>
    <col min="5" max="5" width="19.33203125" style="2" bestFit="1" customWidth="1"/>
    <col min="6" max="7" width="13.33203125" style="2" customWidth="1"/>
    <col min="8" max="8" width="14.33203125" style="2" customWidth="1"/>
    <col min="9" max="9" width="13.33203125" style="2" customWidth="1"/>
    <col min="10" max="10" width="10.88671875" style="2" customWidth="1"/>
    <col min="11" max="11" width="29.88671875" style="2" bestFit="1" customWidth="1"/>
    <col min="12" max="12" width="22.5546875" style="2" bestFit="1" customWidth="1"/>
    <col min="13" max="13" width="12.6640625" style="2" customWidth="1"/>
    <col min="14" max="14" width="17.109375" style="2" customWidth="1"/>
    <col min="15" max="15" width="12.5546875" style="2" customWidth="1"/>
    <col min="16" max="16" width="18" style="2" customWidth="1"/>
    <col min="17" max="17" width="13" style="2" customWidth="1"/>
    <col min="18" max="18" width="16.5546875" style="2" customWidth="1"/>
    <col min="19" max="19" width="9.88671875" style="2" customWidth="1"/>
    <col min="20" max="28" width="9.109375" style="2"/>
    <col min="29" max="29" width="14.33203125" style="2" bestFit="1" customWidth="1"/>
    <col min="30" max="16384" width="9.109375" style="2"/>
  </cols>
  <sheetData>
    <row r="1" spans="1:24" ht="26.4" thickBot="1" x14ac:dyDescent="0.55000000000000004">
      <c r="A1" s="51" t="s">
        <v>29</v>
      </c>
    </row>
    <row r="2" spans="1:24" ht="26.4" thickBot="1" x14ac:dyDescent="0.55000000000000004">
      <c r="A2" s="51" t="s">
        <v>30</v>
      </c>
      <c r="B2" s="65"/>
      <c r="C2" s="6"/>
      <c r="D2" s="7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8"/>
    </row>
    <row r="3" spans="1:24" ht="25.8" x14ac:dyDescent="0.5">
      <c r="A3" s="52">
        <v>45271</v>
      </c>
      <c r="B3" s="66"/>
      <c r="D3" s="3" t="s">
        <v>3</v>
      </c>
      <c r="E3" s="3" t="s">
        <v>4</v>
      </c>
      <c r="F3" s="27" t="s">
        <v>5</v>
      </c>
      <c r="G3" s="20" t="s">
        <v>6</v>
      </c>
      <c r="H3" s="20" t="s">
        <v>7</v>
      </c>
      <c r="I3" s="20" t="s">
        <v>8</v>
      </c>
      <c r="J3" s="20" t="s">
        <v>31</v>
      </c>
      <c r="L3" s="3" t="s">
        <v>3</v>
      </c>
      <c r="M3" s="3" t="s">
        <v>4</v>
      </c>
      <c r="N3" s="27" t="s">
        <v>5</v>
      </c>
      <c r="O3" s="20" t="s">
        <v>6</v>
      </c>
      <c r="P3" s="20" t="s">
        <v>7</v>
      </c>
      <c r="Q3" s="20" t="s">
        <v>8</v>
      </c>
      <c r="R3" s="21" t="s">
        <v>31</v>
      </c>
      <c r="T3" s="1"/>
      <c r="V3" s="1"/>
      <c r="X3" s="1"/>
    </row>
    <row r="4" spans="1:24" ht="15" customHeight="1" x14ac:dyDescent="0.3">
      <c r="B4" s="66"/>
      <c r="D4" s="214" t="s">
        <v>32</v>
      </c>
      <c r="E4" s="18">
        <v>0</v>
      </c>
      <c r="F4" s="19">
        <v>1.0772999999999999</v>
      </c>
      <c r="G4" s="4">
        <v>9400</v>
      </c>
      <c r="H4" s="4">
        <v>24000</v>
      </c>
      <c r="I4" s="4">
        <v>115000</v>
      </c>
      <c r="J4" s="4">
        <v>5100</v>
      </c>
      <c r="L4" s="214" t="s">
        <v>32</v>
      </c>
      <c r="M4" s="18">
        <v>0</v>
      </c>
      <c r="N4" s="19">
        <v>2.0655000000000001</v>
      </c>
      <c r="O4" s="4">
        <v>8400</v>
      </c>
      <c r="P4" s="4">
        <v>16750</v>
      </c>
      <c r="Q4" s="72">
        <v>92750</v>
      </c>
      <c r="R4" s="22">
        <v>4100</v>
      </c>
      <c r="T4" s="1"/>
      <c r="V4" s="1"/>
    </row>
    <row r="5" spans="1:24" x14ac:dyDescent="0.3">
      <c r="B5" s="66"/>
      <c r="D5" s="214"/>
      <c r="E5" s="18">
        <v>1</v>
      </c>
      <c r="F5" s="19">
        <v>0.61560000000000004</v>
      </c>
      <c r="G5" s="4">
        <v>5200</v>
      </c>
      <c r="H5" s="4">
        <v>12000</v>
      </c>
      <c r="I5" s="4">
        <v>130000</v>
      </c>
      <c r="J5" s="4">
        <v>3700</v>
      </c>
      <c r="L5" s="214"/>
      <c r="M5" s="18">
        <v>1</v>
      </c>
      <c r="N5" s="19">
        <v>1.5389999999999999</v>
      </c>
      <c r="O5" s="4">
        <v>850</v>
      </c>
      <c r="P5" s="4">
        <v>3300</v>
      </c>
      <c r="Q5" s="4">
        <v>292000</v>
      </c>
      <c r="R5" s="22">
        <v>3600</v>
      </c>
    </row>
    <row r="6" spans="1:24" ht="25.8" x14ac:dyDescent="0.5">
      <c r="A6" s="51" t="s">
        <v>33</v>
      </c>
      <c r="B6" s="50" t="s">
        <v>12</v>
      </c>
      <c r="D6" s="214"/>
      <c r="E6" s="18">
        <v>3</v>
      </c>
      <c r="F6" s="19">
        <v>0.56700000000000006</v>
      </c>
      <c r="G6" s="4">
        <v>1350</v>
      </c>
      <c r="H6" s="4">
        <v>2800</v>
      </c>
      <c r="I6" s="4">
        <v>50000</v>
      </c>
      <c r="J6" s="4">
        <v>2850</v>
      </c>
      <c r="L6" s="214"/>
      <c r="M6" s="18">
        <v>3</v>
      </c>
      <c r="N6" s="19">
        <v>1.4094000000000002</v>
      </c>
      <c r="O6" s="4">
        <v>28.000000000000004</v>
      </c>
      <c r="P6" s="4">
        <v>52</v>
      </c>
      <c r="Q6" s="4">
        <v>880.00000000000011</v>
      </c>
      <c r="R6" s="22">
        <v>616</v>
      </c>
    </row>
    <row r="7" spans="1:24" x14ac:dyDescent="0.3">
      <c r="B7" s="66"/>
      <c r="D7" s="214"/>
      <c r="E7" s="18">
        <v>5</v>
      </c>
      <c r="F7" s="19">
        <v>0.52245000000000008</v>
      </c>
      <c r="G7" s="4">
        <v>100</v>
      </c>
      <c r="H7" s="4">
        <v>610</v>
      </c>
      <c r="I7" s="72">
        <v>17250</v>
      </c>
      <c r="J7" s="4">
        <v>1845</v>
      </c>
      <c r="L7" s="214"/>
      <c r="M7" s="18">
        <v>5</v>
      </c>
      <c r="N7" s="19">
        <v>1.3648500000000001</v>
      </c>
      <c r="O7" s="4">
        <v>44</v>
      </c>
      <c r="P7" s="4">
        <v>88</v>
      </c>
      <c r="Q7" s="4">
        <v>480.00000000000006</v>
      </c>
      <c r="R7" s="22">
        <v>172</v>
      </c>
    </row>
    <row r="8" spans="1:24" x14ac:dyDescent="0.3">
      <c r="B8" s="66"/>
      <c r="D8" s="214"/>
      <c r="E8" s="18">
        <v>10</v>
      </c>
      <c r="F8" s="19">
        <v>0.44550000000000006</v>
      </c>
      <c r="G8" s="4">
        <v>32</v>
      </c>
      <c r="H8" s="4">
        <v>70</v>
      </c>
      <c r="I8" s="4">
        <v>1233.3333333333333</v>
      </c>
      <c r="J8" s="4">
        <v>970.00000000000011</v>
      </c>
      <c r="L8" s="214"/>
      <c r="M8" s="18">
        <v>10</v>
      </c>
      <c r="N8" s="19">
        <v>1.2069000000000001</v>
      </c>
      <c r="O8" s="4">
        <v>6</v>
      </c>
      <c r="P8" s="4">
        <v>30</v>
      </c>
      <c r="Q8" s="4">
        <v>310</v>
      </c>
      <c r="R8" s="22">
        <v>35</v>
      </c>
    </row>
    <row r="9" spans="1:24" x14ac:dyDescent="0.3">
      <c r="B9" s="66"/>
      <c r="D9" s="214"/>
      <c r="E9" s="18">
        <v>30</v>
      </c>
      <c r="F9" s="19">
        <v>0.21870000000000003</v>
      </c>
      <c r="G9" s="4">
        <v>16</v>
      </c>
      <c r="H9" s="4">
        <v>210</v>
      </c>
      <c r="I9" s="4">
        <v>266.66666666666663</v>
      </c>
      <c r="J9" s="4">
        <v>76</v>
      </c>
      <c r="L9" s="214"/>
      <c r="M9" s="18">
        <v>30</v>
      </c>
      <c r="N9" s="19">
        <v>0.76139999999999997</v>
      </c>
      <c r="O9" s="4">
        <v>10</v>
      </c>
      <c r="P9" s="4">
        <v>21</v>
      </c>
      <c r="Q9" s="4">
        <v>125</v>
      </c>
      <c r="R9" s="22">
        <v>13</v>
      </c>
    </row>
    <row r="10" spans="1:24" x14ac:dyDescent="0.3">
      <c r="B10" s="66"/>
      <c r="D10" s="214"/>
      <c r="E10" s="5"/>
      <c r="F10" s="5"/>
      <c r="G10" s="4"/>
      <c r="H10" s="4"/>
      <c r="I10" s="4"/>
      <c r="J10" s="4"/>
      <c r="L10" s="214"/>
      <c r="M10" s="5"/>
      <c r="N10" s="5"/>
      <c r="O10" s="4"/>
      <c r="P10" s="4"/>
      <c r="Q10" s="4"/>
      <c r="R10" s="22"/>
    </row>
    <row r="11" spans="1:24" x14ac:dyDescent="0.3">
      <c r="B11" s="66"/>
      <c r="D11" s="12"/>
      <c r="E11" s="11"/>
      <c r="F11" s="11"/>
      <c r="G11" s="11"/>
      <c r="H11" s="11"/>
      <c r="I11" s="11"/>
      <c r="J11" s="11"/>
      <c r="M11" s="10"/>
      <c r="N11" s="17"/>
      <c r="R11" s="9"/>
    </row>
    <row r="12" spans="1:24" x14ac:dyDescent="0.3">
      <c r="B12" s="66"/>
      <c r="D12" s="12"/>
      <c r="E12" s="11"/>
      <c r="F12" s="11"/>
      <c r="G12" s="11"/>
      <c r="H12" s="11"/>
      <c r="I12" s="11"/>
      <c r="J12" s="11"/>
      <c r="M12" s="10"/>
      <c r="N12" s="17"/>
      <c r="R12" s="9"/>
    </row>
    <row r="13" spans="1:24" ht="15" thickBot="1" x14ac:dyDescent="0.35">
      <c r="B13" s="67"/>
      <c r="C13" s="13"/>
      <c r="D13" s="14"/>
      <c r="E13" s="15"/>
      <c r="F13" s="15"/>
      <c r="G13" s="15"/>
      <c r="H13" s="15"/>
      <c r="I13" s="15"/>
      <c r="J13" s="15"/>
      <c r="K13" s="13"/>
      <c r="L13" s="13"/>
      <c r="M13" s="15"/>
      <c r="N13" s="15"/>
      <c r="O13" s="13"/>
      <c r="P13" s="13"/>
      <c r="Q13" s="13"/>
      <c r="R13" s="16"/>
    </row>
    <row r="14" spans="1:24" ht="15" thickBot="1" x14ac:dyDescent="0.35">
      <c r="B14" s="65"/>
      <c r="C14" s="6"/>
      <c r="D14" s="7"/>
      <c r="E14" s="6"/>
      <c r="F14" s="6"/>
      <c r="G14" s="6"/>
      <c r="H14" s="6"/>
      <c r="I14" s="6"/>
      <c r="J14" s="6"/>
      <c r="K14" s="6"/>
      <c r="L14" s="7"/>
      <c r="M14" s="6"/>
      <c r="N14" s="6"/>
      <c r="O14" s="6"/>
      <c r="P14" s="6"/>
      <c r="Q14" s="6"/>
      <c r="R14" s="8"/>
    </row>
    <row r="15" spans="1:24" x14ac:dyDescent="0.3">
      <c r="B15" s="66"/>
      <c r="D15" s="3" t="s">
        <v>3</v>
      </c>
      <c r="E15" s="3" t="s">
        <v>4</v>
      </c>
      <c r="F15" s="27" t="s">
        <v>5</v>
      </c>
      <c r="G15" s="20" t="s">
        <v>6</v>
      </c>
      <c r="H15" s="20" t="s">
        <v>7</v>
      </c>
      <c r="I15" s="20" t="s">
        <v>8</v>
      </c>
      <c r="J15" s="20" t="s">
        <v>31</v>
      </c>
      <c r="L15" s="3" t="s">
        <v>3</v>
      </c>
      <c r="M15" s="3" t="s">
        <v>4</v>
      </c>
      <c r="N15" s="27" t="s">
        <v>5</v>
      </c>
      <c r="O15" s="20" t="s">
        <v>6</v>
      </c>
      <c r="P15" s="20" t="s">
        <v>7</v>
      </c>
      <c r="Q15" s="20" t="s">
        <v>8</v>
      </c>
      <c r="R15" s="21" t="s">
        <v>31</v>
      </c>
    </row>
    <row r="16" spans="1:24" x14ac:dyDescent="0.3">
      <c r="B16" s="66"/>
      <c r="D16" s="214" t="s">
        <v>32</v>
      </c>
      <c r="E16" s="18">
        <v>0</v>
      </c>
      <c r="F16" s="19">
        <v>1.94</v>
      </c>
      <c r="G16" s="4">
        <v>9200</v>
      </c>
      <c r="H16" s="4">
        <v>25500</v>
      </c>
      <c r="I16" s="72">
        <v>227500</v>
      </c>
      <c r="J16" s="4">
        <v>3525</v>
      </c>
      <c r="L16" s="214" t="s">
        <v>32</v>
      </c>
      <c r="M16" s="18">
        <v>0</v>
      </c>
      <c r="N16" s="19">
        <v>3.93</v>
      </c>
      <c r="O16" s="4">
        <v>8600</v>
      </c>
      <c r="P16" s="4">
        <v>33000</v>
      </c>
      <c r="Q16" s="4">
        <v>125000</v>
      </c>
      <c r="R16" s="22">
        <v>4450</v>
      </c>
    </row>
    <row r="17" spans="2:19" ht="15" customHeight="1" x14ac:dyDescent="0.3">
      <c r="B17" s="66"/>
      <c r="D17" s="214"/>
      <c r="E17" s="18">
        <v>1</v>
      </c>
      <c r="F17" s="19">
        <v>1.5350000000000001</v>
      </c>
      <c r="G17" s="4">
        <v>8400</v>
      </c>
      <c r="H17" s="4">
        <v>24000</v>
      </c>
      <c r="I17" s="4">
        <v>155000</v>
      </c>
      <c r="J17" s="4">
        <v>4350</v>
      </c>
      <c r="L17" s="214"/>
      <c r="M17" s="18">
        <v>1</v>
      </c>
      <c r="N17" s="19">
        <v>3.2850000000000001</v>
      </c>
      <c r="O17" s="4">
        <v>6600</v>
      </c>
      <c r="P17" s="4">
        <v>16000</v>
      </c>
      <c r="Q17" s="4">
        <v>125000</v>
      </c>
      <c r="R17" s="22">
        <v>4650</v>
      </c>
    </row>
    <row r="18" spans="2:19" ht="25.8" x14ac:dyDescent="0.3">
      <c r="B18" s="50" t="s">
        <v>13</v>
      </c>
      <c r="D18" s="214"/>
      <c r="E18" s="18">
        <v>3</v>
      </c>
      <c r="F18" s="19">
        <v>1.4</v>
      </c>
      <c r="G18" s="4">
        <v>9400</v>
      </c>
      <c r="H18" s="4">
        <v>17500</v>
      </c>
      <c r="I18" s="4">
        <v>240000</v>
      </c>
      <c r="J18" s="4">
        <v>4150</v>
      </c>
      <c r="L18" s="214"/>
      <c r="M18" s="18">
        <v>3</v>
      </c>
      <c r="N18" s="19">
        <v>3.1950000000000003</v>
      </c>
      <c r="O18" s="4">
        <v>2700</v>
      </c>
      <c r="P18" s="4">
        <v>10000</v>
      </c>
      <c r="Q18" s="4">
        <v>102000</v>
      </c>
      <c r="R18" s="22">
        <v>3850</v>
      </c>
    </row>
    <row r="19" spans="2:19" ht="14.25" customHeight="1" x14ac:dyDescent="0.3">
      <c r="B19" s="66"/>
      <c r="D19" s="214"/>
      <c r="E19" s="18">
        <v>5</v>
      </c>
      <c r="F19" s="19">
        <v>1.34</v>
      </c>
      <c r="G19" s="4">
        <v>4800</v>
      </c>
      <c r="H19" s="4">
        <v>22500</v>
      </c>
      <c r="I19" s="4">
        <v>100000</v>
      </c>
      <c r="J19" s="4">
        <v>4950</v>
      </c>
      <c r="L19" s="214"/>
      <c r="M19" s="18">
        <v>5</v>
      </c>
      <c r="N19" s="19">
        <v>3.1</v>
      </c>
      <c r="O19" s="4">
        <v>480</v>
      </c>
      <c r="P19" s="4">
        <v>3125</v>
      </c>
      <c r="Q19" s="72">
        <v>37000</v>
      </c>
      <c r="R19" s="22">
        <v>2710</v>
      </c>
    </row>
    <row r="20" spans="2:19" x14ac:dyDescent="0.3">
      <c r="B20" s="66"/>
      <c r="D20" s="214"/>
      <c r="E20" s="18">
        <v>10</v>
      </c>
      <c r="F20" s="19">
        <v>1.3</v>
      </c>
      <c r="G20" s="4">
        <v>1200</v>
      </c>
      <c r="H20" s="4">
        <v>9200</v>
      </c>
      <c r="I20" s="4">
        <v>96000</v>
      </c>
      <c r="J20" s="4">
        <v>3200</v>
      </c>
      <c r="L20" s="214"/>
      <c r="M20" s="18">
        <v>10</v>
      </c>
      <c r="N20" s="19">
        <v>3.0350000000000001</v>
      </c>
      <c r="O20" s="4">
        <v>72</v>
      </c>
      <c r="P20" s="4">
        <v>640</v>
      </c>
      <c r="Q20" s="4">
        <v>6500</v>
      </c>
      <c r="R20" s="22">
        <v>1340</v>
      </c>
    </row>
    <row r="21" spans="2:19" x14ac:dyDescent="0.3">
      <c r="B21" s="66"/>
      <c r="D21" s="214"/>
      <c r="E21" s="18">
        <v>30</v>
      </c>
      <c r="F21" s="18">
        <v>1.0900000000000001</v>
      </c>
      <c r="G21" s="4">
        <v>51</v>
      </c>
      <c r="H21" s="4">
        <v>680.00000000000011</v>
      </c>
      <c r="I21" s="4">
        <v>5800</v>
      </c>
      <c r="J21" s="4">
        <v>980.00000000000011</v>
      </c>
      <c r="L21" s="214"/>
      <c r="M21" s="18">
        <v>30</v>
      </c>
      <c r="N21" s="19">
        <v>2.7350000000000003</v>
      </c>
      <c r="O21" s="4">
        <v>44</v>
      </c>
      <c r="P21" s="4">
        <v>140</v>
      </c>
      <c r="Q21" s="4">
        <v>900</v>
      </c>
      <c r="R21" s="22">
        <v>191</v>
      </c>
    </row>
    <row r="22" spans="2:19" x14ac:dyDescent="0.3">
      <c r="B22" s="66"/>
      <c r="D22" s="214"/>
      <c r="E22" s="5"/>
      <c r="F22" s="5"/>
      <c r="G22" s="4"/>
      <c r="H22" s="4"/>
      <c r="I22" s="4"/>
      <c r="J22" s="4"/>
      <c r="L22" s="214"/>
      <c r="M22" s="5"/>
      <c r="N22" s="5"/>
      <c r="O22" s="4"/>
      <c r="P22" s="4"/>
      <c r="Q22" s="4"/>
      <c r="R22" s="22"/>
    </row>
    <row r="23" spans="2:19" x14ac:dyDescent="0.3">
      <c r="B23" s="66"/>
      <c r="D23" s="12"/>
      <c r="E23" s="11"/>
      <c r="F23" s="11"/>
      <c r="G23" s="11"/>
      <c r="H23" s="11"/>
      <c r="I23" s="11"/>
      <c r="J23" s="11"/>
      <c r="M23" s="10"/>
      <c r="N23" s="17"/>
      <c r="R23" s="9"/>
    </row>
    <row r="24" spans="2:19" x14ac:dyDescent="0.3">
      <c r="B24" s="66"/>
      <c r="D24" s="12"/>
      <c r="E24" s="11"/>
      <c r="F24" s="11"/>
      <c r="G24" s="11"/>
      <c r="H24" s="11"/>
      <c r="I24" s="11"/>
      <c r="J24" s="11"/>
      <c r="M24" s="10"/>
      <c r="N24" s="17"/>
      <c r="R24" s="9"/>
    </row>
    <row r="25" spans="2:19" ht="15" thickBot="1" x14ac:dyDescent="0.35">
      <c r="B25" s="67"/>
      <c r="C25" s="13"/>
      <c r="D25" s="14"/>
      <c r="E25" s="15"/>
      <c r="F25" s="15"/>
      <c r="G25" s="15"/>
      <c r="H25" s="15"/>
      <c r="I25" s="15"/>
      <c r="J25" s="15"/>
      <c r="K25" s="13"/>
      <c r="L25" s="13"/>
      <c r="M25" s="15"/>
      <c r="N25" s="15"/>
      <c r="O25" s="13"/>
      <c r="P25" s="13"/>
      <c r="Q25" s="13"/>
      <c r="R25" s="16"/>
    </row>
    <row r="26" spans="2:19" ht="15" thickBot="1" x14ac:dyDescent="0.35">
      <c r="B26" s="65"/>
      <c r="C26" s="6"/>
      <c r="D26" s="7"/>
      <c r="E26" s="6"/>
      <c r="F26" s="6"/>
      <c r="G26" s="6"/>
      <c r="H26" s="6"/>
      <c r="I26" s="6"/>
      <c r="J26" s="6"/>
      <c r="K26" s="6"/>
      <c r="L26" s="7"/>
      <c r="M26" s="6"/>
      <c r="N26" s="6"/>
      <c r="O26" s="6"/>
      <c r="P26" s="6"/>
      <c r="Q26" s="6"/>
      <c r="R26" s="8"/>
    </row>
    <row r="27" spans="2:19" x14ac:dyDescent="0.3">
      <c r="B27" s="66"/>
      <c r="D27" s="3" t="s">
        <v>3</v>
      </c>
      <c r="E27" s="3" t="s">
        <v>4</v>
      </c>
      <c r="F27" s="27" t="s">
        <v>5</v>
      </c>
      <c r="G27" s="20" t="s">
        <v>6</v>
      </c>
      <c r="H27" s="20" t="s">
        <v>7</v>
      </c>
      <c r="I27" s="20" t="s">
        <v>8</v>
      </c>
      <c r="J27" s="20" t="s">
        <v>31</v>
      </c>
      <c r="K27" s="74" t="s">
        <v>14</v>
      </c>
      <c r="L27" s="3" t="s">
        <v>3</v>
      </c>
      <c r="M27" s="3" t="s">
        <v>4</v>
      </c>
      <c r="N27" s="27" t="s">
        <v>5</v>
      </c>
      <c r="O27" s="20" t="s">
        <v>6</v>
      </c>
      <c r="P27" s="20" t="s">
        <v>7</v>
      </c>
      <c r="Q27" s="20" t="s">
        <v>8</v>
      </c>
      <c r="R27" s="21" t="s">
        <v>31</v>
      </c>
      <c r="S27" s="74" t="s">
        <v>14</v>
      </c>
    </row>
    <row r="28" spans="2:19" x14ac:dyDescent="0.3">
      <c r="B28" s="66"/>
      <c r="D28" s="214" t="s">
        <v>32</v>
      </c>
      <c r="E28" s="18">
        <v>0</v>
      </c>
      <c r="F28" s="19">
        <v>1.97</v>
      </c>
      <c r="G28" s="4">
        <v>7100</v>
      </c>
      <c r="H28" s="4">
        <v>20250</v>
      </c>
      <c r="I28" s="72">
        <v>100000</v>
      </c>
      <c r="J28" s="4">
        <v>4450</v>
      </c>
      <c r="K28" s="112"/>
      <c r="L28" s="214" t="s">
        <v>32</v>
      </c>
      <c r="M28" s="18">
        <v>0</v>
      </c>
      <c r="N28" s="19">
        <v>4.0199999999999996</v>
      </c>
      <c r="O28" s="4">
        <v>9400</v>
      </c>
      <c r="P28" s="4">
        <v>28500</v>
      </c>
      <c r="Q28" s="4">
        <v>130000</v>
      </c>
      <c r="R28" s="22">
        <v>5300</v>
      </c>
      <c r="S28" s="112"/>
    </row>
    <row r="29" spans="2:19" x14ac:dyDescent="0.3">
      <c r="B29" s="66"/>
      <c r="D29" s="214"/>
      <c r="E29" s="18">
        <v>1</v>
      </c>
      <c r="F29" s="19">
        <v>0.84</v>
      </c>
      <c r="G29" s="4">
        <v>6200</v>
      </c>
      <c r="H29" s="4">
        <v>11000</v>
      </c>
      <c r="I29" s="4">
        <v>95000</v>
      </c>
      <c r="J29" s="4">
        <v>3400</v>
      </c>
      <c r="K29" s="112"/>
      <c r="L29" s="214"/>
      <c r="M29" s="18">
        <v>1</v>
      </c>
      <c r="N29" s="19">
        <v>1.56</v>
      </c>
      <c r="O29" s="4">
        <v>550</v>
      </c>
      <c r="P29" s="4">
        <v>2600</v>
      </c>
      <c r="Q29" s="4">
        <v>18000</v>
      </c>
      <c r="R29" s="22">
        <v>800</v>
      </c>
      <c r="S29" s="112"/>
    </row>
    <row r="30" spans="2:19" ht="51.6" x14ac:dyDescent="0.3">
      <c r="B30" s="50" t="s">
        <v>15</v>
      </c>
      <c r="D30" s="214"/>
      <c r="E30" s="18">
        <v>3</v>
      </c>
      <c r="F30" s="19">
        <v>0.81</v>
      </c>
      <c r="G30" s="4">
        <v>3000</v>
      </c>
      <c r="H30" s="4">
        <v>12000</v>
      </c>
      <c r="I30" s="4">
        <v>125000</v>
      </c>
      <c r="J30" s="4">
        <v>1600</v>
      </c>
      <c r="K30" s="112"/>
      <c r="L30" s="214"/>
      <c r="M30" s="18">
        <v>3</v>
      </c>
      <c r="N30" s="19">
        <v>1.56</v>
      </c>
      <c r="O30" s="4">
        <v>180</v>
      </c>
      <c r="P30" s="4">
        <v>1660.0000000000002</v>
      </c>
      <c r="Q30" s="4">
        <v>26000</v>
      </c>
      <c r="R30" s="22">
        <v>1500</v>
      </c>
      <c r="S30" s="112"/>
    </row>
    <row r="31" spans="2:19" x14ac:dyDescent="0.3">
      <c r="B31" s="66"/>
      <c r="D31" s="214"/>
      <c r="E31" s="18">
        <v>5</v>
      </c>
      <c r="F31" s="19">
        <v>0.78</v>
      </c>
      <c r="G31" s="4">
        <v>3900</v>
      </c>
      <c r="H31" s="4">
        <v>6600</v>
      </c>
      <c r="I31" s="4">
        <v>90000</v>
      </c>
      <c r="J31" s="4">
        <v>2300</v>
      </c>
      <c r="K31" s="112"/>
      <c r="L31" s="214"/>
      <c r="M31" s="18">
        <v>5</v>
      </c>
      <c r="N31" s="19">
        <v>1.56</v>
      </c>
      <c r="O31" s="4">
        <v>130</v>
      </c>
      <c r="P31" s="4">
        <v>510.00000000000011</v>
      </c>
      <c r="Q31" s="72">
        <v>10600</v>
      </c>
      <c r="R31" s="22">
        <v>855</v>
      </c>
      <c r="S31" s="112"/>
    </row>
    <row r="32" spans="2:19" x14ac:dyDescent="0.3">
      <c r="B32" s="66"/>
      <c r="D32" s="214"/>
      <c r="E32" s="18">
        <v>10</v>
      </c>
      <c r="F32" s="19">
        <v>0.78</v>
      </c>
      <c r="G32" s="4">
        <v>1780</v>
      </c>
      <c r="H32" s="4">
        <v>6900</v>
      </c>
      <c r="I32" s="4">
        <v>88000</v>
      </c>
      <c r="J32" s="4">
        <v>1760.0000000000002</v>
      </c>
      <c r="K32" s="113">
        <v>0.75</v>
      </c>
      <c r="L32" s="214"/>
      <c r="M32" s="18">
        <v>10</v>
      </c>
      <c r="N32" s="19">
        <v>1.54</v>
      </c>
      <c r="O32" s="4">
        <v>56.000000000000007</v>
      </c>
      <c r="P32" s="4">
        <v>224.00000000000003</v>
      </c>
      <c r="Q32" s="4">
        <v>6600</v>
      </c>
      <c r="R32" s="22">
        <v>528</v>
      </c>
      <c r="S32" s="113">
        <v>1.27</v>
      </c>
    </row>
    <row r="33" spans="2:19" ht="15" thickBot="1" x14ac:dyDescent="0.35">
      <c r="B33" s="66"/>
      <c r="D33" s="214"/>
      <c r="E33" s="18">
        <v>30</v>
      </c>
      <c r="F33" s="18">
        <v>0.72</v>
      </c>
      <c r="G33" s="4">
        <v>260</v>
      </c>
      <c r="H33" s="4">
        <v>1633.3333333333333</v>
      </c>
      <c r="I33" s="4">
        <v>32500</v>
      </c>
      <c r="J33" s="4">
        <v>980.00000000000011</v>
      </c>
      <c r="K33" s="113">
        <v>0.71</v>
      </c>
      <c r="L33" s="214"/>
      <c r="M33" s="18">
        <v>30</v>
      </c>
      <c r="N33" s="18">
        <v>1.41</v>
      </c>
      <c r="O33" s="4">
        <v>2</v>
      </c>
      <c r="P33" s="4">
        <v>56.000000000000007</v>
      </c>
      <c r="Q33" s="4">
        <v>1066.6666666666665</v>
      </c>
      <c r="R33" s="22">
        <v>79</v>
      </c>
      <c r="S33" s="114">
        <v>1.17</v>
      </c>
    </row>
    <row r="34" spans="2:19" x14ac:dyDescent="0.3">
      <c r="B34" s="66"/>
      <c r="D34" s="214"/>
      <c r="E34" s="5"/>
      <c r="F34" s="5"/>
      <c r="G34" s="4"/>
      <c r="H34" s="4"/>
      <c r="I34" s="4"/>
      <c r="J34" s="4"/>
      <c r="K34" s="112"/>
      <c r="L34" s="214"/>
      <c r="M34" s="5"/>
      <c r="N34" s="5"/>
      <c r="O34" s="4"/>
      <c r="P34" s="4"/>
      <c r="Q34" s="4"/>
      <c r="R34" s="22"/>
      <c r="S34" s="112"/>
    </row>
    <row r="35" spans="2:19" x14ac:dyDescent="0.3">
      <c r="B35" s="66"/>
      <c r="D35" s="12"/>
      <c r="E35" s="11"/>
      <c r="F35" s="11"/>
      <c r="G35" s="11"/>
      <c r="H35" s="11"/>
      <c r="I35" s="11"/>
      <c r="J35" s="11"/>
      <c r="M35" s="10"/>
      <c r="N35" s="17"/>
      <c r="R35" s="9"/>
    </row>
    <row r="36" spans="2:19" ht="15" customHeight="1" x14ac:dyDescent="0.3">
      <c r="B36" s="66"/>
      <c r="D36" s="12"/>
      <c r="E36" s="11"/>
      <c r="F36" s="11"/>
      <c r="G36" s="11"/>
      <c r="H36" s="11"/>
      <c r="I36" s="11"/>
      <c r="J36" s="11"/>
      <c r="M36" s="10"/>
      <c r="N36" s="17"/>
      <c r="R36" s="9"/>
    </row>
    <row r="37" spans="2:19" ht="15" thickBot="1" x14ac:dyDescent="0.35">
      <c r="B37" s="67"/>
      <c r="C37" s="13"/>
      <c r="D37" s="14"/>
      <c r="E37" s="15"/>
      <c r="F37" s="15"/>
      <c r="G37" s="15"/>
      <c r="H37" s="15"/>
      <c r="I37" s="15"/>
      <c r="J37" s="15"/>
      <c r="K37" s="13"/>
      <c r="L37" s="13"/>
      <c r="M37" s="15"/>
      <c r="N37" s="15"/>
      <c r="O37" s="13"/>
      <c r="P37" s="13"/>
      <c r="Q37" s="13"/>
      <c r="R37" s="16"/>
    </row>
    <row r="38" spans="2:19" ht="15" thickBot="1" x14ac:dyDescent="0.35">
      <c r="B38" s="65"/>
      <c r="C38" s="6"/>
      <c r="D38" s="7"/>
      <c r="E38" s="6"/>
      <c r="F38" s="6"/>
      <c r="G38" s="6"/>
      <c r="H38" s="6"/>
      <c r="I38" s="6"/>
      <c r="J38" s="6"/>
      <c r="K38" s="6"/>
      <c r="L38" s="7"/>
      <c r="M38" s="6"/>
      <c r="N38" s="6"/>
      <c r="O38" s="6"/>
      <c r="P38" s="6"/>
      <c r="Q38" s="6"/>
      <c r="R38" s="8"/>
    </row>
    <row r="39" spans="2:19" ht="15" customHeight="1" x14ac:dyDescent="0.3">
      <c r="B39" s="66"/>
      <c r="D39" s="3" t="s">
        <v>3</v>
      </c>
      <c r="E39" s="3" t="s">
        <v>4</v>
      </c>
      <c r="F39" s="27" t="s">
        <v>5</v>
      </c>
      <c r="G39" s="20" t="s">
        <v>6</v>
      </c>
      <c r="H39" s="20" t="s">
        <v>7</v>
      </c>
      <c r="I39" s="20" t="s">
        <v>8</v>
      </c>
      <c r="J39" s="20" t="s">
        <v>31</v>
      </c>
      <c r="L39" s="3" t="s">
        <v>3</v>
      </c>
      <c r="M39" s="3" t="s">
        <v>4</v>
      </c>
      <c r="N39" s="27" t="s">
        <v>5</v>
      </c>
      <c r="O39" s="20" t="s">
        <v>6</v>
      </c>
      <c r="P39" s="20" t="s">
        <v>7</v>
      </c>
      <c r="Q39" s="20" t="s">
        <v>8</v>
      </c>
      <c r="R39" s="21" t="s">
        <v>31</v>
      </c>
    </row>
    <row r="40" spans="2:19" x14ac:dyDescent="0.3">
      <c r="B40" s="66"/>
      <c r="D40" s="214" t="s">
        <v>32</v>
      </c>
      <c r="E40" s="18">
        <v>0</v>
      </c>
      <c r="F40" s="19">
        <v>1.97</v>
      </c>
      <c r="G40" s="4">
        <v>7100</v>
      </c>
      <c r="H40" s="4">
        <v>20250</v>
      </c>
      <c r="I40" s="4">
        <v>100000</v>
      </c>
      <c r="J40" s="4">
        <v>4450</v>
      </c>
      <c r="L40" s="214" t="s">
        <v>32</v>
      </c>
      <c r="M40" s="18">
        <v>0</v>
      </c>
      <c r="N40" s="19">
        <v>4.0199999999999996</v>
      </c>
      <c r="O40" s="4">
        <v>9400</v>
      </c>
      <c r="P40" s="4">
        <v>28500</v>
      </c>
      <c r="Q40" s="4">
        <v>130000</v>
      </c>
      <c r="R40" s="22">
        <v>5300</v>
      </c>
    </row>
    <row r="41" spans="2:19" x14ac:dyDescent="0.3">
      <c r="B41" s="66"/>
      <c r="D41" s="214"/>
      <c r="E41" s="18">
        <v>1</v>
      </c>
      <c r="F41" s="19">
        <v>0.14000000000000001</v>
      </c>
      <c r="G41" s="4">
        <v>6200</v>
      </c>
      <c r="H41" s="4">
        <v>11000</v>
      </c>
      <c r="I41" s="4">
        <v>95000</v>
      </c>
      <c r="J41" s="4">
        <v>3400</v>
      </c>
      <c r="L41" s="214"/>
      <c r="M41" s="18">
        <v>1</v>
      </c>
      <c r="N41" s="19">
        <v>0.2</v>
      </c>
      <c r="O41" s="4">
        <v>550</v>
      </c>
      <c r="P41" s="4">
        <v>2600</v>
      </c>
      <c r="Q41" s="4">
        <v>18000</v>
      </c>
      <c r="R41" s="22">
        <v>800</v>
      </c>
    </row>
    <row r="42" spans="2:19" x14ac:dyDescent="0.3">
      <c r="B42" s="66"/>
      <c r="D42" s="214"/>
      <c r="E42" s="18">
        <v>3</v>
      </c>
      <c r="F42" s="19">
        <v>0.14000000000000001</v>
      </c>
      <c r="G42" s="4">
        <v>3000</v>
      </c>
      <c r="H42" s="4">
        <v>12000</v>
      </c>
      <c r="I42" s="4">
        <v>125000</v>
      </c>
      <c r="J42" s="4">
        <v>1600</v>
      </c>
      <c r="L42" s="214"/>
      <c r="M42" s="18">
        <v>3</v>
      </c>
      <c r="N42" s="19">
        <v>0.2</v>
      </c>
      <c r="O42" s="4">
        <v>180</v>
      </c>
      <c r="P42" s="4">
        <v>1660.0000000000002</v>
      </c>
      <c r="Q42" s="4">
        <v>26000</v>
      </c>
      <c r="R42" s="22">
        <v>1500</v>
      </c>
    </row>
    <row r="43" spans="2:19" ht="51.6" x14ac:dyDescent="0.3">
      <c r="B43" s="50" t="s">
        <v>17</v>
      </c>
      <c r="D43" s="214"/>
      <c r="E43" s="18">
        <v>5</v>
      </c>
      <c r="F43" s="19">
        <v>0.14000000000000001</v>
      </c>
      <c r="G43" s="4">
        <v>3900</v>
      </c>
      <c r="H43" s="4">
        <v>6600</v>
      </c>
      <c r="I43" s="4">
        <v>90000</v>
      </c>
      <c r="J43" s="4">
        <v>2300</v>
      </c>
      <c r="L43" s="214"/>
      <c r="M43" s="18">
        <v>5</v>
      </c>
      <c r="N43" s="19">
        <v>0.08</v>
      </c>
      <c r="O43" s="4">
        <v>130</v>
      </c>
      <c r="P43" s="4">
        <v>510.00000000000011</v>
      </c>
      <c r="Q43" s="4">
        <v>10600</v>
      </c>
      <c r="R43" s="22">
        <v>855</v>
      </c>
    </row>
    <row r="44" spans="2:19" x14ac:dyDescent="0.3">
      <c r="B44" s="66"/>
      <c r="D44" s="214"/>
      <c r="E44" s="18">
        <v>10</v>
      </c>
      <c r="F44" s="19">
        <v>0.08</v>
      </c>
      <c r="G44" s="4">
        <v>1780</v>
      </c>
      <c r="H44" s="4">
        <v>6900</v>
      </c>
      <c r="I44" s="4">
        <v>88000</v>
      </c>
      <c r="J44" s="4">
        <v>1760.0000000000002</v>
      </c>
      <c r="L44" s="214"/>
      <c r="M44" s="18">
        <v>10</v>
      </c>
      <c r="N44" s="19">
        <v>0.08</v>
      </c>
      <c r="O44" s="4">
        <v>56.000000000000007</v>
      </c>
      <c r="P44" s="4">
        <v>224.00000000000003</v>
      </c>
      <c r="Q44" s="4">
        <v>6600</v>
      </c>
      <c r="R44" s="22">
        <v>528</v>
      </c>
    </row>
    <row r="45" spans="2:19" x14ac:dyDescent="0.3">
      <c r="B45" s="66"/>
      <c r="D45" s="214"/>
      <c r="E45" s="18">
        <v>30</v>
      </c>
      <c r="F45" s="18">
        <v>0.08</v>
      </c>
      <c r="G45" s="4">
        <v>260</v>
      </c>
      <c r="H45" s="4">
        <v>1633.3333333333333</v>
      </c>
      <c r="I45" s="4">
        <v>32500</v>
      </c>
      <c r="J45" s="4">
        <v>980.00000000000011</v>
      </c>
      <c r="L45" s="214"/>
      <c r="M45" s="18">
        <v>30</v>
      </c>
      <c r="N45" s="18">
        <v>7.0000000000000007E-2</v>
      </c>
      <c r="O45" s="4">
        <v>2</v>
      </c>
      <c r="P45" s="4">
        <v>56.000000000000007</v>
      </c>
      <c r="Q45" s="4">
        <v>1066.6666666666665</v>
      </c>
      <c r="R45" s="22">
        <v>79</v>
      </c>
    </row>
    <row r="46" spans="2:19" x14ac:dyDescent="0.3">
      <c r="B46" s="66"/>
      <c r="D46" s="214"/>
      <c r="E46" s="5"/>
      <c r="F46" s="5"/>
      <c r="G46" s="4"/>
      <c r="H46" s="4"/>
      <c r="I46" s="4"/>
      <c r="J46" s="4"/>
      <c r="L46" s="214"/>
      <c r="M46" s="5"/>
      <c r="N46" s="5"/>
      <c r="O46" s="4"/>
      <c r="P46" s="4"/>
      <c r="Q46" s="4"/>
      <c r="R46" s="22"/>
    </row>
    <row r="47" spans="2:19" x14ac:dyDescent="0.3">
      <c r="B47" s="66"/>
      <c r="D47" s="11"/>
      <c r="E47" s="10"/>
      <c r="F47" s="10"/>
      <c r="G47" s="61"/>
      <c r="H47" s="61"/>
      <c r="I47" s="61"/>
      <c r="J47" s="61"/>
      <c r="L47" s="11"/>
      <c r="M47" s="10"/>
      <c r="N47" s="10"/>
      <c r="O47" s="61"/>
      <c r="P47" s="61"/>
      <c r="Q47" s="61"/>
      <c r="R47" s="23"/>
    </row>
    <row r="48" spans="2:19" x14ac:dyDescent="0.3">
      <c r="B48" s="66"/>
      <c r="R48" s="9"/>
    </row>
    <row r="49" spans="2:18" ht="15" thickBot="1" x14ac:dyDescent="0.35">
      <c r="B49" s="67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6"/>
    </row>
    <row r="52" spans="2:18" ht="15" customHeight="1" x14ac:dyDescent="0.3"/>
    <row r="57" spans="2:18" ht="15" customHeight="1" x14ac:dyDescent="0.3"/>
    <row r="70" ht="14.25" customHeight="1" x14ac:dyDescent="0.3"/>
    <row r="72" ht="14.25" customHeight="1" x14ac:dyDescent="0.3"/>
    <row r="107" spans="2:3" ht="15" thickBot="1" x14ac:dyDescent="0.35"/>
    <row r="108" spans="2:3" x14ac:dyDescent="0.3">
      <c r="B108" s="219" t="s">
        <v>18</v>
      </c>
      <c r="C108" s="6"/>
    </row>
    <row r="109" spans="2:3" x14ac:dyDescent="0.3">
      <c r="B109" s="220"/>
    </row>
    <row r="110" spans="2:3" ht="15" customHeight="1" x14ac:dyDescent="0.3">
      <c r="B110" s="220"/>
    </row>
    <row r="111" spans="2:3" x14ac:dyDescent="0.3">
      <c r="B111" s="220"/>
    </row>
    <row r="112" spans="2:3" x14ac:dyDescent="0.3">
      <c r="B112" s="220"/>
    </row>
    <row r="113" spans="2:2" x14ac:dyDescent="0.3">
      <c r="B113" s="220"/>
    </row>
    <row r="114" spans="2:2" x14ac:dyDescent="0.3">
      <c r="B114" s="220"/>
    </row>
    <row r="115" spans="2:2" x14ac:dyDescent="0.3">
      <c r="B115" s="220"/>
    </row>
    <row r="116" spans="2:2" x14ac:dyDescent="0.3">
      <c r="B116" s="220"/>
    </row>
    <row r="117" spans="2:2" x14ac:dyDescent="0.3">
      <c r="B117" s="220"/>
    </row>
    <row r="118" spans="2:2" x14ac:dyDescent="0.3">
      <c r="B118" s="220"/>
    </row>
    <row r="119" spans="2:2" x14ac:dyDescent="0.3">
      <c r="B119" s="220"/>
    </row>
    <row r="120" spans="2:2" x14ac:dyDescent="0.3">
      <c r="B120" s="220"/>
    </row>
    <row r="121" spans="2:2" x14ac:dyDescent="0.3">
      <c r="B121" s="220"/>
    </row>
    <row r="122" spans="2:2" x14ac:dyDescent="0.3">
      <c r="B122" s="220"/>
    </row>
    <row r="123" spans="2:2" ht="14.25" customHeight="1" x14ac:dyDescent="0.3">
      <c r="B123" s="220"/>
    </row>
    <row r="124" spans="2:2" x14ac:dyDescent="0.3">
      <c r="B124" s="220"/>
    </row>
    <row r="125" spans="2:2" ht="14.25" customHeight="1" x14ac:dyDescent="0.3">
      <c r="B125" s="220"/>
    </row>
    <row r="126" spans="2:2" x14ac:dyDescent="0.3">
      <c r="B126" s="220"/>
    </row>
    <row r="127" spans="2:2" x14ac:dyDescent="0.3">
      <c r="B127" s="220"/>
    </row>
    <row r="128" spans="2:2" x14ac:dyDescent="0.3">
      <c r="B128" s="220"/>
    </row>
    <row r="129" spans="2:2" x14ac:dyDescent="0.3">
      <c r="B129" s="220"/>
    </row>
    <row r="130" spans="2:2" x14ac:dyDescent="0.3">
      <c r="B130" s="220"/>
    </row>
    <row r="131" spans="2:2" x14ac:dyDescent="0.3">
      <c r="B131" s="220"/>
    </row>
    <row r="132" spans="2:2" x14ac:dyDescent="0.3">
      <c r="B132" s="220"/>
    </row>
    <row r="133" spans="2:2" x14ac:dyDescent="0.3">
      <c r="B133" s="220"/>
    </row>
    <row r="134" spans="2:2" x14ac:dyDescent="0.3">
      <c r="B134" s="220"/>
    </row>
    <row r="135" spans="2:2" x14ac:dyDescent="0.3">
      <c r="B135" s="220"/>
    </row>
    <row r="136" spans="2:2" x14ac:dyDescent="0.3">
      <c r="B136" s="220"/>
    </row>
    <row r="137" spans="2:2" x14ac:dyDescent="0.3">
      <c r="B137" s="220"/>
    </row>
    <row r="138" spans="2:2" x14ac:dyDescent="0.3">
      <c r="B138" s="220"/>
    </row>
    <row r="139" spans="2:2" x14ac:dyDescent="0.3">
      <c r="B139" s="220"/>
    </row>
    <row r="140" spans="2:2" x14ac:dyDescent="0.3">
      <c r="B140" s="220"/>
    </row>
    <row r="141" spans="2:2" x14ac:dyDescent="0.3">
      <c r="B141" s="220"/>
    </row>
    <row r="142" spans="2:2" x14ac:dyDescent="0.3">
      <c r="B142" s="220"/>
    </row>
    <row r="143" spans="2:2" x14ac:dyDescent="0.3">
      <c r="B143" s="220"/>
    </row>
    <row r="144" spans="2:2" x14ac:dyDescent="0.3">
      <c r="B144" s="220"/>
    </row>
    <row r="145" spans="2:3" x14ac:dyDescent="0.3">
      <c r="B145" s="220"/>
    </row>
    <row r="146" spans="2:3" x14ac:dyDescent="0.3">
      <c r="B146" s="220"/>
    </row>
    <row r="147" spans="2:3" x14ac:dyDescent="0.3">
      <c r="B147" s="220"/>
    </row>
    <row r="148" spans="2:3" x14ac:dyDescent="0.3">
      <c r="B148" s="220"/>
    </row>
    <row r="149" spans="2:3" x14ac:dyDescent="0.3">
      <c r="B149" s="220"/>
    </row>
    <row r="150" spans="2:3" x14ac:dyDescent="0.3">
      <c r="B150" s="220"/>
    </row>
    <row r="151" spans="2:3" x14ac:dyDescent="0.3">
      <c r="B151" s="220"/>
    </row>
    <row r="152" spans="2:3" x14ac:dyDescent="0.3">
      <c r="B152" s="220"/>
    </row>
    <row r="153" spans="2:3" x14ac:dyDescent="0.3">
      <c r="B153" s="220"/>
    </row>
    <row r="154" spans="2:3" x14ac:dyDescent="0.3">
      <c r="B154" s="220"/>
    </row>
    <row r="155" spans="2:3" x14ac:dyDescent="0.3">
      <c r="B155" s="220"/>
    </row>
    <row r="156" spans="2:3" x14ac:dyDescent="0.3">
      <c r="B156" s="220"/>
    </row>
    <row r="157" spans="2:3" x14ac:dyDescent="0.3">
      <c r="B157" s="220"/>
    </row>
    <row r="158" spans="2:3" x14ac:dyDescent="0.3">
      <c r="B158" s="220"/>
    </row>
    <row r="159" spans="2:3" x14ac:dyDescent="0.3">
      <c r="B159" s="220"/>
    </row>
    <row r="160" spans="2:3" ht="15" thickBot="1" x14ac:dyDescent="0.35">
      <c r="B160" s="221"/>
      <c r="C160" s="13"/>
    </row>
    <row r="161" spans="2:3" x14ac:dyDescent="0.3">
      <c r="B161" s="219" t="s">
        <v>18</v>
      </c>
      <c r="C161" s="6"/>
    </row>
    <row r="162" spans="2:3" x14ac:dyDescent="0.3">
      <c r="B162" s="220"/>
    </row>
    <row r="163" spans="2:3" ht="15" customHeight="1" x14ac:dyDescent="0.3">
      <c r="B163" s="220"/>
    </row>
    <row r="164" spans="2:3" x14ac:dyDescent="0.3">
      <c r="B164" s="220"/>
    </row>
    <row r="165" spans="2:3" x14ac:dyDescent="0.3">
      <c r="B165" s="220"/>
    </row>
    <row r="166" spans="2:3" x14ac:dyDescent="0.3">
      <c r="B166" s="220"/>
    </row>
    <row r="167" spans="2:3" x14ac:dyDescent="0.3">
      <c r="B167" s="220"/>
    </row>
    <row r="168" spans="2:3" x14ac:dyDescent="0.3">
      <c r="B168" s="220"/>
    </row>
    <row r="169" spans="2:3" x14ac:dyDescent="0.3">
      <c r="B169" s="220"/>
    </row>
    <row r="170" spans="2:3" x14ac:dyDescent="0.3">
      <c r="B170" s="220"/>
    </row>
    <row r="171" spans="2:3" x14ac:dyDescent="0.3">
      <c r="B171" s="220"/>
    </row>
    <row r="172" spans="2:3" x14ac:dyDescent="0.3">
      <c r="B172" s="220"/>
    </row>
    <row r="173" spans="2:3" x14ac:dyDescent="0.3">
      <c r="B173" s="220"/>
    </row>
    <row r="174" spans="2:3" x14ac:dyDescent="0.3">
      <c r="B174" s="220"/>
    </row>
    <row r="175" spans="2:3" x14ac:dyDescent="0.3">
      <c r="B175" s="220"/>
    </row>
    <row r="176" spans="2:3" ht="14.25" customHeight="1" x14ac:dyDescent="0.3">
      <c r="B176" s="220"/>
    </row>
    <row r="177" spans="2:2" x14ac:dyDescent="0.3">
      <c r="B177" s="220"/>
    </row>
    <row r="178" spans="2:2" ht="14.25" customHeight="1" x14ac:dyDescent="0.3">
      <c r="B178" s="220"/>
    </row>
    <row r="179" spans="2:2" x14ac:dyDescent="0.3">
      <c r="B179" s="220"/>
    </row>
    <row r="180" spans="2:2" x14ac:dyDescent="0.3">
      <c r="B180" s="220"/>
    </row>
    <row r="181" spans="2:2" x14ac:dyDescent="0.3">
      <c r="B181" s="220"/>
    </row>
    <row r="182" spans="2:2" x14ac:dyDescent="0.3">
      <c r="B182" s="220"/>
    </row>
    <row r="183" spans="2:2" x14ac:dyDescent="0.3">
      <c r="B183" s="220"/>
    </row>
    <row r="184" spans="2:2" x14ac:dyDescent="0.3">
      <c r="B184" s="220"/>
    </row>
    <row r="185" spans="2:2" x14ac:dyDescent="0.3">
      <c r="B185" s="220"/>
    </row>
    <row r="186" spans="2:2" x14ac:dyDescent="0.3">
      <c r="B186" s="220"/>
    </row>
    <row r="187" spans="2:2" x14ac:dyDescent="0.3">
      <c r="B187" s="220"/>
    </row>
    <row r="188" spans="2:2" x14ac:dyDescent="0.3">
      <c r="B188" s="220"/>
    </row>
    <row r="189" spans="2:2" x14ac:dyDescent="0.3">
      <c r="B189" s="220"/>
    </row>
    <row r="190" spans="2:2" x14ac:dyDescent="0.3">
      <c r="B190" s="220"/>
    </row>
    <row r="191" spans="2:2" x14ac:dyDescent="0.3">
      <c r="B191" s="220"/>
    </row>
    <row r="192" spans="2:2" x14ac:dyDescent="0.3">
      <c r="B192" s="220"/>
    </row>
    <row r="193" spans="2:2" x14ac:dyDescent="0.3">
      <c r="B193" s="220"/>
    </row>
    <row r="194" spans="2:2" x14ac:dyDescent="0.3">
      <c r="B194" s="220"/>
    </row>
    <row r="195" spans="2:2" x14ac:dyDescent="0.3">
      <c r="B195" s="220"/>
    </row>
    <row r="196" spans="2:2" x14ac:dyDescent="0.3">
      <c r="B196" s="220"/>
    </row>
    <row r="197" spans="2:2" x14ac:dyDescent="0.3">
      <c r="B197" s="220"/>
    </row>
    <row r="198" spans="2:2" x14ac:dyDescent="0.3">
      <c r="B198" s="220"/>
    </row>
    <row r="199" spans="2:2" x14ac:dyDescent="0.3">
      <c r="B199" s="220"/>
    </row>
    <row r="200" spans="2:2" x14ac:dyDescent="0.3">
      <c r="B200" s="220"/>
    </row>
    <row r="201" spans="2:2" x14ac:dyDescent="0.3">
      <c r="B201" s="220"/>
    </row>
    <row r="202" spans="2:2" x14ac:dyDescent="0.3">
      <c r="B202" s="220"/>
    </row>
    <row r="203" spans="2:2" x14ac:dyDescent="0.3">
      <c r="B203" s="220"/>
    </row>
    <row r="204" spans="2:2" x14ac:dyDescent="0.3">
      <c r="B204" s="220"/>
    </row>
    <row r="205" spans="2:2" x14ac:dyDescent="0.3">
      <c r="B205" s="220"/>
    </row>
    <row r="206" spans="2:2" x14ac:dyDescent="0.3">
      <c r="B206" s="220"/>
    </row>
    <row r="207" spans="2:2" x14ac:dyDescent="0.3">
      <c r="B207" s="220"/>
    </row>
    <row r="208" spans="2:2" x14ac:dyDescent="0.3">
      <c r="B208" s="220"/>
    </row>
    <row r="209" spans="2:3" x14ac:dyDescent="0.3">
      <c r="B209" s="220"/>
    </row>
    <row r="210" spans="2:3" x14ac:dyDescent="0.3">
      <c r="B210" s="220"/>
    </row>
    <row r="211" spans="2:3" x14ac:dyDescent="0.3">
      <c r="B211" s="220"/>
    </row>
    <row r="212" spans="2:3" x14ac:dyDescent="0.3">
      <c r="B212" s="220"/>
    </row>
    <row r="213" spans="2:3" ht="15" thickBot="1" x14ac:dyDescent="0.35">
      <c r="B213" s="221"/>
      <c r="C213" s="13"/>
    </row>
  </sheetData>
  <mergeCells count="10">
    <mergeCell ref="D40:D46"/>
    <mergeCell ref="L40:L46"/>
    <mergeCell ref="B108:B160"/>
    <mergeCell ref="B161:B213"/>
    <mergeCell ref="D4:D10"/>
    <mergeCell ref="L4:L10"/>
    <mergeCell ref="D16:D22"/>
    <mergeCell ref="L16:L22"/>
    <mergeCell ref="D28:D34"/>
    <mergeCell ref="L28:L34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75"/>
  <sheetViews>
    <sheetView zoomScale="80" zoomScaleNormal="80" workbookViewId="0">
      <selection activeCell="A8" sqref="A8"/>
    </sheetView>
  </sheetViews>
  <sheetFormatPr defaultColWidth="9.109375" defaultRowHeight="15.6" x14ac:dyDescent="0.3"/>
  <cols>
    <col min="1" max="1" width="25.88671875" style="130" customWidth="1"/>
    <col min="2" max="2" width="14.88671875" style="130" customWidth="1"/>
    <col min="3" max="3" width="19" style="130" customWidth="1"/>
    <col min="4" max="22" width="12.6640625" style="130" customWidth="1"/>
    <col min="23" max="27" width="9.109375" style="130"/>
    <col min="28" max="28" width="14.33203125" style="130" bestFit="1" customWidth="1"/>
    <col min="29" max="16384" width="9.109375" style="130"/>
  </cols>
  <sheetData>
    <row r="1" spans="1:23" ht="16.2" thickBot="1" x14ac:dyDescent="0.35">
      <c r="A1" s="129" t="s">
        <v>34</v>
      </c>
    </row>
    <row r="2" spans="1:23" ht="33" customHeight="1" thickBot="1" x14ac:dyDescent="0.35">
      <c r="A2" s="131" t="s">
        <v>35</v>
      </c>
      <c r="B2" s="161" t="s">
        <v>90</v>
      </c>
      <c r="C2" s="132"/>
      <c r="D2" s="133"/>
      <c r="E2" s="133"/>
      <c r="F2" s="133"/>
      <c r="G2" s="133"/>
      <c r="H2" s="133"/>
      <c r="I2" s="133"/>
      <c r="J2" s="133"/>
      <c r="K2" s="132"/>
      <c r="L2" s="133"/>
      <c r="M2" s="133"/>
      <c r="N2" s="133"/>
      <c r="O2" s="133"/>
      <c r="P2" s="133"/>
      <c r="Q2" s="134"/>
    </row>
    <row r="3" spans="1:23" s="174" customFormat="1" ht="62.4" x14ac:dyDescent="0.3">
      <c r="A3" s="173" t="s">
        <v>36</v>
      </c>
      <c r="B3" s="135"/>
      <c r="C3" s="175" t="s">
        <v>3</v>
      </c>
      <c r="D3" s="176" t="s">
        <v>4</v>
      </c>
      <c r="E3" s="176" t="s">
        <v>5</v>
      </c>
      <c r="F3" s="177" t="s">
        <v>91</v>
      </c>
      <c r="G3" s="177" t="s">
        <v>7</v>
      </c>
      <c r="H3" s="177" t="s">
        <v>8</v>
      </c>
      <c r="I3" s="177" t="s">
        <v>92</v>
      </c>
      <c r="K3" s="175" t="s">
        <v>3</v>
      </c>
      <c r="L3" s="175" t="s">
        <v>4</v>
      </c>
      <c r="M3" s="175" t="s">
        <v>5</v>
      </c>
      <c r="N3" s="177" t="s">
        <v>91</v>
      </c>
      <c r="O3" s="177" t="s">
        <v>7</v>
      </c>
      <c r="P3" s="177" t="s">
        <v>8</v>
      </c>
      <c r="Q3" s="178" t="s">
        <v>92</v>
      </c>
      <c r="S3" s="179"/>
      <c r="U3" s="179"/>
      <c r="W3" s="179"/>
    </row>
    <row r="4" spans="1:23" x14ac:dyDescent="0.3">
      <c r="A4" s="140">
        <v>45299</v>
      </c>
      <c r="B4" s="135"/>
      <c r="C4" s="222" t="s">
        <v>37</v>
      </c>
      <c r="D4" s="141">
        <v>0</v>
      </c>
      <c r="E4" s="142">
        <v>1.01</v>
      </c>
      <c r="F4" s="143">
        <v>20</v>
      </c>
      <c r="G4" s="143">
        <v>75</v>
      </c>
      <c r="H4" s="143">
        <v>1000</v>
      </c>
      <c r="I4" s="143">
        <v>10</v>
      </c>
      <c r="K4" s="222" t="s">
        <v>37</v>
      </c>
      <c r="L4" s="141">
        <v>0</v>
      </c>
      <c r="M4" s="144">
        <v>1.94</v>
      </c>
      <c r="N4" s="145">
        <v>17.5</v>
      </c>
      <c r="O4" s="143">
        <v>50</v>
      </c>
      <c r="P4" s="143">
        <v>2000</v>
      </c>
      <c r="Q4" s="143">
        <v>5</v>
      </c>
      <c r="S4" s="139"/>
      <c r="U4" s="139"/>
    </row>
    <row r="5" spans="1:23" x14ac:dyDescent="0.3">
      <c r="B5" s="135"/>
      <c r="C5" s="222"/>
      <c r="D5" s="141">
        <v>1</v>
      </c>
      <c r="E5" s="146">
        <v>0.88</v>
      </c>
      <c r="F5" s="143">
        <v>4</v>
      </c>
      <c r="G5" s="143">
        <v>28</v>
      </c>
      <c r="H5" s="143">
        <v>1500</v>
      </c>
      <c r="I5" s="143">
        <v>12</v>
      </c>
      <c r="K5" s="222"/>
      <c r="L5" s="141">
        <v>1</v>
      </c>
      <c r="M5" s="143">
        <v>1.77</v>
      </c>
      <c r="N5" s="143" t="s">
        <v>22</v>
      </c>
      <c r="O5" s="143">
        <v>4</v>
      </c>
      <c r="P5" s="143">
        <v>440</v>
      </c>
      <c r="Q5" s="143" t="s">
        <v>22</v>
      </c>
    </row>
    <row r="6" spans="1:23" x14ac:dyDescent="0.3">
      <c r="A6" s="129" t="s">
        <v>38</v>
      </c>
      <c r="B6" s="147" t="s">
        <v>12</v>
      </c>
      <c r="C6" s="222"/>
      <c r="D6" s="141">
        <v>3</v>
      </c>
      <c r="E6" s="146">
        <v>0.83</v>
      </c>
      <c r="F6" s="143" t="s">
        <v>22</v>
      </c>
      <c r="G6" s="143" t="s">
        <v>22</v>
      </c>
      <c r="H6" s="143">
        <v>472</v>
      </c>
      <c r="I6" s="143" t="s">
        <v>22</v>
      </c>
      <c r="K6" s="222"/>
      <c r="L6" s="141">
        <v>3</v>
      </c>
      <c r="M6" s="143">
        <v>1.64</v>
      </c>
      <c r="N6" s="143" t="s">
        <v>22</v>
      </c>
      <c r="O6" s="143">
        <v>4</v>
      </c>
      <c r="P6" s="143">
        <v>84</v>
      </c>
      <c r="Q6" s="143" t="s">
        <v>22</v>
      </c>
    </row>
    <row r="7" spans="1:23" x14ac:dyDescent="0.3">
      <c r="B7" s="135"/>
      <c r="C7" s="222"/>
      <c r="D7" s="141">
        <v>5</v>
      </c>
      <c r="E7" s="146">
        <v>0.8</v>
      </c>
      <c r="F7" s="143" t="s">
        <v>22</v>
      </c>
      <c r="G7" s="143" t="s">
        <v>22</v>
      </c>
      <c r="H7" s="143">
        <v>120</v>
      </c>
      <c r="I7" s="143" t="s">
        <v>22</v>
      </c>
      <c r="K7" s="222"/>
      <c r="L7" s="141">
        <v>5</v>
      </c>
      <c r="M7" s="143">
        <v>1.59</v>
      </c>
      <c r="N7" s="143" t="s">
        <v>22</v>
      </c>
      <c r="O7" s="143">
        <v>7</v>
      </c>
      <c r="P7" s="143">
        <v>191</v>
      </c>
      <c r="Q7" s="143" t="s">
        <v>22</v>
      </c>
    </row>
    <row r="8" spans="1:23" x14ac:dyDescent="0.3">
      <c r="B8" s="135"/>
      <c r="C8" s="222"/>
      <c r="D8" s="141">
        <v>10</v>
      </c>
      <c r="E8" s="146">
        <v>0.73</v>
      </c>
      <c r="F8" s="143">
        <v>1</v>
      </c>
      <c r="G8" s="143">
        <v>1</v>
      </c>
      <c r="H8" s="143">
        <v>78</v>
      </c>
      <c r="I8" s="143" t="s">
        <v>24</v>
      </c>
      <c r="K8" s="222"/>
      <c r="L8" s="141">
        <v>10</v>
      </c>
      <c r="M8" s="143">
        <v>1.45</v>
      </c>
      <c r="N8" s="143" t="s">
        <v>24</v>
      </c>
      <c r="O8" s="143">
        <v>1</v>
      </c>
      <c r="P8" s="143">
        <v>57</v>
      </c>
      <c r="Q8" s="143" t="s">
        <v>24</v>
      </c>
    </row>
    <row r="9" spans="1:23" x14ac:dyDescent="0.3">
      <c r="B9" s="135"/>
      <c r="C9" s="222"/>
      <c r="D9" s="141">
        <v>30</v>
      </c>
      <c r="E9" s="146">
        <v>0.55000000000000004</v>
      </c>
      <c r="F9" s="143">
        <v>1</v>
      </c>
      <c r="G9" s="143">
        <v>2</v>
      </c>
      <c r="H9" s="143">
        <v>46</v>
      </c>
      <c r="I9" s="143" t="s">
        <v>24</v>
      </c>
      <c r="K9" s="222"/>
      <c r="L9" s="141">
        <v>30</v>
      </c>
      <c r="M9" s="143">
        <v>1.0900000000000001</v>
      </c>
      <c r="N9" s="143">
        <v>2</v>
      </c>
      <c r="O9" s="143">
        <v>2</v>
      </c>
      <c r="P9" s="143">
        <v>84</v>
      </c>
      <c r="Q9" s="143" t="s">
        <v>24</v>
      </c>
    </row>
    <row r="10" spans="1:23" x14ac:dyDescent="0.3">
      <c r="B10" s="135"/>
      <c r="C10" s="222"/>
      <c r="D10" s="144"/>
      <c r="E10" s="144"/>
      <c r="F10" s="148"/>
      <c r="G10" s="148"/>
      <c r="H10" s="148"/>
      <c r="I10" s="148"/>
      <c r="K10" s="222"/>
      <c r="L10" s="144"/>
      <c r="M10" s="144"/>
      <c r="N10" s="148"/>
      <c r="O10" s="148"/>
      <c r="P10" s="148"/>
      <c r="Q10" s="148"/>
    </row>
    <row r="11" spans="1:23" x14ac:dyDescent="0.3">
      <c r="B11" s="135"/>
      <c r="C11" s="149"/>
      <c r="D11" s="150"/>
      <c r="E11" s="150"/>
      <c r="F11" s="150"/>
      <c r="G11" s="150"/>
      <c r="H11" s="150"/>
      <c r="I11" s="150"/>
      <c r="L11" s="151"/>
      <c r="M11" s="152"/>
      <c r="Q11" s="153"/>
    </row>
    <row r="12" spans="1:23" x14ac:dyDescent="0.3">
      <c r="B12" s="135"/>
      <c r="C12" s="149"/>
      <c r="D12" s="150"/>
      <c r="E12" s="150"/>
      <c r="F12" s="150"/>
      <c r="G12" s="150"/>
      <c r="H12" s="150"/>
      <c r="I12" s="150"/>
      <c r="L12" s="151"/>
      <c r="M12" s="152"/>
      <c r="Q12" s="153"/>
    </row>
    <row r="13" spans="1:23" ht="16.2" thickBot="1" x14ac:dyDescent="0.35">
      <c r="B13" s="154"/>
      <c r="C13" s="156"/>
      <c r="D13" s="157"/>
      <c r="E13" s="157"/>
      <c r="F13" s="157"/>
      <c r="G13" s="157"/>
      <c r="H13" s="157"/>
      <c r="I13" s="157"/>
      <c r="J13" s="155"/>
      <c r="K13" s="155"/>
      <c r="L13" s="158"/>
      <c r="M13" s="159"/>
      <c r="N13" s="155"/>
      <c r="O13" s="155"/>
      <c r="P13" s="155"/>
      <c r="Q13" s="160"/>
    </row>
    <row r="14" spans="1:23" ht="16.2" thickBot="1" x14ac:dyDescent="0.35">
      <c r="B14" s="161"/>
      <c r="C14" s="132"/>
      <c r="D14" s="133"/>
      <c r="E14" s="133"/>
      <c r="F14" s="133"/>
      <c r="G14" s="133"/>
      <c r="H14" s="133"/>
      <c r="I14" s="133"/>
      <c r="J14" s="133"/>
      <c r="K14" s="132"/>
      <c r="L14" s="133"/>
      <c r="M14" s="133"/>
      <c r="N14" s="133"/>
      <c r="O14" s="133"/>
      <c r="P14" s="133"/>
      <c r="Q14" s="134"/>
    </row>
    <row r="15" spans="1:23" s="174" customFormat="1" ht="62.4" x14ac:dyDescent="0.3">
      <c r="B15" s="135"/>
      <c r="C15" s="175" t="s">
        <v>3</v>
      </c>
      <c r="D15" s="175" t="s">
        <v>4</v>
      </c>
      <c r="E15" s="175" t="s">
        <v>5</v>
      </c>
      <c r="F15" s="177" t="s">
        <v>91</v>
      </c>
      <c r="G15" s="177" t="s">
        <v>7</v>
      </c>
      <c r="H15" s="177" t="s">
        <v>8</v>
      </c>
      <c r="I15" s="177" t="s">
        <v>92</v>
      </c>
      <c r="K15" s="175" t="s">
        <v>3</v>
      </c>
      <c r="L15" s="175" t="s">
        <v>4</v>
      </c>
      <c r="M15" s="175" t="s">
        <v>5</v>
      </c>
      <c r="N15" s="177" t="s">
        <v>91</v>
      </c>
      <c r="O15" s="177" t="s">
        <v>7</v>
      </c>
      <c r="P15" s="177" t="s">
        <v>8</v>
      </c>
      <c r="Q15" s="178" t="s">
        <v>92</v>
      </c>
    </row>
    <row r="16" spans="1:23" ht="15" customHeight="1" x14ac:dyDescent="0.3">
      <c r="B16" s="135"/>
      <c r="C16" s="222" t="s">
        <v>37</v>
      </c>
      <c r="D16" s="141">
        <v>0</v>
      </c>
      <c r="E16" s="142">
        <v>2.1</v>
      </c>
      <c r="F16" s="143">
        <v>25</v>
      </c>
      <c r="G16" s="143">
        <v>70</v>
      </c>
      <c r="H16" s="143">
        <v>3500</v>
      </c>
      <c r="I16" s="143">
        <v>15</v>
      </c>
      <c r="K16" s="222" t="s">
        <v>37</v>
      </c>
      <c r="L16" s="141">
        <v>0</v>
      </c>
      <c r="M16" s="144">
        <v>4.1399999999999997</v>
      </c>
      <c r="N16" s="143">
        <v>35</v>
      </c>
      <c r="O16" s="143">
        <v>45</v>
      </c>
      <c r="P16" s="143">
        <v>2000</v>
      </c>
      <c r="Q16" s="143">
        <v>5</v>
      </c>
    </row>
    <row r="17" spans="2:18" ht="15.75" customHeight="1" x14ac:dyDescent="0.3">
      <c r="B17" s="147" t="s">
        <v>13</v>
      </c>
      <c r="C17" s="222"/>
      <c r="D17" s="141">
        <v>1</v>
      </c>
      <c r="E17" s="146">
        <v>1.99</v>
      </c>
      <c r="F17" s="143">
        <v>12</v>
      </c>
      <c r="G17" s="143">
        <v>100</v>
      </c>
      <c r="H17" s="143">
        <v>30000</v>
      </c>
      <c r="I17" s="143" t="s">
        <v>22</v>
      </c>
      <c r="K17" s="222"/>
      <c r="L17" s="141">
        <v>1</v>
      </c>
      <c r="M17" s="143">
        <v>3.89</v>
      </c>
      <c r="N17" s="143">
        <v>4</v>
      </c>
      <c r="O17" s="143">
        <v>100</v>
      </c>
      <c r="P17" s="143">
        <v>5600</v>
      </c>
      <c r="Q17" s="143">
        <v>28</v>
      </c>
    </row>
    <row r="18" spans="2:18" ht="14.25" customHeight="1" x14ac:dyDescent="0.3">
      <c r="B18" s="135"/>
      <c r="C18" s="222"/>
      <c r="D18" s="141">
        <v>3</v>
      </c>
      <c r="E18" s="146">
        <v>1.95</v>
      </c>
      <c r="F18" s="143">
        <v>12</v>
      </c>
      <c r="G18" s="143">
        <v>170</v>
      </c>
      <c r="H18" s="143">
        <v>32000</v>
      </c>
      <c r="I18" s="143">
        <v>8</v>
      </c>
      <c r="K18" s="222"/>
      <c r="L18" s="141">
        <v>3</v>
      </c>
      <c r="M18" s="143">
        <v>3.84</v>
      </c>
      <c r="N18" s="143">
        <v>12</v>
      </c>
      <c r="O18" s="143">
        <v>44</v>
      </c>
      <c r="P18" s="143">
        <v>22000</v>
      </c>
      <c r="Q18" s="143">
        <v>4</v>
      </c>
    </row>
    <row r="19" spans="2:18" x14ac:dyDescent="0.3">
      <c r="B19" s="135"/>
      <c r="C19" s="222"/>
      <c r="D19" s="141">
        <v>5</v>
      </c>
      <c r="E19" s="146">
        <v>1.91</v>
      </c>
      <c r="F19" s="143">
        <v>4</v>
      </c>
      <c r="G19" s="143">
        <v>140</v>
      </c>
      <c r="H19" s="143">
        <v>25000</v>
      </c>
      <c r="I19" s="143">
        <v>4</v>
      </c>
      <c r="K19" s="222"/>
      <c r="L19" s="141">
        <v>5</v>
      </c>
      <c r="M19" s="143">
        <v>3.82</v>
      </c>
      <c r="N19" s="143">
        <v>4</v>
      </c>
      <c r="O19" s="143">
        <v>34</v>
      </c>
      <c r="P19" s="143">
        <v>4100</v>
      </c>
      <c r="Q19" s="143" t="s">
        <v>22</v>
      </c>
    </row>
    <row r="20" spans="2:18" x14ac:dyDescent="0.3">
      <c r="B20" s="135"/>
      <c r="C20" s="222"/>
      <c r="D20" s="141">
        <v>10</v>
      </c>
      <c r="E20" s="146">
        <v>1.83</v>
      </c>
      <c r="F20" s="143" t="s">
        <v>22</v>
      </c>
      <c r="G20" s="143">
        <v>120</v>
      </c>
      <c r="H20" s="143">
        <v>11000</v>
      </c>
      <c r="I20" s="143" t="s">
        <v>22</v>
      </c>
      <c r="K20" s="222"/>
      <c r="L20" s="141">
        <v>10</v>
      </c>
      <c r="M20" s="143">
        <v>3.74</v>
      </c>
      <c r="N20" s="143" t="s">
        <v>22</v>
      </c>
      <c r="O20" s="143">
        <v>28</v>
      </c>
      <c r="P20" s="143">
        <v>1000</v>
      </c>
      <c r="Q20" s="143" t="s">
        <v>22</v>
      </c>
    </row>
    <row r="21" spans="2:18" x14ac:dyDescent="0.3">
      <c r="B21" s="135"/>
      <c r="C21" s="222"/>
      <c r="D21" s="141">
        <v>30</v>
      </c>
      <c r="E21" s="146">
        <v>1.77</v>
      </c>
      <c r="F21" s="143" t="s">
        <v>22</v>
      </c>
      <c r="G21" s="143">
        <v>20</v>
      </c>
      <c r="H21" s="143">
        <v>9100</v>
      </c>
      <c r="I21" s="143" t="s">
        <v>22</v>
      </c>
      <c r="K21" s="222"/>
      <c r="L21" s="141">
        <v>30</v>
      </c>
      <c r="M21" s="143">
        <v>3.52</v>
      </c>
      <c r="N21" s="143">
        <v>4</v>
      </c>
      <c r="O21" s="143">
        <v>4</v>
      </c>
      <c r="P21" s="143">
        <v>1800</v>
      </c>
      <c r="Q21" s="143" t="s">
        <v>22</v>
      </c>
    </row>
    <row r="22" spans="2:18" x14ac:dyDescent="0.3">
      <c r="B22" s="135"/>
      <c r="C22" s="222"/>
      <c r="D22" s="144"/>
      <c r="E22" s="144"/>
      <c r="F22" s="148"/>
      <c r="G22" s="148"/>
      <c r="H22" s="148"/>
      <c r="I22" s="148"/>
      <c r="K22" s="222"/>
      <c r="L22" s="144"/>
      <c r="M22" s="144"/>
      <c r="N22" s="148"/>
      <c r="O22" s="148"/>
      <c r="P22" s="148"/>
      <c r="Q22" s="148"/>
    </row>
    <row r="23" spans="2:18" x14ac:dyDescent="0.3">
      <c r="B23" s="135"/>
      <c r="C23" s="149"/>
      <c r="D23" s="150"/>
      <c r="E23" s="150"/>
      <c r="F23" s="150"/>
      <c r="G23" s="150"/>
      <c r="H23" s="150"/>
      <c r="I23" s="150"/>
      <c r="L23" s="151"/>
      <c r="M23" s="152"/>
      <c r="Q23" s="153"/>
    </row>
    <row r="24" spans="2:18" ht="16.2" thickBot="1" x14ac:dyDescent="0.35">
      <c r="B24" s="154"/>
      <c r="C24" s="156"/>
      <c r="D24" s="157"/>
      <c r="E24" s="157"/>
      <c r="F24" s="157"/>
      <c r="G24" s="157"/>
      <c r="H24" s="157"/>
      <c r="I24" s="157"/>
      <c r="J24" s="155"/>
      <c r="K24" s="155"/>
      <c r="L24" s="158"/>
      <c r="M24" s="159"/>
      <c r="N24" s="155"/>
      <c r="O24" s="155"/>
      <c r="P24" s="155"/>
      <c r="Q24" s="160"/>
    </row>
    <row r="25" spans="2:18" ht="16.2" thickBot="1" x14ac:dyDescent="0.35">
      <c r="B25" s="161"/>
      <c r="C25" s="132"/>
      <c r="D25" s="133"/>
      <c r="E25" s="133"/>
      <c r="F25" s="133"/>
      <c r="G25" s="133"/>
      <c r="H25" s="133"/>
      <c r="I25" s="133"/>
      <c r="J25" s="133"/>
      <c r="K25" s="132"/>
      <c r="L25" s="133"/>
      <c r="M25" s="133"/>
      <c r="N25" s="133"/>
      <c r="O25" s="133"/>
      <c r="P25" s="133"/>
      <c r="Q25" s="134"/>
    </row>
    <row r="26" spans="2:18" s="174" customFormat="1" ht="62.4" x14ac:dyDescent="0.3">
      <c r="B26" s="135"/>
      <c r="C26" s="175" t="s">
        <v>3</v>
      </c>
      <c r="D26" s="175" t="s">
        <v>4</v>
      </c>
      <c r="E26" s="175" t="s">
        <v>5</v>
      </c>
      <c r="F26" s="177" t="s">
        <v>91</v>
      </c>
      <c r="G26" s="177" t="s">
        <v>7</v>
      </c>
      <c r="H26" s="177" t="s">
        <v>8</v>
      </c>
      <c r="I26" s="177" t="s">
        <v>92</v>
      </c>
      <c r="J26" s="180" t="s">
        <v>14</v>
      </c>
      <c r="K26" s="175" t="s">
        <v>3</v>
      </c>
      <c r="L26" s="175" t="s">
        <v>4</v>
      </c>
      <c r="M26" s="175" t="s">
        <v>5</v>
      </c>
      <c r="N26" s="177" t="s">
        <v>91</v>
      </c>
      <c r="O26" s="177" t="s">
        <v>7</v>
      </c>
      <c r="P26" s="177" t="s">
        <v>8</v>
      </c>
      <c r="Q26" s="178" t="s">
        <v>92</v>
      </c>
      <c r="R26" s="180" t="s">
        <v>14</v>
      </c>
    </row>
    <row r="27" spans="2:18" x14ac:dyDescent="0.3">
      <c r="B27" s="135"/>
      <c r="C27" s="222" t="s">
        <v>37</v>
      </c>
      <c r="D27" s="141">
        <v>0</v>
      </c>
      <c r="E27" s="144">
        <v>1.99</v>
      </c>
      <c r="F27" s="143">
        <v>10</v>
      </c>
      <c r="G27" s="143">
        <v>83</v>
      </c>
      <c r="H27" s="143">
        <v>3500</v>
      </c>
      <c r="I27" s="143">
        <v>10</v>
      </c>
      <c r="J27" s="163"/>
      <c r="K27" s="222" t="s">
        <v>37</v>
      </c>
      <c r="L27" s="141">
        <v>0</v>
      </c>
      <c r="M27" s="144">
        <v>3.92</v>
      </c>
      <c r="N27" s="143">
        <v>5</v>
      </c>
      <c r="O27" s="143">
        <v>80</v>
      </c>
      <c r="P27" s="143">
        <v>3000</v>
      </c>
      <c r="Q27" s="143">
        <v>10</v>
      </c>
      <c r="R27" s="163"/>
    </row>
    <row r="28" spans="2:18" ht="15" customHeight="1" x14ac:dyDescent="0.3">
      <c r="B28" s="147" t="s">
        <v>15</v>
      </c>
      <c r="C28" s="222"/>
      <c r="D28" s="141">
        <v>1</v>
      </c>
      <c r="E28" s="143">
        <v>0.97</v>
      </c>
      <c r="F28" s="143" t="s">
        <v>22</v>
      </c>
      <c r="G28" s="143">
        <v>36</v>
      </c>
      <c r="H28" s="143">
        <v>600</v>
      </c>
      <c r="I28" s="143" t="s">
        <v>22</v>
      </c>
      <c r="J28" s="163"/>
      <c r="K28" s="222"/>
      <c r="L28" s="141">
        <v>1</v>
      </c>
      <c r="M28" s="143">
        <v>1.98</v>
      </c>
      <c r="N28" s="143">
        <v>4</v>
      </c>
      <c r="O28" s="143">
        <v>12</v>
      </c>
      <c r="P28" s="143">
        <v>220</v>
      </c>
      <c r="Q28" s="143">
        <v>4</v>
      </c>
      <c r="R28" s="163"/>
    </row>
    <row r="29" spans="2:18" x14ac:dyDescent="0.3">
      <c r="B29" s="135"/>
      <c r="C29" s="222"/>
      <c r="D29" s="141">
        <v>3</v>
      </c>
      <c r="E29" s="143">
        <v>0.95</v>
      </c>
      <c r="F29" s="143" t="s">
        <v>22</v>
      </c>
      <c r="G29" s="143">
        <v>4</v>
      </c>
      <c r="H29" s="143">
        <v>330</v>
      </c>
      <c r="I29" s="143" t="s">
        <v>22</v>
      </c>
      <c r="J29" s="163"/>
      <c r="K29" s="222"/>
      <c r="L29" s="141">
        <v>3</v>
      </c>
      <c r="M29" s="143">
        <v>1.92</v>
      </c>
      <c r="N29" s="143">
        <v>4</v>
      </c>
      <c r="O29" s="143">
        <v>4</v>
      </c>
      <c r="P29" s="143">
        <v>76</v>
      </c>
      <c r="Q29" s="143" t="s">
        <v>22</v>
      </c>
      <c r="R29" s="163"/>
    </row>
    <row r="30" spans="2:18" x14ac:dyDescent="0.3">
      <c r="B30" s="135"/>
      <c r="C30" s="222"/>
      <c r="D30" s="141">
        <v>5</v>
      </c>
      <c r="E30" s="143">
        <v>0.93</v>
      </c>
      <c r="F30" s="143" t="s">
        <v>22</v>
      </c>
      <c r="G30" s="143">
        <v>12</v>
      </c>
      <c r="H30" s="143">
        <v>170</v>
      </c>
      <c r="I30" s="143" t="s">
        <v>22</v>
      </c>
      <c r="J30" s="163"/>
      <c r="K30" s="222"/>
      <c r="L30" s="141">
        <v>5</v>
      </c>
      <c r="M30" s="143">
        <v>1.94</v>
      </c>
      <c r="N30" s="143" t="s">
        <v>22</v>
      </c>
      <c r="O30" s="143">
        <v>4</v>
      </c>
      <c r="P30" s="143">
        <v>172</v>
      </c>
      <c r="Q30" s="143" t="s">
        <v>22</v>
      </c>
      <c r="R30" s="163"/>
    </row>
    <row r="31" spans="2:18" x14ac:dyDescent="0.3">
      <c r="B31" s="135"/>
      <c r="C31" s="222"/>
      <c r="D31" s="141">
        <v>10</v>
      </c>
      <c r="E31" s="143">
        <v>0.91</v>
      </c>
      <c r="F31" s="143" t="s">
        <v>22</v>
      </c>
      <c r="G31" s="143">
        <v>4</v>
      </c>
      <c r="H31" s="143">
        <v>60</v>
      </c>
      <c r="I31" s="143" t="s">
        <v>22</v>
      </c>
      <c r="J31" s="164">
        <v>0.56999999999999995</v>
      </c>
      <c r="K31" s="222"/>
      <c r="L31" s="141">
        <v>10</v>
      </c>
      <c r="M31" s="143">
        <v>1.94</v>
      </c>
      <c r="N31" s="143" t="s">
        <v>22</v>
      </c>
      <c r="O31" s="143" t="s">
        <v>22</v>
      </c>
      <c r="P31" s="143">
        <v>20</v>
      </c>
      <c r="Q31" s="143" t="s">
        <v>22</v>
      </c>
      <c r="R31" s="165">
        <v>1.01</v>
      </c>
    </row>
    <row r="32" spans="2:18" x14ac:dyDescent="0.3">
      <c r="B32" s="135"/>
      <c r="C32" s="222"/>
      <c r="D32" s="141">
        <v>30</v>
      </c>
      <c r="E32" s="143">
        <v>0.82</v>
      </c>
      <c r="F32" s="143" t="s">
        <v>22</v>
      </c>
      <c r="G32" s="143" t="s">
        <v>22</v>
      </c>
      <c r="H32" s="143">
        <v>560</v>
      </c>
      <c r="I32" s="143" t="s">
        <v>22</v>
      </c>
      <c r="J32" s="164">
        <v>0.56000000000000005</v>
      </c>
      <c r="K32" s="222"/>
      <c r="L32" s="141">
        <v>30</v>
      </c>
      <c r="M32" s="143">
        <v>1.66</v>
      </c>
      <c r="N32" s="143">
        <v>4</v>
      </c>
      <c r="O32" s="143">
        <v>4</v>
      </c>
      <c r="P32" s="143">
        <v>110</v>
      </c>
      <c r="Q32" s="143" t="s">
        <v>22</v>
      </c>
      <c r="R32" s="166">
        <v>1.2</v>
      </c>
    </row>
    <row r="33" spans="2:18" x14ac:dyDescent="0.3">
      <c r="B33" s="135"/>
      <c r="C33" s="222"/>
      <c r="D33" s="144"/>
      <c r="E33" s="144"/>
      <c r="F33" s="148"/>
      <c r="G33" s="148"/>
      <c r="H33" s="148"/>
      <c r="I33" s="148"/>
      <c r="J33" s="167"/>
      <c r="K33" s="222"/>
      <c r="L33" s="168"/>
      <c r="M33" s="168"/>
      <c r="N33" s="169"/>
      <c r="O33" s="169"/>
      <c r="P33" s="169"/>
      <c r="Q33" s="170"/>
      <c r="R33" s="167"/>
    </row>
    <row r="34" spans="2:18" ht="15" customHeight="1" x14ac:dyDescent="0.3">
      <c r="B34" s="135"/>
      <c r="C34" s="149"/>
      <c r="D34" s="150"/>
      <c r="E34" s="150"/>
      <c r="F34" s="150"/>
      <c r="G34" s="150"/>
      <c r="H34" s="150"/>
      <c r="I34" s="150"/>
      <c r="L34" s="151"/>
      <c r="M34" s="152"/>
      <c r="Q34" s="153"/>
    </row>
    <row r="35" spans="2:18" ht="16.2" thickBot="1" x14ac:dyDescent="0.35">
      <c r="B35" s="154"/>
      <c r="C35" s="156"/>
      <c r="D35" s="157"/>
      <c r="E35" s="157"/>
      <c r="F35" s="157"/>
      <c r="G35" s="157"/>
      <c r="H35" s="157"/>
      <c r="I35" s="157"/>
      <c r="J35" s="155"/>
      <c r="K35" s="155"/>
      <c r="L35" s="158"/>
      <c r="M35" s="159"/>
      <c r="N35" s="155"/>
      <c r="O35" s="155"/>
      <c r="P35" s="155"/>
      <c r="Q35" s="160"/>
    </row>
    <row r="36" spans="2:18" ht="15" customHeight="1" thickBot="1" x14ac:dyDescent="0.35">
      <c r="B36" s="161"/>
      <c r="C36" s="132"/>
      <c r="D36" s="133"/>
      <c r="E36" s="133"/>
      <c r="F36" s="133"/>
      <c r="G36" s="133"/>
      <c r="H36" s="133"/>
      <c r="I36" s="133"/>
      <c r="J36" s="133"/>
      <c r="K36" s="132"/>
      <c r="L36" s="133"/>
      <c r="M36" s="133"/>
      <c r="N36" s="133"/>
      <c r="O36" s="133"/>
      <c r="P36" s="133"/>
      <c r="Q36" s="134"/>
    </row>
    <row r="37" spans="2:18" x14ac:dyDescent="0.3">
      <c r="B37" s="135"/>
      <c r="C37" s="136" t="s">
        <v>3</v>
      </c>
      <c r="D37" s="136" t="s">
        <v>4</v>
      </c>
      <c r="E37" s="136" t="s">
        <v>5</v>
      </c>
      <c r="F37" s="137" t="s">
        <v>91</v>
      </c>
      <c r="G37" s="137" t="s">
        <v>7</v>
      </c>
      <c r="H37" s="137" t="s">
        <v>8</v>
      </c>
      <c r="I37" s="137" t="s">
        <v>92</v>
      </c>
      <c r="K37" s="136" t="s">
        <v>3</v>
      </c>
      <c r="L37" s="136" t="s">
        <v>4</v>
      </c>
      <c r="M37" s="136" t="s">
        <v>5</v>
      </c>
      <c r="N37" s="162" t="s">
        <v>91</v>
      </c>
      <c r="O37" s="162" t="s">
        <v>7</v>
      </c>
      <c r="P37" s="162" t="s">
        <v>8</v>
      </c>
      <c r="Q37" s="162" t="s">
        <v>92</v>
      </c>
    </row>
    <row r="38" spans="2:18" x14ac:dyDescent="0.3">
      <c r="B38" s="135"/>
      <c r="C38" s="222" t="s">
        <v>37</v>
      </c>
      <c r="D38" s="141">
        <v>0</v>
      </c>
      <c r="E38" s="143">
        <v>1.99</v>
      </c>
      <c r="F38" s="148">
        <v>10</v>
      </c>
      <c r="G38" s="148">
        <v>83</v>
      </c>
      <c r="H38" s="148">
        <v>3500</v>
      </c>
      <c r="I38" s="148">
        <v>10</v>
      </c>
      <c r="K38" s="222" t="s">
        <v>37</v>
      </c>
      <c r="L38" s="141">
        <v>0</v>
      </c>
      <c r="M38" s="144">
        <v>3.92</v>
      </c>
      <c r="N38" s="143">
        <v>5</v>
      </c>
      <c r="O38" s="143">
        <v>80</v>
      </c>
      <c r="P38" s="143">
        <v>3000</v>
      </c>
      <c r="Q38" s="143">
        <v>10</v>
      </c>
    </row>
    <row r="39" spans="2:18" x14ac:dyDescent="0.3">
      <c r="B39" s="135"/>
      <c r="C39" s="222"/>
      <c r="D39" s="141">
        <v>1</v>
      </c>
      <c r="E39" s="143">
        <v>0.19</v>
      </c>
      <c r="F39" s="148" t="s">
        <v>22</v>
      </c>
      <c r="G39" s="148">
        <v>36</v>
      </c>
      <c r="H39" s="148">
        <v>600</v>
      </c>
      <c r="I39" s="148" t="s">
        <v>22</v>
      </c>
      <c r="K39" s="222"/>
      <c r="L39" s="141">
        <v>1</v>
      </c>
      <c r="M39" s="146">
        <v>0.3</v>
      </c>
      <c r="N39" s="143">
        <v>4</v>
      </c>
      <c r="O39" s="143">
        <v>12</v>
      </c>
      <c r="P39" s="143">
        <v>220</v>
      </c>
      <c r="Q39" s="143">
        <v>4</v>
      </c>
    </row>
    <row r="40" spans="2:18" ht="13.95" customHeight="1" x14ac:dyDescent="0.3">
      <c r="B40" s="147" t="s">
        <v>17</v>
      </c>
      <c r="C40" s="222"/>
      <c r="D40" s="141">
        <v>3</v>
      </c>
      <c r="E40" s="143">
        <v>0.17</v>
      </c>
      <c r="F40" s="148" t="s">
        <v>22</v>
      </c>
      <c r="G40" s="148">
        <v>4</v>
      </c>
      <c r="H40" s="148">
        <v>330</v>
      </c>
      <c r="I40" s="148" t="s">
        <v>22</v>
      </c>
      <c r="K40" s="222"/>
      <c r="L40" s="141">
        <v>3</v>
      </c>
      <c r="M40" s="143">
        <v>0.28999999999999998</v>
      </c>
      <c r="N40" s="143">
        <v>4</v>
      </c>
      <c r="O40" s="143">
        <v>4</v>
      </c>
      <c r="P40" s="143">
        <v>76</v>
      </c>
      <c r="Q40" s="143" t="s">
        <v>22</v>
      </c>
    </row>
    <row r="41" spans="2:18" x14ac:dyDescent="0.3">
      <c r="B41" s="135"/>
      <c r="C41" s="222"/>
      <c r="D41" s="141">
        <v>5</v>
      </c>
      <c r="E41" s="143">
        <v>0.11</v>
      </c>
      <c r="F41" s="148" t="s">
        <v>22</v>
      </c>
      <c r="G41" s="148">
        <v>12</v>
      </c>
      <c r="H41" s="148">
        <v>170</v>
      </c>
      <c r="I41" s="148" t="s">
        <v>22</v>
      </c>
      <c r="K41" s="222"/>
      <c r="L41" s="141">
        <v>5</v>
      </c>
      <c r="M41" s="143">
        <v>0.32</v>
      </c>
      <c r="N41" s="143" t="s">
        <v>22</v>
      </c>
      <c r="O41" s="143">
        <v>4</v>
      </c>
      <c r="P41" s="143">
        <v>172</v>
      </c>
      <c r="Q41" s="143" t="s">
        <v>22</v>
      </c>
    </row>
    <row r="42" spans="2:18" x14ac:dyDescent="0.3">
      <c r="B42" s="135"/>
      <c r="C42" s="222"/>
      <c r="D42" s="141">
        <v>10</v>
      </c>
      <c r="E42" s="143">
        <v>0.11</v>
      </c>
      <c r="F42" s="148" t="s">
        <v>22</v>
      </c>
      <c r="G42" s="148">
        <v>4</v>
      </c>
      <c r="H42" s="148">
        <v>60</v>
      </c>
      <c r="I42" s="148" t="s">
        <v>22</v>
      </c>
      <c r="K42" s="222"/>
      <c r="L42" s="141">
        <v>10</v>
      </c>
      <c r="M42" s="143">
        <v>0.16</v>
      </c>
      <c r="N42" s="143" t="s">
        <v>22</v>
      </c>
      <c r="O42" s="143" t="s">
        <v>22</v>
      </c>
      <c r="P42" s="143">
        <v>20</v>
      </c>
      <c r="Q42" s="143" t="s">
        <v>22</v>
      </c>
    </row>
    <row r="43" spans="2:18" x14ac:dyDescent="0.3">
      <c r="B43" s="135"/>
      <c r="C43" s="222"/>
      <c r="D43" s="141">
        <v>30</v>
      </c>
      <c r="E43" s="143">
        <v>0.12</v>
      </c>
      <c r="F43" s="148" t="s">
        <v>22</v>
      </c>
      <c r="G43" s="148" t="s">
        <v>22</v>
      </c>
      <c r="H43" s="148">
        <v>560</v>
      </c>
      <c r="I43" s="148" t="s">
        <v>22</v>
      </c>
      <c r="K43" s="222"/>
      <c r="L43" s="141">
        <v>30</v>
      </c>
      <c r="M43" s="143">
        <v>0.22</v>
      </c>
      <c r="N43" s="143">
        <v>4</v>
      </c>
      <c r="O43" s="143">
        <v>4</v>
      </c>
      <c r="P43" s="143">
        <v>110</v>
      </c>
      <c r="Q43" s="143" t="s">
        <v>22</v>
      </c>
    </row>
    <row r="44" spans="2:18" x14ac:dyDescent="0.3">
      <c r="B44" s="135"/>
      <c r="C44" s="222"/>
      <c r="D44" s="144"/>
      <c r="E44" s="144"/>
      <c r="F44" s="148"/>
      <c r="G44" s="148"/>
      <c r="H44" s="148"/>
      <c r="I44" s="148"/>
      <c r="K44" s="222"/>
      <c r="L44" s="144"/>
      <c r="M44" s="144"/>
      <c r="N44" s="148"/>
      <c r="O44" s="148"/>
      <c r="P44" s="148"/>
      <c r="Q44" s="148"/>
    </row>
    <row r="45" spans="2:18" x14ac:dyDescent="0.3">
      <c r="B45" s="135"/>
      <c r="C45" s="150"/>
      <c r="D45" s="151"/>
      <c r="E45" s="151"/>
      <c r="F45" s="171"/>
      <c r="G45" s="171"/>
      <c r="H45" s="171"/>
      <c r="I45" s="171"/>
      <c r="K45" s="150"/>
      <c r="L45" s="151"/>
      <c r="M45" s="151"/>
      <c r="N45" s="171"/>
      <c r="O45" s="171"/>
      <c r="P45" s="171"/>
      <c r="Q45" s="172"/>
    </row>
    <row r="46" spans="2:18" ht="16.2" thickBot="1" x14ac:dyDescent="0.35">
      <c r="B46" s="154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60"/>
    </row>
    <row r="49" ht="15" customHeight="1" x14ac:dyDescent="0.3"/>
    <row r="52" ht="14.25" customHeight="1" x14ac:dyDescent="0.3"/>
    <row r="54" ht="15" customHeight="1" x14ac:dyDescent="0.3"/>
    <row r="67" ht="14.25" customHeight="1" x14ac:dyDescent="0.3"/>
    <row r="69" ht="14.25" customHeight="1" x14ac:dyDescent="0.3"/>
    <row r="105" ht="14.25" customHeight="1" x14ac:dyDescent="0.3"/>
    <row r="107" ht="15" customHeight="1" x14ac:dyDescent="0.3"/>
    <row r="120" ht="14.25" customHeight="1" x14ac:dyDescent="0.3"/>
    <row r="122" ht="14.25" customHeight="1" x14ac:dyDescent="0.3"/>
    <row r="158" ht="14.25" customHeight="1" x14ac:dyDescent="0.3"/>
    <row r="160" ht="15" customHeight="1" x14ac:dyDescent="0.3"/>
    <row r="173" ht="14.25" customHeight="1" x14ac:dyDescent="0.3"/>
    <row r="175" ht="14.25" customHeight="1" x14ac:dyDescent="0.3"/>
  </sheetData>
  <mergeCells count="8">
    <mergeCell ref="C4:C10"/>
    <mergeCell ref="K4:K10"/>
    <mergeCell ref="C38:C44"/>
    <mergeCell ref="K38:K44"/>
    <mergeCell ref="C27:C33"/>
    <mergeCell ref="K27:K33"/>
    <mergeCell ref="C16:C22"/>
    <mergeCell ref="K16:K2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707C-3F0C-44B7-A24E-B43F835EA37E}">
  <dimension ref="A1:W175"/>
  <sheetViews>
    <sheetView topLeftCell="A12" zoomScale="70" zoomScaleNormal="70" workbookViewId="0">
      <selection activeCell="S44" sqref="S44"/>
    </sheetView>
  </sheetViews>
  <sheetFormatPr defaultColWidth="9.109375" defaultRowHeight="15.6" x14ac:dyDescent="0.3"/>
  <cols>
    <col min="1" max="1" width="25.88671875" style="130" customWidth="1"/>
    <col min="2" max="2" width="14.88671875" style="130" customWidth="1"/>
    <col min="3" max="3" width="19" style="130" customWidth="1"/>
    <col min="4" max="22" width="12.6640625" style="130" customWidth="1"/>
    <col min="23" max="27" width="9.109375" style="130"/>
    <col min="28" max="28" width="14.33203125" style="130" bestFit="1" customWidth="1"/>
    <col min="29" max="16384" width="9.109375" style="130"/>
  </cols>
  <sheetData>
    <row r="1" spans="1:23" ht="16.2" thickBot="1" x14ac:dyDescent="0.35">
      <c r="A1" s="129" t="s">
        <v>34</v>
      </c>
    </row>
    <row r="2" spans="1:23" ht="33" customHeight="1" thickBot="1" x14ac:dyDescent="0.35">
      <c r="A2" s="131" t="s">
        <v>35</v>
      </c>
      <c r="B2" s="161" t="s">
        <v>90</v>
      </c>
      <c r="C2" s="132"/>
      <c r="D2" s="133"/>
      <c r="E2" s="133"/>
      <c r="F2" s="133"/>
      <c r="G2" s="133"/>
      <c r="H2" s="133"/>
      <c r="I2" s="133"/>
      <c r="J2" s="133"/>
      <c r="K2" s="132"/>
      <c r="L2" s="133"/>
      <c r="M2" s="133"/>
      <c r="N2" s="133"/>
      <c r="O2" s="133"/>
      <c r="P2" s="133"/>
      <c r="Q2" s="134"/>
    </row>
    <row r="3" spans="1:23" s="174" customFormat="1" ht="62.4" x14ac:dyDescent="0.3">
      <c r="A3" s="173" t="s">
        <v>36</v>
      </c>
      <c r="B3" s="135"/>
      <c r="C3" s="175" t="s">
        <v>3</v>
      </c>
      <c r="D3" s="176" t="s">
        <v>4</v>
      </c>
      <c r="E3" s="176" t="s">
        <v>5</v>
      </c>
      <c r="F3" s="177" t="s">
        <v>91</v>
      </c>
      <c r="G3" s="177" t="s">
        <v>7</v>
      </c>
      <c r="H3" s="177" t="s">
        <v>8</v>
      </c>
      <c r="I3" s="177" t="s">
        <v>92</v>
      </c>
      <c r="K3" s="175" t="s">
        <v>3</v>
      </c>
      <c r="L3" s="175" t="s">
        <v>4</v>
      </c>
      <c r="M3" s="175" t="s">
        <v>5</v>
      </c>
      <c r="N3" s="177" t="s">
        <v>91</v>
      </c>
      <c r="O3" s="177" t="s">
        <v>7</v>
      </c>
      <c r="P3" s="177" t="s">
        <v>8</v>
      </c>
      <c r="Q3" s="178" t="s">
        <v>92</v>
      </c>
      <c r="S3" s="179"/>
      <c r="U3" s="179"/>
      <c r="W3" s="179"/>
    </row>
    <row r="4" spans="1:23" x14ac:dyDescent="0.3">
      <c r="A4" s="140">
        <v>45299</v>
      </c>
      <c r="B4" s="135"/>
      <c r="C4" s="222" t="s">
        <v>37</v>
      </c>
      <c r="D4" s="141">
        <v>0</v>
      </c>
      <c r="E4" s="142">
        <v>1.01</v>
      </c>
      <c r="F4" s="143">
        <v>20</v>
      </c>
      <c r="G4" s="143">
        <v>75</v>
      </c>
      <c r="H4" s="143">
        <v>1000</v>
      </c>
      <c r="I4" s="143">
        <v>10</v>
      </c>
      <c r="K4" s="222" t="s">
        <v>37</v>
      </c>
      <c r="L4" s="141">
        <v>0</v>
      </c>
      <c r="M4" s="144">
        <v>1.94</v>
      </c>
      <c r="N4" s="145">
        <v>17.5</v>
      </c>
      <c r="O4" s="143">
        <v>50</v>
      </c>
      <c r="P4" s="143">
        <v>2000</v>
      </c>
      <c r="Q4" s="143">
        <v>5</v>
      </c>
      <c r="S4" s="139"/>
      <c r="U4" s="139"/>
    </row>
    <row r="5" spans="1:23" x14ac:dyDescent="0.3">
      <c r="B5" s="135"/>
      <c r="C5" s="222"/>
      <c r="D5" s="141">
        <v>1</v>
      </c>
      <c r="E5" s="146">
        <v>0.88</v>
      </c>
      <c r="F5" s="143">
        <v>4</v>
      </c>
      <c r="G5" s="143">
        <v>28</v>
      </c>
      <c r="H5" s="143">
        <v>1500</v>
      </c>
      <c r="I5" s="143">
        <v>12</v>
      </c>
      <c r="K5" s="222"/>
      <c r="L5" s="141">
        <v>1</v>
      </c>
      <c r="M5" s="143">
        <v>1.77</v>
      </c>
      <c r="N5" s="143" t="s">
        <v>22</v>
      </c>
      <c r="O5" s="143">
        <v>4</v>
      </c>
      <c r="P5" s="143">
        <v>440</v>
      </c>
      <c r="Q5" s="143" t="s">
        <v>22</v>
      </c>
    </row>
    <row r="6" spans="1:23" x14ac:dyDescent="0.3">
      <c r="A6" s="129" t="s">
        <v>38</v>
      </c>
      <c r="B6" s="147" t="s">
        <v>12</v>
      </c>
      <c r="C6" s="222"/>
      <c r="D6" s="141">
        <v>3</v>
      </c>
      <c r="E6" s="146">
        <v>0.83</v>
      </c>
      <c r="F6" s="143" t="s">
        <v>22</v>
      </c>
      <c r="G6" s="143" t="s">
        <v>22</v>
      </c>
      <c r="H6" s="143">
        <v>472</v>
      </c>
      <c r="I6" s="143" t="s">
        <v>22</v>
      </c>
      <c r="K6" s="222"/>
      <c r="L6" s="141">
        <v>3</v>
      </c>
      <c r="M6" s="143">
        <v>1.64</v>
      </c>
      <c r="N6" s="143" t="s">
        <v>22</v>
      </c>
      <c r="O6" s="143">
        <v>4</v>
      </c>
      <c r="P6" s="143">
        <v>84</v>
      </c>
      <c r="Q6" s="143" t="s">
        <v>22</v>
      </c>
    </row>
    <row r="7" spans="1:23" x14ac:dyDescent="0.3">
      <c r="B7" s="135"/>
      <c r="C7" s="222"/>
      <c r="D7" s="141">
        <v>5</v>
      </c>
      <c r="E7" s="146">
        <v>0.8</v>
      </c>
      <c r="F7" s="143" t="s">
        <v>22</v>
      </c>
      <c r="G7" s="143" t="s">
        <v>22</v>
      </c>
      <c r="H7" s="143">
        <v>120</v>
      </c>
      <c r="I7" s="143" t="s">
        <v>22</v>
      </c>
      <c r="K7" s="222"/>
      <c r="L7" s="141">
        <v>5</v>
      </c>
      <c r="M7" s="143">
        <v>1.59</v>
      </c>
      <c r="N7" s="143" t="s">
        <v>22</v>
      </c>
      <c r="O7" s="143">
        <v>7</v>
      </c>
      <c r="P7" s="143">
        <v>191</v>
      </c>
      <c r="Q7" s="143" t="s">
        <v>22</v>
      </c>
    </row>
    <row r="8" spans="1:23" x14ac:dyDescent="0.3">
      <c r="B8" s="135"/>
      <c r="C8" s="222"/>
      <c r="D8" s="141">
        <v>10</v>
      </c>
      <c r="E8" s="146">
        <v>0.73</v>
      </c>
      <c r="F8" s="143">
        <v>1</v>
      </c>
      <c r="G8" s="143">
        <v>1</v>
      </c>
      <c r="H8" s="143">
        <v>78</v>
      </c>
      <c r="I8" s="143" t="s">
        <v>24</v>
      </c>
      <c r="K8" s="222"/>
      <c r="L8" s="141">
        <v>10</v>
      </c>
      <c r="M8" s="143">
        <v>1.45</v>
      </c>
      <c r="N8" s="143" t="s">
        <v>24</v>
      </c>
      <c r="O8" s="143">
        <v>1</v>
      </c>
      <c r="P8" s="143">
        <v>57</v>
      </c>
      <c r="Q8" s="143" t="s">
        <v>24</v>
      </c>
    </row>
    <row r="9" spans="1:23" x14ac:dyDescent="0.3">
      <c r="B9" s="135"/>
      <c r="C9" s="222"/>
      <c r="D9" s="141">
        <v>30</v>
      </c>
      <c r="E9" s="146">
        <v>0.55000000000000004</v>
      </c>
      <c r="F9" s="143">
        <v>1</v>
      </c>
      <c r="G9" s="143">
        <v>2</v>
      </c>
      <c r="H9" s="143">
        <v>46</v>
      </c>
      <c r="I9" s="143" t="s">
        <v>24</v>
      </c>
      <c r="K9" s="222"/>
      <c r="L9" s="141">
        <v>30</v>
      </c>
      <c r="M9" s="143">
        <v>1.0900000000000001</v>
      </c>
      <c r="N9" s="143">
        <v>2</v>
      </c>
      <c r="O9" s="143">
        <v>2</v>
      </c>
      <c r="P9" s="143">
        <v>84</v>
      </c>
      <c r="Q9" s="143" t="s">
        <v>24</v>
      </c>
    </row>
    <row r="10" spans="1:23" x14ac:dyDescent="0.3">
      <c r="B10" s="135"/>
      <c r="C10" s="222"/>
      <c r="D10" s="144"/>
      <c r="E10" s="144"/>
      <c r="F10" s="148"/>
      <c r="G10" s="148"/>
      <c r="H10" s="148"/>
      <c r="I10" s="148"/>
      <c r="K10" s="222"/>
      <c r="L10" s="144"/>
      <c r="M10" s="144"/>
      <c r="N10" s="148"/>
      <c r="O10" s="148"/>
      <c r="P10" s="148"/>
      <c r="Q10" s="148"/>
    </row>
    <row r="11" spans="1:23" x14ac:dyDescent="0.3">
      <c r="B11" s="135"/>
      <c r="C11" s="149"/>
      <c r="D11" s="150"/>
      <c r="E11" s="150"/>
      <c r="F11" s="150"/>
      <c r="G11" s="150"/>
      <c r="H11" s="150"/>
      <c r="I11" s="150"/>
      <c r="L11" s="151"/>
      <c r="M11" s="152"/>
      <c r="Q11" s="153"/>
    </row>
    <row r="12" spans="1:23" x14ac:dyDescent="0.3">
      <c r="B12" s="135"/>
      <c r="C12" s="149"/>
      <c r="D12" s="150"/>
      <c r="E12" s="150"/>
      <c r="F12" s="150"/>
      <c r="G12" s="150"/>
      <c r="H12" s="150"/>
      <c r="I12" s="150"/>
      <c r="L12" s="151"/>
      <c r="M12" s="152"/>
      <c r="Q12" s="153"/>
    </row>
    <row r="13" spans="1:23" ht="16.2" thickBot="1" x14ac:dyDescent="0.35">
      <c r="B13" s="154"/>
      <c r="C13" s="156"/>
      <c r="D13" s="157"/>
      <c r="E13" s="157"/>
      <c r="F13" s="157"/>
      <c r="G13" s="157"/>
      <c r="H13" s="157"/>
      <c r="I13" s="157"/>
      <c r="J13" s="155"/>
      <c r="K13" s="155"/>
      <c r="L13" s="158"/>
      <c r="M13" s="159"/>
      <c r="N13" s="155"/>
      <c r="O13" s="155"/>
      <c r="P13" s="155"/>
      <c r="Q13" s="160"/>
    </row>
    <row r="14" spans="1:23" ht="16.2" thickBot="1" x14ac:dyDescent="0.35">
      <c r="B14" s="161"/>
      <c r="C14" s="132"/>
      <c r="D14" s="133"/>
      <c r="E14" s="133"/>
      <c r="F14" s="133"/>
      <c r="G14" s="133"/>
      <c r="H14" s="133"/>
      <c r="I14" s="133"/>
      <c r="J14" s="133"/>
      <c r="K14" s="132"/>
      <c r="L14" s="133"/>
      <c r="M14" s="133"/>
      <c r="N14" s="133"/>
      <c r="O14" s="133"/>
      <c r="P14" s="133"/>
      <c r="Q14" s="134"/>
    </row>
    <row r="15" spans="1:23" s="174" customFormat="1" ht="62.4" x14ac:dyDescent="0.3">
      <c r="B15" s="135"/>
      <c r="C15" s="175" t="s">
        <v>3</v>
      </c>
      <c r="D15" s="175" t="s">
        <v>4</v>
      </c>
      <c r="E15" s="175" t="s">
        <v>5</v>
      </c>
      <c r="F15" s="177" t="s">
        <v>91</v>
      </c>
      <c r="G15" s="177" t="s">
        <v>7</v>
      </c>
      <c r="H15" s="177" t="s">
        <v>8</v>
      </c>
      <c r="I15" s="177" t="s">
        <v>92</v>
      </c>
      <c r="K15" s="175" t="s">
        <v>3</v>
      </c>
      <c r="L15" s="175" t="s">
        <v>4</v>
      </c>
      <c r="M15" s="175" t="s">
        <v>5</v>
      </c>
      <c r="N15" s="177" t="s">
        <v>91</v>
      </c>
      <c r="O15" s="177" t="s">
        <v>7</v>
      </c>
      <c r="P15" s="177" t="s">
        <v>8</v>
      </c>
      <c r="Q15" s="178" t="s">
        <v>92</v>
      </c>
    </row>
    <row r="16" spans="1:23" ht="15" customHeight="1" x14ac:dyDescent="0.3">
      <c r="B16" s="135"/>
      <c r="C16" s="222" t="s">
        <v>37</v>
      </c>
      <c r="D16" s="141">
        <v>0</v>
      </c>
      <c r="E16" s="142">
        <v>2.1</v>
      </c>
      <c r="F16" s="143">
        <v>25</v>
      </c>
      <c r="G16" s="143">
        <v>70</v>
      </c>
      <c r="H16" s="143">
        <v>3500</v>
      </c>
      <c r="I16" s="143">
        <v>15</v>
      </c>
      <c r="K16" s="222" t="s">
        <v>37</v>
      </c>
      <c r="L16" s="141">
        <v>0</v>
      </c>
      <c r="M16" s="144">
        <v>4.1399999999999997</v>
      </c>
      <c r="N16" s="143">
        <v>35</v>
      </c>
      <c r="O16" s="143">
        <v>45</v>
      </c>
      <c r="P16" s="143">
        <v>2000</v>
      </c>
      <c r="Q16" s="143">
        <v>5</v>
      </c>
    </row>
    <row r="17" spans="2:18" ht="15.75" customHeight="1" x14ac:dyDescent="0.3">
      <c r="B17" s="147" t="s">
        <v>13</v>
      </c>
      <c r="C17" s="222"/>
      <c r="D17" s="141">
        <v>1</v>
      </c>
      <c r="E17" s="146">
        <v>1.99</v>
      </c>
      <c r="F17" s="143">
        <v>12</v>
      </c>
      <c r="G17" s="143">
        <v>100</v>
      </c>
      <c r="H17" s="143">
        <v>30000</v>
      </c>
      <c r="I17" s="143" t="s">
        <v>22</v>
      </c>
      <c r="K17" s="222"/>
      <c r="L17" s="141">
        <v>1</v>
      </c>
      <c r="M17" s="143">
        <v>3.89</v>
      </c>
      <c r="N17" s="143">
        <v>4</v>
      </c>
      <c r="O17" s="143">
        <v>100</v>
      </c>
      <c r="P17" s="143">
        <v>5600</v>
      </c>
      <c r="Q17" s="143">
        <v>28</v>
      </c>
    </row>
    <row r="18" spans="2:18" ht="14.25" customHeight="1" x14ac:dyDescent="0.3">
      <c r="B18" s="135"/>
      <c r="C18" s="222"/>
      <c r="D18" s="141">
        <v>3</v>
      </c>
      <c r="E18" s="146">
        <v>1.95</v>
      </c>
      <c r="F18" s="143">
        <v>12</v>
      </c>
      <c r="G18" s="143">
        <v>170</v>
      </c>
      <c r="H18" s="143">
        <v>32000</v>
      </c>
      <c r="I18" s="143">
        <v>8</v>
      </c>
      <c r="K18" s="222"/>
      <c r="L18" s="141">
        <v>3</v>
      </c>
      <c r="M18" s="143">
        <v>3.84</v>
      </c>
      <c r="N18" s="143">
        <v>12</v>
      </c>
      <c r="O18" s="143">
        <v>44</v>
      </c>
      <c r="P18" s="143">
        <v>22000</v>
      </c>
      <c r="Q18" s="143">
        <v>4</v>
      </c>
    </row>
    <row r="19" spans="2:18" x14ac:dyDescent="0.3">
      <c r="B19" s="135"/>
      <c r="C19" s="222"/>
      <c r="D19" s="141">
        <v>5</v>
      </c>
      <c r="E19" s="146">
        <v>1.91</v>
      </c>
      <c r="F19" s="143">
        <v>4</v>
      </c>
      <c r="G19" s="143">
        <v>140</v>
      </c>
      <c r="H19" s="143">
        <v>25000</v>
      </c>
      <c r="I19" s="143">
        <v>4</v>
      </c>
      <c r="K19" s="222"/>
      <c r="L19" s="141">
        <v>5</v>
      </c>
      <c r="M19" s="143">
        <v>3.82</v>
      </c>
      <c r="N19" s="143">
        <v>4</v>
      </c>
      <c r="O19" s="143">
        <v>34</v>
      </c>
      <c r="P19" s="143">
        <v>4100</v>
      </c>
      <c r="Q19" s="143" t="s">
        <v>22</v>
      </c>
    </row>
    <row r="20" spans="2:18" x14ac:dyDescent="0.3">
      <c r="B20" s="135"/>
      <c r="C20" s="222"/>
      <c r="D20" s="141">
        <v>10</v>
      </c>
      <c r="E20" s="146">
        <v>1.83</v>
      </c>
      <c r="F20" s="143" t="s">
        <v>22</v>
      </c>
      <c r="G20" s="143">
        <v>120</v>
      </c>
      <c r="H20" s="143">
        <v>11000</v>
      </c>
      <c r="I20" s="143" t="s">
        <v>22</v>
      </c>
      <c r="K20" s="222"/>
      <c r="L20" s="141">
        <v>10</v>
      </c>
      <c r="M20" s="143">
        <v>3.74</v>
      </c>
      <c r="N20" s="143" t="s">
        <v>22</v>
      </c>
      <c r="O20" s="143">
        <v>28</v>
      </c>
      <c r="P20" s="143">
        <v>1000</v>
      </c>
      <c r="Q20" s="143" t="s">
        <v>22</v>
      </c>
    </row>
    <row r="21" spans="2:18" x14ac:dyDescent="0.3">
      <c r="B21" s="135"/>
      <c r="C21" s="222"/>
      <c r="D21" s="141">
        <v>30</v>
      </c>
      <c r="E21" s="146">
        <v>1.77</v>
      </c>
      <c r="F21" s="143" t="s">
        <v>22</v>
      </c>
      <c r="G21" s="143">
        <v>20</v>
      </c>
      <c r="H21" s="143">
        <v>9100</v>
      </c>
      <c r="I21" s="143" t="s">
        <v>22</v>
      </c>
      <c r="K21" s="222"/>
      <c r="L21" s="141">
        <v>30</v>
      </c>
      <c r="M21" s="143">
        <v>3.52</v>
      </c>
      <c r="N21" s="143">
        <v>4</v>
      </c>
      <c r="O21" s="143">
        <v>4</v>
      </c>
      <c r="P21" s="143">
        <v>1800</v>
      </c>
      <c r="Q21" s="143" t="s">
        <v>22</v>
      </c>
    </row>
    <row r="22" spans="2:18" x14ac:dyDescent="0.3">
      <c r="B22" s="135"/>
      <c r="C22" s="222"/>
      <c r="D22" s="144"/>
      <c r="E22" s="144"/>
      <c r="F22" s="148"/>
      <c r="G22" s="148"/>
      <c r="H22" s="148"/>
      <c r="I22" s="148"/>
      <c r="K22" s="222"/>
      <c r="L22" s="144"/>
      <c r="M22" s="144"/>
      <c r="N22" s="148"/>
      <c r="O22" s="148"/>
      <c r="P22" s="148"/>
      <c r="Q22" s="148"/>
    </row>
    <row r="23" spans="2:18" x14ac:dyDescent="0.3">
      <c r="B23" s="135"/>
      <c r="C23" s="149"/>
      <c r="D23" s="150"/>
      <c r="E23" s="150"/>
      <c r="F23" s="150"/>
      <c r="G23" s="150"/>
      <c r="H23" s="150"/>
      <c r="I23" s="150"/>
      <c r="L23" s="151"/>
      <c r="M23" s="152"/>
      <c r="Q23" s="153"/>
    </row>
    <row r="24" spans="2:18" ht="16.2" thickBot="1" x14ac:dyDescent="0.35">
      <c r="B24" s="154"/>
      <c r="C24" s="156"/>
      <c r="D24" s="157"/>
      <c r="E24" s="157"/>
      <c r="F24" s="157"/>
      <c r="G24" s="157"/>
      <c r="H24" s="157"/>
      <c r="I24" s="157"/>
      <c r="J24" s="155"/>
      <c r="K24" s="155"/>
      <c r="L24" s="158"/>
      <c r="M24" s="159"/>
      <c r="N24" s="155"/>
      <c r="O24" s="155"/>
      <c r="P24" s="155"/>
      <c r="Q24" s="160"/>
    </row>
    <row r="25" spans="2:18" ht="16.2" thickBot="1" x14ac:dyDescent="0.35">
      <c r="B25" s="161"/>
      <c r="C25" s="132"/>
      <c r="D25" s="133"/>
      <c r="E25" s="133"/>
      <c r="F25" s="133"/>
      <c r="G25" s="133"/>
      <c r="H25" s="133"/>
      <c r="I25" s="133"/>
      <c r="J25" s="133"/>
      <c r="K25" s="132"/>
      <c r="L25" s="133"/>
      <c r="M25" s="133"/>
      <c r="N25" s="133"/>
      <c r="O25" s="133"/>
      <c r="P25" s="133"/>
      <c r="Q25" s="134"/>
    </row>
    <row r="26" spans="2:18" s="174" customFormat="1" ht="62.4" x14ac:dyDescent="0.3">
      <c r="B26" s="135"/>
      <c r="C26" s="175" t="s">
        <v>3</v>
      </c>
      <c r="D26" s="175" t="s">
        <v>4</v>
      </c>
      <c r="E26" s="175" t="s">
        <v>5</v>
      </c>
      <c r="F26" s="177" t="s">
        <v>91</v>
      </c>
      <c r="G26" s="177" t="s">
        <v>7</v>
      </c>
      <c r="H26" s="177" t="s">
        <v>8</v>
      </c>
      <c r="I26" s="177" t="s">
        <v>92</v>
      </c>
      <c r="J26" s="180" t="s">
        <v>14</v>
      </c>
      <c r="K26" s="175" t="s">
        <v>3</v>
      </c>
      <c r="L26" s="175" t="s">
        <v>4</v>
      </c>
      <c r="M26" s="175" t="s">
        <v>5</v>
      </c>
      <c r="N26" s="177" t="s">
        <v>91</v>
      </c>
      <c r="O26" s="177" t="s">
        <v>7</v>
      </c>
      <c r="P26" s="177" t="s">
        <v>8</v>
      </c>
      <c r="Q26" s="178" t="s">
        <v>92</v>
      </c>
      <c r="R26" s="180" t="s">
        <v>14</v>
      </c>
    </row>
    <row r="27" spans="2:18" x14ac:dyDescent="0.3">
      <c r="B27" s="135"/>
      <c r="C27" s="222" t="s">
        <v>37</v>
      </c>
      <c r="D27" s="141">
        <v>0</v>
      </c>
      <c r="E27" s="144">
        <v>1.99</v>
      </c>
      <c r="F27" s="143">
        <v>10</v>
      </c>
      <c r="G27" s="143">
        <v>83</v>
      </c>
      <c r="H27" s="143">
        <v>3500</v>
      </c>
      <c r="I27" s="143">
        <v>10</v>
      </c>
      <c r="J27" s="163"/>
      <c r="K27" s="222" t="s">
        <v>37</v>
      </c>
      <c r="L27" s="141">
        <v>0</v>
      </c>
      <c r="M27" s="144">
        <v>3.92</v>
      </c>
      <c r="N27" s="143">
        <v>5</v>
      </c>
      <c r="O27" s="143">
        <v>80</v>
      </c>
      <c r="P27" s="143">
        <v>3000</v>
      </c>
      <c r="Q27" s="143">
        <v>10</v>
      </c>
      <c r="R27" s="163"/>
    </row>
    <row r="28" spans="2:18" ht="15" customHeight="1" x14ac:dyDescent="0.3">
      <c r="B28" s="147" t="s">
        <v>15</v>
      </c>
      <c r="C28" s="222"/>
      <c r="D28" s="141">
        <v>1</v>
      </c>
      <c r="E28" s="143">
        <v>0.97</v>
      </c>
      <c r="F28" s="143" t="s">
        <v>22</v>
      </c>
      <c r="G28" s="143">
        <v>36</v>
      </c>
      <c r="H28" s="143">
        <v>600</v>
      </c>
      <c r="I28" s="143" t="s">
        <v>22</v>
      </c>
      <c r="J28" s="163"/>
      <c r="K28" s="222"/>
      <c r="L28" s="141">
        <v>1</v>
      </c>
      <c r="M28" s="143">
        <v>1.98</v>
      </c>
      <c r="N28" s="143">
        <v>4</v>
      </c>
      <c r="O28" s="143">
        <v>12</v>
      </c>
      <c r="P28" s="143">
        <v>220</v>
      </c>
      <c r="Q28" s="143">
        <v>4</v>
      </c>
      <c r="R28" s="163"/>
    </row>
    <row r="29" spans="2:18" x14ac:dyDescent="0.3">
      <c r="B29" s="135"/>
      <c r="C29" s="222"/>
      <c r="D29" s="141">
        <v>3</v>
      </c>
      <c r="E29" s="143">
        <v>0.95</v>
      </c>
      <c r="F29" s="143" t="s">
        <v>22</v>
      </c>
      <c r="G29" s="143">
        <v>4</v>
      </c>
      <c r="H29" s="143">
        <v>330</v>
      </c>
      <c r="I29" s="143" t="s">
        <v>22</v>
      </c>
      <c r="J29" s="163"/>
      <c r="K29" s="222"/>
      <c r="L29" s="141">
        <v>3</v>
      </c>
      <c r="M29" s="143">
        <v>1.92</v>
      </c>
      <c r="N29" s="143">
        <v>4</v>
      </c>
      <c r="O29" s="143">
        <v>4</v>
      </c>
      <c r="P29" s="143">
        <v>76</v>
      </c>
      <c r="Q29" s="143" t="s">
        <v>22</v>
      </c>
      <c r="R29" s="163"/>
    </row>
    <row r="30" spans="2:18" x14ac:dyDescent="0.3">
      <c r="B30" s="135"/>
      <c r="C30" s="222"/>
      <c r="D30" s="141">
        <v>5</v>
      </c>
      <c r="E30" s="143">
        <v>0.93</v>
      </c>
      <c r="F30" s="143" t="s">
        <v>22</v>
      </c>
      <c r="G30" s="143">
        <v>12</v>
      </c>
      <c r="H30" s="143">
        <v>170</v>
      </c>
      <c r="I30" s="143" t="s">
        <v>22</v>
      </c>
      <c r="J30" s="163"/>
      <c r="K30" s="222"/>
      <c r="L30" s="141">
        <v>5</v>
      </c>
      <c r="M30" s="143">
        <v>1.94</v>
      </c>
      <c r="N30" s="143" t="s">
        <v>22</v>
      </c>
      <c r="O30" s="143">
        <v>4</v>
      </c>
      <c r="P30" s="143">
        <v>172</v>
      </c>
      <c r="Q30" s="143" t="s">
        <v>22</v>
      </c>
      <c r="R30" s="163"/>
    </row>
    <row r="31" spans="2:18" x14ac:dyDescent="0.3">
      <c r="B31" s="135"/>
      <c r="C31" s="222"/>
      <c r="D31" s="141">
        <v>10</v>
      </c>
      <c r="E31" s="143">
        <v>0.91</v>
      </c>
      <c r="F31" s="143" t="s">
        <v>22</v>
      </c>
      <c r="G31" s="143">
        <v>4</v>
      </c>
      <c r="H31" s="143">
        <v>60</v>
      </c>
      <c r="I31" s="143" t="s">
        <v>22</v>
      </c>
      <c r="J31" s="164">
        <v>0.56999999999999995</v>
      </c>
      <c r="K31" s="222"/>
      <c r="L31" s="141">
        <v>10</v>
      </c>
      <c r="M31" s="143">
        <v>1.94</v>
      </c>
      <c r="N31" s="143" t="s">
        <v>22</v>
      </c>
      <c r="O31" s="143" t="s">
        <v>22</v>
      </c>
      <c r="P31" s="143">
        <v>20</v>
      </c>
      <c r="Q31" s="143" t="s">
        <v>22</v>
      </c>
      <c r="R31" s="165">
        <v>1.01</v>
      </c>
    </row>
    <row r="32" spans="2:18" x14ac:dyDescent="0.3">
      <c r="B32" s="135"/>
      <c r="C32" s="222"/>
      <c r="D32" s="141">
        <v>30</v>
      </c>
      <c r="E32" s="143">
        <v>0.82</v>
      </c>
      <c r="F32" s="143" t="s">
        <v>22</v>
      </c>
      <c r="G32" s="143" t="s">
        <v>22</v>
      </c>
      <c r="H32" s="143">
        <v>560</v>
      </c>
      <c r="I32" s="143" t="s">
        <v>22</v>
      </c>
      <c r="J32" s="164">
        <v>0.56000000000000005</v>
      </c>
      <c r="K32" s="222"/>
      <c r="L32" s="141">
        <v>30</v>
      </c>
      <c r="M32" s="143">
        <v>1.66</v>
      </c>
      <c r="N32" s="143">
        <v>4</v>
      </c>
      <c r="O32" s="143">
        <v>4</v>
      </c>
      <c r="P32" s="143">
        <v>110</v>
      </c>
      <c r="Q32" s="143" t="s">
        <v>22</v>
      </c>
      <c r="R32" s="166">
        <v>1.2</v>
      </c>
    </row>
    <row r="33" spans="2:18" x14ac:dyDescent="0.3">
      <c r="B33" s="135"/>
      <c r="C33" s="222"/>
      <c r="D33" s="144"/>
      <c r="E33" s="144"/>
      <c r="F33" s="148"/>
      <c r="G33" s="148"/>
      <c r="H33" s="148"/>
      <c r="I33" s="148"/>
      <c r="J33" s="167"/>
      <c r="K33" s="222"/>
      <c r="L33" s="168"/>
      <c r="M33" s="168"/>
      <c r="N33" s="169"/>
      <c r="O33" s="169"/>
      <c r="P33" s="169"/>
      <c r="Q33" s="170"/>
      <c r="R33" s="167"/>
    </row>
    <row r="34" spans="2:18" ht="15" customHeight="1" x14ac:dyDescent="0.3">
      <c r="B34" s="135"/>
      <c r="C34" s="149"/>
      <c r="D34" s="150"/>
      <c r="E34" s="150"/>
      <c r="F34" s="150"/>
      <c r="G34" s="150"/>
      <c r="H34" s="150"/>
      <c r="I34" s="150"/>
      <c r="L34" s="151"/>
      <c r="M34" s="152"/>
      <c r="Q34" s="153"/>
    </row>
    <row r="35" spans="2:18" ht="16.2" thickBot="1" x14ac:dyDescent="0.35">
      <c r="B35" s="154"/>
      <c r="C35" s="156"/>
      <c r="D35" s="157"/>
      <c r="E35" s="157"/>
      <c r="F35" s="157"/>
      <c r="G35" s="157"/>
      <c r="H35" s="157"/>
      <c r="I35" s="157"/>
      <c r="J35" s="155"/>
      <c r="K35" s="155"/>
      <c r="L35" s="158"/>
      <c r="M35" s="159"/>
      <c r="N35" s="155"/>
      <c r="O35" s="155"/>
      <c r="P35" s="155"/>
      <c r="Q35" s="160"/>
    </row>
    <row r="36" spans="2:18" ht="15" customHeight="1" thickBot="1" x14ac:dyDescent="0.35">
      <c r="B36" s="161"/>
      <c r="C36" s="132"/>
      <c r="D36" s="133"/>
      <c r="E36" s="133"/>
      <c r="F36" s="133"/>
      <c r="G36" s="133"/>
      <c r="H36" s="133"/>
      <c r="I36" s="133"/>
      <c r="J36" s="133"/>
      <c r="K36" s="132"/>
      <c r="L36" s="133"/>
      <c r="M36" s="133"/>
      <c r="N36" s="133"/>
      <c r="O36" s="133"/>
      <c r="P36" s="133"/>
      <c r="Q36" s="134"/>
    </row>
    <row r="37" spans="2:18" x14ac:dyDescent="0.3">
      <c r="B37" s="135"/>
      <c r="C37" s="136" t="s">
        <v>3</v>
      </c>
      <c r="D37" s="136" t="s">
        <v>4</v>
      </c>
      <c r="E37" s="136" t="s">
        <v>5</v>
      </c>
      <c r="F37" s="137" t="s">
        <v>91</v>
      </c>
      <c r="G37" s="137" t="s">
        <v>7</v>
      </c>
      <c r="H37" s="137" t="s">
        <v>8</v>
      </c>
      <c r="I37" s="137" t="s">
        <v>92</v>
      </c>
      <c r="K37" s="136" t="s">
        <v>3</v>
      </c>
      <c r="L37" s="136" t="s">
        <v>4</v>
      </c>
      <c r="M37" s="136" t="s">
        <v>5</v>
      </c>
      <c r="N37" s="162" t="s">
        <v>91</v>
      </c>
      <c r="O37" s="162" t="s">
        <v>7</v>
      </c>
      <c r="P37" s="162" t="s">
        <v>8</v>
      </c>
      <c r="Q37" s="162" t="s">
        <v>92</v>
      </c>
    </row>
    <row r="38" spans="2:18" x14ac:dyDescent="0.3">
      <c r="B38" s="135"/>
      <c r="C38" s="222" t="s">
        <v>37</v>
      </c>
      <c r="D38" s="141">
        <v>0</v>
      </c>
      <c r="E38" s="143">
        <v>1.99</v>
      </c>
      <c r="F38" s="148">
        <v>10</v>
      </c>
      <c r="G38" s="148">
        <v>83</v>
      </c>
      <c r="H38" s="148">
        <v>3500</v>
      </c>
      <c r="I38" s="148">
        <v>10</v>
      </c>
      <c r="K38" s="222" t="s">
        <v>37</v>
      </c>
      <c r="L38" s="141">
        <v>0</v>
      </c>
      <c r="M38" s="144">
        <v>3.92</v>
      </c>
      <c r="N38" s="143">
        <v>5</v>
      </c>
      <c r="O38" s="143">
        <v>80</v>
      </c>
      <c r="P38" s="143">
        <v>3000</v>
      </c>
      <c r="Q38" s="143">
        <v>10</v>
      </c>
    </row>
    <row r="39" spans="2:18" x14ac:dyDescent="0.3">
      <c r="B39" s="135"/>
      <c r="C39" s="222"/>
      <c r="D39" s="141">
        <v>1</v>
      </c>
      <c r="E39" s="143">
        <v>0.19</v>
      </c>
      <c r="F39" s="148" t="s">
        <v>22</v>
      </c>
      <c r="G39" s="148">
        <v>36</v>
      </c>
      <c r="H39" s="148">
        <v>600</v>
      </c>
      <c r="I39" s="148" t="s">
        <v>22</v>
      </c>
      <c r="K39" s="222"/>
      <c r="L39" s="141">
        <v>1</v>
      </c>
      <c r="M39" s="146">
        <v>0.3</v>
      </c>
      <c r="N39" s="143">
        <v>4</v>
      </c>
      <c r="O39" s="143">
        <v>12</v>
      </c>
      <c r="P39" s="143">
        <v>220</v>
      </c>
      <c r="Q39" s="143">
        <v>4</v>
      </c>
    </row>
    <row r="40" spans="2:18" ht="13.95" customHeight="1" x14ac:dyDescent="0.3">
      <c r="B40" s="147" t="s">
        <v>17</v>
      </c>
      <c r="C40" s="222"/>
      <c r="D40" s="141">
        <v>3</v>
      </c>
      <c r="E40" s="143">
        <v>0.17</v>
      </c>
      <c r="F40" s="148" t="s">
        <v>22</v>
      </c>
      <c r="G40" s="148">
        <v>4</v>
      </c>
      <c r="H40" s="148">
        <v>330</v>
      </c>
      <c r="I40" s="148" t="s">
        <v>22</v>
      </c>
      <c r="K40" s="222"/>
      <c r="L40" s="141">
        <v>3</v>
      </c>
      <c r="M40" s="143">
        <v>0.28999999999999998</v>
      </c>
      <c r="N40" s="143">
        <v>4</v>
      </c>
      <c r="O40" s="143">
        <v>4</v>
      </c>
      <c r="P40" s="143">
        <v>76</v>
      </c>
      <c r="Q40" s="143" t="s">
        <v>22</v>
      </c>
    </row>
    <row r="41" spans="2:18" x14ac:dyDescent="0.3">
      <c r="B41" s="135"/>
      <c r="C41" s="222"/>
      <c r="D41" s="141">
        <v>5</v>
      </c>
      <c r="E41" s="143">
        <v>0.11</v>
      </c>
      <c r="F41" s="148" t="s">
        <v>22</v>
      </c>
      <c r="G41" s="148">
        <v>12</v>
      </c>
      <c r="H41" s="148">
        <v>170</v>
      </c>
      <c r="I41" s="148" t="s">
        <v>22</v>
      </c>
      <c r="K41" s="222"/>
      <c r="L41" s="141">
        <v>5</v>
      </c>
      <c r="M41" s="143">
        <v>0.32</v>
      </c>
      <c r="N41" s="143" t="s">
        <v>22</v>
      </c>
      <c r="O41" s="143">
        <v>4</v>
      </c>
      <c r="P41" s="143">
        <v>172</v>
      </c>
      <c r="Q41" s="143" t="s">
        <v>22</v>
      </c>
    </row>
    <row r="42" spans="2:18" x14ac:dyDescent="0.3">
      <c r="B42" s="135"/>
      <c r="C42" s="222"/>
      <c r="D42" s="141">
        <v>10</v>
      </c>
      <c r="E42" s="143">
        <v>0.11</v>
      </c>
      <c r="F42" s="148" t="s">
        <v>22</v>
      </c>
      <c r="G42" s="148">
        <v>4</v>
      </c>
      <c r="H42" s="148">
        <v>60</v>
      </c>
      <c r="I42" s="148" t="s">
        <v>22</v>
      </c>
      <c r="K42" s="222"/>
      <c r="L42" s="141">
        <v>10</v>
      </c>
      <c r="M42" s="143">
        <v>0.16</v>
      </c>
      <c r="N42" s="143" t="s">
        <v>22</v>
      </c>
      <c r="O42" s="143" t="s">
        <v>22</v>
      </c>
      <c r="P42" s="143">
        <v>20</v>
      </c>
      <c r="Q42" s="143" t="s">
        <v>22</v>
      </c>
    </row>
    <row r="43" spans="2:18" x14ac:dyDescent="0.3">
      <c r="B43" s="135"/>
      <c r="C43" s="222"/>
      <c r="D43" s="141">
        <v>30</v>
      </c>
      <c r="E43" s="143">
        <v>0.12</v>
      </c>
      <c r="F43" s="148" t="s">
        <v>22</v>
      </c>
      <c r="G43" s="148" t="s">
        <v>22</v>
      </c>
      <c r="H43" s="148">
        <v>560</v>
      </c>
      <c r="I43" s="148" t="s">
        <v>22</v>
      </c>
      <c r="K43" s="222"/>
      <c r="L43" s="141">
        <v>30</v>
      </c>
      <c r="M43" s="143">
        <v>0.22</v>
      </c>
      <c r="N43" s="143">
        <v>4</v>
      </c>
      <c r="O43" s="143">
        <v>4</v>
      </c>
      <c r="P43" s="143">
        <v>110</v>
      </c>
      <c r="Q43" s="143" t="s">
        <v>22</v>
      </c>
    </row>
    <row r="44" spans="2:18" x14ac:dyDescent="0.3">
      <c r="B44" s="135"/>
      <c r="C44" s="222"/>
      <c r="D44" s="144"/>
      <c r="E44" s="144"/>
      <c r="F44" s="148"/>
      <c r="G44" s="148"/>
      <c r="H44" s="148"/>
      <c r="I44" s="148"/>
      <c r="K44" s="222"/>
      <c r="L44" s="144"/>
      <c r="M44" s="144"/>
      <c r="N44" s="148"/>
      <c r="O44" s="148"/>
      <c r="P44" s="148"/>
      <c r="Q44" s="148"/>
    </row>
    <row r="45" spans="2:18" x14ac:dyDescent="0.3">
      <c r="B45" s="135"/>
      <c r="C45" s="150"/>
      <c r="D45" s="151"/>
      <c r="E45" s="151"/>
      <c r="F45" s="171"/>
      <c r="G45" s="171"/>
      <c r="H45" s="171"/>
      <c r="I45" s="171"/>
      <c r="K45" s="150"/>
      <c r="L45" s="151"/>
      <c r="M45" s="151"/>
      <c r="N45" s="171"/>
      <c r="O45" s="171"/>
      <c r="P45" s="171"/>
      <c r="Q45" s="172"/>
    </row>
    <row r="46" spans="2:18" ht="16.2" thickBot="1" x14ac:dyDescent="0.35">
      <c r="B46" s="154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60"/>
    </row>
    <row r="49" ht="15" customHeight="1" x14ac:dyDescent="0.3"/>
    <row r="52" ht="14.25" customHeight="1" x14ac:dyDescent="0.3"/>
    <row r="54" ht="15" customHeight="1" x14ac:dyDescent="0.3"/>
    <row r="67" ht="14.25" customHeight="1" x14ac:dyDescent="0.3"/>
    <row r="69" ht="14.25" customHeight="1" x14ac:dyDescent="0.3"/>
    <row r="105" ht="14.25" customHeight="1" x14ac:dyDescent="0.3"/>
    <row r="107" ht="15" customHeight="1" x14ac:dyDescent="0.3"/>
    <row r="120" ht="14.25" customHeight="1" x14ac:dyDescent="0.3"/>
    <row r="122" ht="14.25" customHeight="1" x14ac:dyDescent="0.3"/>
    <row r="158" ht="14.25" customHeight="1" x14ac:dyDescent="0.3"/>
    <row r="160" ht="15" customHeight="1" x14ac:dyDescent="0.3"/>
    <row r="173" ht="14.25" customHeight="1" x14ac:dyDescent="0.3"/>
    <row r="175" ht="14.25" customHeight="1" x14ac:dyDescent="0.3"/>
  </sheetData>
  <mergeCells count="8">
    <mergeCell ref="C38:C44"/>
    <mergeCell ref="K38:K44"/>
    <mergeCell ref="C4:C10"/>
    <mergeCell ref="K4:K10"/>
    <mergeCell ref="C16:C22"/>
    <mergeCell ref="K16:K22"/>
    <mergeCell ref="C27:C33"/>
    <mergeCell ref="K27:K33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213"/>
  <sheetViews>
    <sheetView zoomScale="70" zoomScaleNormal="70" workbookViewId="0">
      <selection activeCell="AB28" sqref="AB28"/>
    </sheetView>
  </sheetViews>
  <sheetFormatPr defaultColWidth="9.109375" defaultRowHeight="15.6" x14ac:dyDescent="0.3"/>
  <cols>
    <col min="1" max="1" width="26.6640625" style="130" customWidth="1"/>
    <col min="2" max="19" width="12.6640625" style="130" customWidth="1"/>
    <col min="20" max="28" width="9.109375" style="130"/>
    <col min="29" max="29" width="14.33203125" style="130" bestFit="1" customWidth="1"/>
    <col min="30" max="16384" width="9.109375" style="130"/>
  </cols>
  <sheetData>
    <row r="1" spans="1:37" ht="16.2" thickBot="1" x14ac:dyDescent="0.35">
      <c r="A1" s="129" t="s">
        <v>34</v>
      </c>
    </row>
    <row r="2" spans="1:37" ht="16.2" thickBot="1" x14ac:dyDescent="0.35">
      <c r="A2" s="129" t="s">
        <v>39</v>
      </c>
      <c r="B2" s="161"/>
      <c r="C2" s="133"/>
      <c r="D2" s="132"/>
      <c r="E2" s="133"/>
      <c r="F2" s="133"/>
      <c r="G2" s="133"/>
      <c r="H2" s="133"/>
      <c r="I2" s="133"/>
      <c r="J2" s="133"/>
      <c r="K2" s="133"/>
      <c r="L2" s="132"/>
      <c r="M2" s="133"/>
      <c r="N2" s="133"/>
      <c r="O2" s="133"/>
      <c r="P2" s="133"/>
      <c r="Q2" s="133"/>
      <c r="R2" s="134"/>
    </row>
    <row r="3" spans="1:37" s="174" customFormat="1" ht="62.4" x14ac:dyDescent="0.3">
      <c r="A3" s="181">
        <v>45313</v>
      </c>
      <c r="B3" s="135"/>
      <c r="D3" s="175" t="s">
        <v>3</v>
      </c>
      <c r="E3" s="175" t="s">
        <v>4</v>
      </c>
      <c r="F3" s="175" t="s">
        <v>5</v>
      </c>
      <c r="G3" s="180" t="s">
        <v>91</v>
      </c>
      <c r="H3" s="180" t="s">
        <v>7</v>
      </c>
      <c r="I3" s="180" t="s">
        <v>8</v>
      </c>
      <c r="J3" s="182" t="s">
        <v>9</v>
      </c>
      <c r="K3" s="174" t="s">
        <v>94</v>
      </c>
      <c r="L3" s="175" t="s">
        <v>3</v>
      </c>
      <c r="M3" s="175" t="s">
        <v>4</v>
      </c>
      <c r="N3" s="175" t="s">
        <v>5</v>
      </c>
      <c r="O3" s="177" t="s">
        <v>91</v>
      </c>
      <c r="P3" s="177" t="s">
        <v>7</v>
      </c>
      <c r="Q3" s="177" t="s">
        <v>8</v>
      </c>
      <c r="R3" s="178" t="s">
        <v>92</v>
      </c>
      <c r="T3" s="179"/>
      <c r="V3" s="179"/>
      <c r="X3" s="179"/>
    </row>
    <row r="4" spans="1:37" ht="15" customHeight="1" x14ac:dyDescent="0.3">
      <c r="B4" s="135"/>
      <c r="D4" s="222" t="s">
        <v>40</v>
      </c>
      <c r="E4" s="141">
        <v>0</v>
      </c>
      <c r="F4" s="183">
        <v>0.91</v>
      </c>
      <c r="G4" s="184">
        <v>1450</v>
      </c>
      <c r="H4" s="184">
        <v>5600</v>
      </c>
      <c r="I4" s="184">
        <v>100000</v>
      </c>
      <c r="J4" s="185">
        <v>775</v>
      </c>
      <c r="K4" s="208">
        <f>F4-F5</f>
        <v>0.21000000000000008</v>
      </c>
      <c r="L4" s="222" t="s">
        <v>40</v>
      </c>
      <c r="M4" s="141">
        <v>0</v>
      </c>
      <c r="N4" s="186">
        <v>1.94</v>
      </c>
      <c r="O4" s="187">
        <v>1350</v>
      </c>
      <c r="P4" s="187">
        <v>5100</v>
      </c>
      <c r="Q4" s="187">
        <v>98000</v>
      </c>
      <c r="R4" s="188">
        <v>800</v>
      </c>
      <c r="S4" s="130" t="s">
        <v>94</v>
      </c>
      <c r="T4" s="139"/>
      <c r="V4" s="139"/>
      <c r="AF4" t="s">
        <v>93</v>
      </c>
    </row>
    <row r="5" spans="1:37" x14ac:dyDescent="0.3">
      <c r="B5" s="135"/>
      <c r="D5" s="222"/>
      <c r="E5" s="141">
        <v>1</v>
      </c>
      <c r="F5" s="189">
        <v>0.7</v>
      </c>
      <c r="G5" s="187">
        <v>920</v>
      </c>
      <c r="H5" s="187">
        <v>3900</v>
      </c>
      <c r="I5" s="187">
        <v>66000</v>
      </c>
      <c r="J5" s="188">
        <v>620</v>
      </c>
      <c r="L5" s="222"/>
      <c r="M5" s="141">
        <v>1</v>
      </c>
      <c r="N5" s="190">
        <v>1.56</v>
      </c>
      <c r="O5" s="187">
        <v>20</v>
      </c>
      <c r="P5" s="187">
        <v>540</v>
      </c>
      <c r="Q5" s="187">
        <v>10400</v>
      </c>
      <c r="R5" s="188">
        <v>250</v>
      </c>
      <c r="S5" s="130">
        <f>N4-N5</f>
        <v>0.37999999999999989</v>
      </c>
      <c r="AF5" s="130" t="s">
        <v>99</v>
      </c>
      <c r="AG5" s="130" t="s">
        <v>100</v>
      </c>
      <c r="AH5" s="130" t="s">
        <v>100</v>
      </c>
    </row>
    <row r="6" spans="1:37" x14ac:dyDescent="0.3">
      <c r="A6" s="129" t="s">
        <v>41</v>
      </c>
      <c r="B6" s="147" t="s">
        <v>12</v>
      </c>
      <c r="D6" s="222"/>
      <c r="E6" s="141">
        <v>3</v>
      </c>
      <c r="F6" s="189">
        <v>0.62</v>
      </c>
      <c r="G6" s="187">
        <v>40</v>
      </c>
      <c r="H6" s="187">
        <v>500</v>
      </c>
      <c r="I6" s="187">
        <v>12400</v>
      </c>
      <c r="J6" s="188">
        <v>260</v>
      </c>
      <c r="L6" s="222"/>
      <c r="M6" s="141">
        <v>3</v>
      </c>
      <c r="N6" s="190">
        <v>1.41</v>
      </c>
      <c r="O6" s="187" t="s">
        <v>22</v>
      </c>
      <c r="P6" s="187">
        <v>12</v>
      </c>
      <c r="Q6" s="187">
        <v>840</v>
      </c>
      <c r="R6" s="188">
        <v>64</v>
      </c>
      <c r="AF6" s="130" t="str">
        <f>M3</f>
        <v>Time (min)</v>
      </c>
      <c r="AG6" s="130" t="str">
        <f>N3</f>
        <v>Disinfectant concentration (mg/L)</v>
      </c>
    </row>
    <row r="7" spans="1:37" x14ac:dyDescent="0.3">
      <c r="B7" s="135"/>
      <c r="D7" s="222"/>
      <c r="E7" s="141">
        <v>5</v>
      </c>
      <c r="F7" s="189">
        <v>0.56000000000000005</v>
      </c>
      <c r="G7" s="187">
        <v>24</v>
      </c>
      <c r="H7" s="187">
        <v>58</v>
      </c>
      <c r="I7" s="187">
        <v>1275</v>
      </c>
      <c r="J7" s="188">
        <v>158</v>
      </c>
      <c r="L7" s="222"/>
      <c r="M7" s="141">
        <v>5</v>
      </c>
      <c r="N7" s="190">
        <v>1.39</v>
      </c>
      <c r="O7" s="187" t="s">
        <v>22</v>
      </c>
      <c r="P7" s="187">
        <v>6</v>
      </c>
      <c r="Q7" s="187">
        <v>305</v>
      </c>
      <c r="R7" s="188">
        <v>20</v>
      </c>
      <c r="AF7" s="130">
        <f t="shared" ref="AF7:AG11" si="0">M4</f>
        <v>0</v>
      </c>
      <c r="AG7" s="130">
        <f t="shared" si="0"/>
        <v>1.94</v>
      </c>
      <c r="AH7" s="208">
        <f>F4</f>
        <v>0.91</v>
      </c>
    </row>
    <row r="8" spans="1:37" x14ac:dyDescent="0.3">
      <c r="B8" s="135"/>
      <c r="D8" s="222"/>
      <c r="E8" s="141">
        <v>10</v>
      </c>
      <c r="F8" s="189">
        <v>0.52</v>
      </c>
      <c r="G8" s="187">
        <v>5</v>
      </c>
      <c r="H8" s="187">
        <v>24</v>
      </c>
      <c r="I8" s="187">
        <v>440</v>
      </c>
      <c r="J8" s="188">
        <v>33</v>
      </c>
      <c r="L8" s="222"/>
      <c r="M8" s="141">
        <v>10</v>
      </c>
      <c r="N8" s="190">
        <v>1.24</v>
      </c>
      <c r="O8" s="187">
        <v>4</v>
      </c>
      <c r="P8" s="187">
        <v>12</v>
      </c>
      <c r="Q8" s="187">
        <v>250</v>
      </c>
      <c r="R8" s="188">
        <v>1</v>
      </c>
      <c r="AF8" s="130">
        <f t="shared" si="0"/>
        <v>1</v>
      </c>
      <c r="AG8" s="130">
        <f t="shared" si="0"/>
        <v>1.56</v>
      </c>
      <c r="AH8" s="208">
        <f t="shared" ref="AH8:AH12" si="1">F5</f>
        <v>0.7</v>
      </c>
      <c r="AJ8" s="130">
        <f>AG8*AF8</f>
        <v>1.56</v>
      </c>
    </row>
    <row r="9" spans="1:37" x14ac:dyDescent="0.3">
      <c r="B9" s="135"/>
      <c r="D9" s="222"/>
      <c r="E9" s="141">
        <v>30</v>
      </c>
      <c r="F9" s="189">
        <v>0.26</v>
      </c>
      <c r="G9" s="187">
        <v>5</v>
      </c>
      <c r="H9" s="187">
        <v>8</v>
      </c>
      <c r="I9" s="187">
        <v>370</v>
      </c>
      <c r="J9" s="188">
        <v>9</v>
      </c>
      <c r="L9" s="222"/>
      <c r="M9" s="141">
        <v>30</v>
      </c>
      <c r="N9" s="190">
        <v>0.87</v>
      </c>
      <c r="O9" s="187" t="s">
        <v>24</v>
      </c>
      <c r="P9" s="187">
        <v>8</v>
      </c>
      <c r="Q9" s="187">
        <v>165</v>
      </c>
      <c r="R9" s="188">
        <v>1</v>
      </c>
      <c r="AF9" s="130">
        <f t="shared" si="0"/>
        <v>3</v>
      </c>
      <c r="AG9" s="130">
        <f t="shared" si="0"/>
        <v>1.41</v>
      </c>
      <c r="AH9" s="208">
        <f t="shared" si="1"/>
        <v>0.62</v>
      </c>
      <c r="AJ9" s="130">
        <f t="shared" ref="AJ9:AJ12" si="2">AG9*AF9</f>
        <v>4.2299999999999995</v>
      </c>
    </row>
    <row r="10" spans="1:37" x14ac:dyDescent="0.3">
      <c r="B10" s="135"/>
      <c r="D10" s="222"/>
      <c r="E10" s="144"/>
      <c r="F10" s="144"/>
      <c r="G10" s="148"/>
      <c r="H10" s="148"/>
      <c r="I10" s="148"/>
      <c r="J10" s="148"/>
      <c r="L10" s="222"/>
      <c r="M10" s="144"/>
      <c r="N10" s="144"/>
      <c r="O10" s="148"/>
      <c r="P10" s="148"/>
      <c r="Q10" s="148"/>
      <c r="R10" s="191"/>
      <c r="AF10" s="130">
        <f t="shared" si="0"/>
        <v>5</v>
      </c>
      <c r="AG10" s="130">
        <f t="shared" si="0"/>
        <v>1.39</v>
      </c>
      <c r="AH10" s="208">
        <f t="shared" si="1"/>
        <v>0.56000000000000005</v>
      </c>
      <c r="AJ10" s="130">
        <f t="shared" si="2"/>
        <v>6.9499999999999993</v>
      </c>
    </row>
    <row r="11" spans="1:37" x14ac:dyDescent="0.3">
      <c r="B11" s="135"/>
      <c r="D11" s="149"/>
      <c r="E11" s="150"/>
      <c r="F11" s="150"/>
      <c r="G11" s="150"/>
      <c r="H11" s="150"/>
      <c r="I11" s="150"/>
      <c r="J11" s="150"/>
      <c r="M11" s="151"/>
      <c r="N11" s="152"/>
      <c r="R11" s="153"/>
      <c r="AF11" s="130">
        <f t="shared" si="0"/>
        <v>10</v>
      </c>
      <c r="AG11" s="130">
        <f t="shared" si="0"/>
        <v>1.24</v>
      </c>
      <c r="AH11" s="208">
        <f t="shared" si="1"/>
        <v>0.52</v>
      </c>
      <c r="AJ11" s="130">
        <f t="shared" si="2"/>
        <v>12.4</v>
      </c>
    </row>
    <row r="12" spans="1:37" x14ac:dyDescent="0.3">
      <c r="B12" s="135"/>
      <c r="D12" s="149"/>
      <c r="E12" s="150"/>
      <c r="F12" s="150"/>
      <c r="G12" s="150"/>
      <c r="H12" s="150"/>
      <c r="I12" s="150"/>
      <c r="J12" s="150"/>
      <c r="M12" s="151"/>
      <c r="N12" s="152"/>
      <c r="R12" s="153"/>
      <c r="AF12" s="209">
        <f>M9</f>
        <v>30</v>
      </c>
      <c r="AG12" s="209">
        <f>N9</f>
        <v>0.87</v>
      </c>
      <c r="AH12" s="210">
        <f t="shared" si="1"/>
        <v>0.26</v>
      </c>
      <c r="AJ12" s="130">
        <f t="shared" si="2"/>
        <v>26.1</v>
      </c>
    </row>
    <row r="13" spans="1:37" ht="16.2" thickBot="1" x14ac:dyDescent="0.35">
      <c r="B13" s="154"/>
      <c r="C13" s="155"/>
      <c r="D13" s="156"/>
      <c r="E13" s="157"/>
      <c r="F13" s="157"/>
      <c r="G13" s="157"/>
      <c r="H13" s="157"/>
      <c r="I13" s="157"/>
      <c r="J13" s="157"/>
      <c r="K13" s="155"/>
      <c r="L13" s="155"/>
      <c r="M13" s="157"/>
      <c r="N13" s="157"/>
      <c r="O13" s="155"/>
      <c r="P13" s="155"/>
      <c r="Q13" s="155"/>
      <c r="R13" s="160"/>
      <c r="AF13" s="130" t="s">
        <v>94</v>
      </c>
      <c r="AG13" s="130">
        <f>(AG7-AG8)</f>
        <v>0.37999999999999989</v>
      </c>
      <c r="AH13" s="130">
        <f>(AH7-AH8)</f>
        <v>0.21000000000000008</v>
      </c>
    </row>
    <row r="14" spans="1:37" ht="16.2" thickBot="1" x14ac:dyDescent="0.35">
      <c r="B14" s="161"/>
      <c r="C14" s="133"/>
      <c r="D14" s="132"/>
      <c r="E14" s="133"/>
      <c r="F14" s="133"/>
      <c r="G14" s="133"/>
      <c r="H14" s="133"/>
      <c r="I14" s="133"/>
      <c r="J14" s="133"/>
      <c r="K14" s="133"/>
      <c r="L14" s="132"/>
      <c r="M14" s="133"/>
      <c r="N14" s="133"/>
      <c r="O14" s="133"/>
      <c r="P14" s="133"/>
      <c r="Q14" s="133"/>
      <c r="R14" s="134"/>
      <c r="AF14" s="130" t="s">
        <v>95</v>
      </c>
      <c r="AG14" s="130">
        <f>AG7</f>
        <v>1.94</v>
      </c>
      <c r="AH14" s="130">
        <f>AH7</f>
        <v>0.91</v>
      </c>
    </row>
    <row r="15" spans="1:37" s="174" customFormat="1" ht="62.4" x14ac:dyDescent="0.6">
      <c r="B15" s="135"/>
      <c r="D15" s="175" t="s">
        <v>3</v>
      </c>
      <c r="E15" s="175" t="s">
        <v>4</v>
      </c>
      <c r="F15" s="175" t="s">
        <v>5</v>
      </c>
      <c r="G15" s="177" t="s">
        <v>91</v>
      </c>
      <c r="H15" s="177" t="s">
        <v>7</v>
      </c>
      <c r="I15" s="177" t="s">
        <v>8</v>
      </c>
      <c r="J15" s="177" t="s">
        <v>92</v>
      </c>
      <c r="L15" s="175" t="s">
        <v>3</v>
      </c>
      <c r="M15" s="175" t="s">
        <v>4</v>
      </c>
      <c r="N15" s="175" t="s">
        <v>5</v>
      </c>
      <c r="O15" s="177" t="s">
        <v>91</v>
      </c>
      <c r="P15" s="177" t="s">
        <v>7</v>
      </c>
      <c r="Q15" s="177" t="s">
        <v>8</v>
      </c>
      <c r="R15" s="178" t="s">
        <v>92</v>
      </c>
      <c r="AF15" s="223" t="s">
        <v>96</v>
      </c>
      <c r="AG15" s="223"/>
      <c r="AH15" s="223"/>
      <c r="AI15" s="223"/>
      <c r="AJ15" s="223"/>
      <c r="AK15" s="174" t="s">
        <v>103</v>
      </c>
    </row>
    <row r="16" spans="1:37" ht="21" x14ac:dyDescent="0.4">
      <c r="B16" s="135"/>
      <c r="D16" s="222" t="s">
        <v>40</v>
      </c>
      <c r="E16" s="141">
        <v>0</v>
      </c>
      <c r="F16" s="186">
        <v>1.91</v>
      </c>
      <c r="G16" s="187">
        <v>1650</v>
      </c>
      <c r="H16" s="187">
        <v>6500</v>
      </c>
      <c r="I16" s="187">
        <v>124000</v>
      </c>
      <c r="J16" s="188">
        <v>740</v>
      </c>
      <c r="L16" s="222" t="s">
        <v>40</v>
      </c>
      <c r="M16" s="141">
        <v>0</v>
      </c>
      <c r="N16" s="186">
        <v>3.96</v>
      </c>
      <c r="O16" s="187">
        <v>1500</v>
      </c>
      <c r="P16" s="187">
        <v>4200</v>
      </c>
      <c r="Q16" s="187">
        <v>96000</v>
      </c>
      <c r="R16" s="188">
        <v>900</v>
      </c>
      <c r="AH16" s="211" t="s">
        <v>97</v>
      </c>
      <c r="AI16" s="130" t="s">
        <v>102</v>
      </c>
    </row>
    <row r="17" spans="2:38" ht="15" customHeight="1" x14ac:dyDescent="0.3">
      <c r="B17" s="147" t="s">
        <v>13</v>
      </c>
      <c r="D17" s="222"/>
      <c r="E17" s="141">
        <v>1</v>
      </c>
      <c r="F17" s="190">
        <v>1.61</v>
      </c>
      <c r="G17" s="187">
        <v>1400</v>
      </c>
      <c r="H17" s="187">
        <v>4300</v>
      </c>
      <c r="I17" s="187">
        <v>96000</v>
      </c>
      <c r="J17" s="188">
        <v>740</v>
      </c>
      <c r="L17" s="222"/>
      <c r="M17" s="141">
        <v>1</v>
      </c>
      <c r="N17" s="190">
        <v>3.47</v>
      </c>
      <c r="O17" s="187">
        <v>2375</v>
      </c>
      <c r="P17" s="187">
        <v>5650</v>
      </c>
      <c r="Q17" s="187">
        <v>92000</v>
      </c>
      <c r="R17" s="188">
        <v>730</v>
      </c>
      <c r="AL17" s="130" t="s">
        <v>101</v>
      </c>
    </row>
    <row r="18" spans="2:38" x14ac:dyDescent="0.3">
      <c r="B18" s="135"/>
      <c r="D18" s="222"/>
      <c r="E18" s="141">
        <v>3</v>
      </c>
      <c r="F18" s="190">
        <v>1.56</v>
      </c>
      <c r="G18" s="187">
        <v>1750</v>
      </c>
      <c r="H18" s="187">
        <v>5200</v>
      </c>
      <c r="I18" s="187">
        <v>82000</v>
      </c>
      <c r="J18" s="188">
        <v>770</v>
      </c>
      <c r="L18" s="222"/>
      <c r="M18" s="141">
        <v>3</v>
      </c>
      <c r="N18" s="190">
        <v>3.46</v>
      </c>
      <c r="O18" s="187">
        <v>360</v>
      </c>
      <c r="P18" s="187">
        <v>4700</v>
      </c>
      <c r="Q18" s="187">
        <v>54000</v>
      </c>
      <c r="R18" s="188">
        <v>430</v>
      </c>
      <c r="AF18" s="130" t="s">
        <v>97</v>
      </c>
      <c r="AG18" s="130">
        <v>4.1000000000000002E-2</v>
      </c>
    </row>
    <row r="19" spans="2:38" ht="14.25" customHeight="1" x14ac:dyDescent="0.3">
      <c r="B19" s="135"/>
      <c r="D19" s="222"/>
      <c r="E19" s="141">
        <v>5</v>
      </c>
      <c r="F19" s="190">
        <v>1.54</v>
      </c>
      <c r="G19" s="187">
        <v>1000</v>
      </c>
      <c r="H19" s="187">
        <v>3250</v>
      </c>
      <c r="I19" s="187">
        <v>58000</v>
      </c>
      <c r="J19" s="188">
        <v>584</v>
      </c>
      <c r="L19" s="222"/>
      <c r="M19" s="141">
        <v>5</v>
      </c>
      <c r="N19" s="190">
        <v>3.29</v>
      </c>
      <c r="O19" s="187">
        <v>20</v>
      </c>
      <c r="P19" s="187">
        <v>418</v>
      </c>
      <c r="Q19" s="187">
        <v>15750</v>
      </c>
      <c r="R19" s="188">
        <v>294</v>
      </c>
      <c r="AF19" s="130" t="s">
        <v>98</v>
      </c>
      <c r="AG19" s="130">
        <v>1.5375490999999999</v>
      </c>
      <c r="AH19" s="130" t="s">
        <v>104</v>
      </c>
      <c r="AJ19" s="130" t="s">
        <v>105</v>
      </c>
    </row>
    <row r="20" spans="2:38" x14ac:dyDescent="0.3">
      <c r="B20" s="135"/>
      <c r="D20" s="222"/>
      <c r="E20" s="141">
        <v>10</v>
      </c>
      <c r="F20" s="190">
        <v>1.44</v>
      </c>
      <c r="G20" s="187">
        <v>94</v>
      </c>
      <c r="H20" s="187">
        <v>2700</v>
      </c>
      <c r="I20" s="187">
        <v>47000</v>
      </c>
      <c r="J20" s="188">
        <v>260</v>
      </c>
      <c r="L20" s="222"/>
      <c r="M20" s="141">
        <v>10</v>
      </c>
      <c r="N20" s="190">
        <v>3.26</v>
      </c>
      <c r="O20" s="187">
        <v>2</v>
      </c>
      <c r="P20" s="187">
        <v>63</v>
      </c>
      <c r="Q20" s="187">
        <v>2650</v>
      </c>
      <c r="R20" s="188">
        <v>75</v>
      </c>
      <c r="AF20" s="130">
        <v>0</v>
      </c>
      <c r="AH20" s="130">
        <f>AG7</f>
        <v>1.94</v>
      </c>
      <c r="AJ20" s="130">
        <v>0</v>
      </c>
    </row>
    <row r="21" spans="2:38" x14ac:dyDescent="0.3">
      <c r="B21" s="135"/>
      <c r="D21" s="222"/>
      <c r="E21" s="141">
        <v>30</v>
      </c>
      <c r="F21" s="190">
        <v>1.23</v>
      </c>
      <c r="G21" s="187">
        <v>1</v>
      </c>
      <c r="H21" s="187">
        <v>65</v>
      </c>
      <c r="I21" s="187">
        <v>1760</v>
      </c>
      <c r="J21" s="188">
        <v>72</v>
      </c>
      <c r="L21" s="222"/>
      <c r="M21" s="141">
        <v>30</v>
      </c>
      <c r="N21" s="189">
        <v>3</v>
      </c>
      <c r="O21" s="187">
        <v>3</v>
      </c>
      <c r="P21" s="187">
        <v>8</v>
      </c>
      <c r="Q21" s="187">
        <v>300</v>
      </c>
      <c r="R21" s="188">
        <v>1</v>
      </c>
      <c r="AF21" s="130">
        <v>1</v>
      </c>
      <c r="AG21" s="208">
        <f>$AG$19*(1-EXP(-$AG$18*AF21))/$AG$18</f>
        <v>1.506455734023872</v>
      </c>
      <c r="AH21" s="208">
        <f>AG21/AF21</f>
        <v>1.506455734023872</v>
      </c>
      <c r="AI21" s="212">
        <f>(AG8-AH21)^2</f>
        <v>2.8669884189223434E-3</v>
      </c>
      <c r="AJ21" s="130">
        <v>0</v>
      </c>
    </row>
    <row r="22" spans="2:38" x14ac:dyDescent="0.3">
      <c r="B22" s="135"/>
      <c r="D22" s="222"/>
      <c r="E22" s="144"/>
      <c r="F22" s="144"/>
      <c r="G22" s="148"/>
      <c r="H22" s="148"/>
      <c r="I22" s="148"/>
      <c r="J22" s="148"/>
      <c r="L22" s="222"/>
      <c r="M22" s="144"/>
      <c r="N22" s="144"/>
      <c r="O22" s="148"/>
      <c r="P22" s="148"/>
      <c r="Q22" s="148"/>
      <c r="R22" s="191"/>
      <c r="AF22" s="130">
        <v>3</v>
      </c>
      <c r="AG22" s="208">
        <f t="shared" ref="AG22:AG25" si="3">$AG$19*(1-EXP(-$AG$18*AF22))/$AG$18</f>
        <v>4.3402512552903936</v>
      </c>
      <c r="AH22" s="208">
        <f t="shared" ref="AH22:AH25" si="4">AG22/AF22</f>
        <v>1.4467504184301312</v>
      </c>
      <c r="AI22" s="212">
        <f t="shared" ref="AI22:AI25" si="5">(AG9-AH22)^2</f>
        <v>1.3505932547897323E-3</v>
      </c>
      <c r="AJ22" s="130">
        <v>0</v>
      </c>
    </row>
    <row r="23" spans="2:38" x14ac:dyDescent="0.3">
      <c r="B23" s="135"/>
      <c r="D23" s="149"/>
      <c r="E23" s="150"/>
      <c r="F23" s="150"/>
      <c r="G23" s="150"/>
      <c r="H23" s="150"/>
      <c r="I23" s="150"/>
      <c r="J23" s="150"/>
      <c r="M23" s="151"/>
      <c r="N23" s="152"/>
      <c r="R23" s="153"/>
      <c r="AF23" s="130">
        <v>5</v>
      </c>
      <c r="AG23" s="208">
        <f t="shared" si="3"/>
        <v>6.9509476057125452</v>
      </c>
      <c r="AH23" s="208">
        <f t="shared" si="4"/>
        <v>1.390189521142509</v>
      </c>
      <c r="AI23" s="212">
        <f t="shared" si="5"/>
        <v>3.5918263457970292E-8</v>
      </c>
      <c r="AJ23" s="130">
        <v>0</v>
      </c>
    </row>
    <row r="24" spans="2:38" x14ac:dyDescent="0.3">
      <c r="B24" s="135"/>
      <c r="D24" s="149"/>
      <c r="E24" s="150"/>
      <c r="F24" s="150"/>
      <c r="G24" s="150"/>
      <c r="H24" s="150"/>
      <c r="I24" s="150"/>
      <c r="J24" s="150"/>
      <c r="M24" s="151"/>
      <c r="N24" s="152"/>
      <c r="R24" s="153"/>
      <c r="AF24" s="130">
        <v>10</v>
      </c>
      <c r="AG24" s="208">
        <f t="shared" si="3"/>
        <v>12.613518419222613</v>
      </c>
      <c r="AH24" s="208">
        <f t="shared" si="4"/>
        <v>1.2613518419222614</v>
      </c>
      <c r="AI24" s="212">
        <f t="shared" si="5"/>
        <v>4.5590115347323774E-4</v>
      </c>
      <c r="AJ24" s="130">
        <v>0</v>
      </c>
    </row>
    <row r="25" spans="2:38" ht="16.2" thickBot="1" x14ac:dyDescent="0.35">
      <c r="B25" s="154"/>
      <c r="C25" s="155"/>
      <c r="D25" s="156"/>
      <c r="E25" s="157"/>
      <c r="F25" s="157"/>
      <c r="G25" s="157"/>
      <c r="H25" s="157"/>
      <c r="I25" s="157"/>
      <c r="J25" s="157"/>
      <c r="K25" s="155"/>
      <c r="L25" s="155"/>
      <c r="M25" s="157"/>
      <c r="N25" s="157"/>
      <c r="O25" s="155"/>
      <c r="P25" s="155"/>
      <c r="Q25" s="155"/>
      <c r="R25" s="160"/>
      <c r="AF25" s="209">
        <v>30</v>
      </c>
      <c r="AG25" s="208">
        <f t="shared" si="3"/>
        <v>26.53987585975889</v>
      </c>
      <c r="AH25" s="208">
        <f t="shared" si="4"/>
        <v>0.88466252865862971</v>
      </c>
      <c r="AI25" s="212">
        <f t="shared" si="5"/>
        <v>2.1498974666513769E-4</v>
      </c>
      <c r="AJ25" s="130">
        <v>0</v>
      </c>
    </row>
    <row r="26" spans="2:38" ht="16.2" thickBot="1" x14ac:dyDescent="0.35">
      <c r="B26" s="161"/>
      <c r="C26" s="133"/>
      <c r="D26" s="132"/>
      <c r="E26" s="133"/>
      <c r="F26" s="133"/>
      <c r="G26" s="133"/>
      <c r="H26" s="133"/>
      <c r="I26" s="133"/>
      <c r="J26" s="133"/>
      <c r="K26" s="133"/>
      <c r="L26" s="132"/>
      <c r="M26" s="133"/>
      <c r="N26" s="133"/>
      <c r="O26" s="133"/>
      <c r="P26" s="133"/>
      <c r="Q26" s="133"/>
      <c r="R26" s="134"/>
      <c r="AI26" s="212">
        <f>SUM(AI21:AI25)</f>
        <v>4.8885084921139084E-3</v>
      </c>
    </row>
    <row r="27" spans="2:38" s="174" customFormat="1" ht="62.4" x14ac:dyDescent="0.3">
      <c r="B27" s="135"/>
      <c r="D27" s="175" t="s">
        <v>3</v>
      </c>
      <c r="E27" s="175" t="s">
        <v>4</v>
      </c>
      <c r="F27" s="175" t="s">
        <v>5</v>
      </c>
      <c r="G27" s="177" t="s">
        <v>91</v>
      </c>
      <c r="H27" s="177" t="s">
        <v>7</v>
      </c>
      <c r="I27" s="177" t="s">
        <v>8</v>
      </c>
      <c r="J27" s="177" t="s">
        <v>92</v>
      </c>
      <c r="K27" s="180" t="s">
        <v>14</v>
      </c>
      <c r="L27" s="175" t="s">
        <v>3</v>
      </c>
      <c r="M27" s="175" t="s">
        <v>4</v>
      </c>
      <c r="N27" s="175" t="s">
        <v>5</v>
      </c>
      <c r="O27" s="177" t="s">
        <v>91</v>
      </c>
      <c r="P27" s="177" t="s">
        <v>7</v>
      </c>
      <c r="Q27" s="177" t="s">
        <v>8</v>
      </c>
      <c r="R27" s="178" t="s">
        <v>92</v>
      </c>
      <c r="S27" s="180" t="s">
        <v>14</v>
      </c>
    </row>
    <row r="28" spans="2:38" ht="31.2" x14ac:dyDescent="0.3">
      <c r="B28" s="147" t="s">
        <v>15</v>
      </c>
      <c r="D28" s="222" t="s">
        <v>40</v>
      </c>
      <c r="E28" s="141">
        <v>0</v>
      </c>
      <c r="F28" s="192">
        <v>1.9</v>
      </c>
      <c r="G28" s="187">
        <v>1975</v>
      </c>
      <c r="H28" s="187">
        <v>6200</v>
      </c>
      <c r="I28" s="187">
        <v>98000</v>
      </c>
      <c r="J28" s="188">
        <v>860</v>
      </c>
      <c r="K28" s="163"/>
      <c r="L28" s="222" t="s">
        <v>40</v>
      </c>
      <c r="M28" s="141">
        <v>0</v>
      </c>
      <c r="N28" s="193">
        <v>3.92</v>
      </c>
      <c r="O28" s="187">
        <v>2250</v>
      </c>
      <c r="P28" s="187">
        <v>5900</v>
      </c>
      <c r="Q28" s="187">
        <v>116000</v>
      </c>
      <c r="R28" s="188">
        <v>660</v>
      </c>
      <c r="S28" s="163"/>
    </row>
    <row r="29" spans="2:38" x14ac:dyDescent="0.3">
      <c r="B29" s="135"/>
      <c r="D29" s="222"/>
      <c r="E29" s="141">
        <v>1</v>
      </c>
      <c r="F29" s="194">
        <v>0.71</v>
      </c>
      <c r="G29" s="187">
        <v>68</v>
      </c>
      <c r="H29" s="187">
        <v>330</v>
      </c>
      <c r="I29" s="187">
        <v>50000</v>
      </c>
      <c r="J29" s="188">
        <v>240</v>
      </c>
      <c r="K29" s="163"/>
      <c r="L29" s="222"/>
      <c r="M29" s="141">
        <v>1</v>
      </c>
      <c r="N29" s="194">
        <v>2.34</v>
      </c>
      <c r="O29" s="187">
        <v>24</v>
      </c>
      <c r="P29" s="187">
        <v>100</v>
      </c>
      <c r="Q29" s="187">
        <v>1800</v>
      </c>
      <c r="R29" s="188">
        <v>140</v>
      </c>
      <c r="S29" s="163"/>
    </row>
    <row r="30" spans="2:38" x14ac:dyDescent="0.3">
      <c r="B30" s="135"/>
      <c r="D30" s="222"/>
      <c r="E30" s="141">
        <v>3</v>
      </c>
      <c r="F30" s="194">
        <v>0.67</v>
      </c>
      <c r="G30" s="187">
        <v>64</v>
      </c>
      <c r="H30" s="187">
        <v>310</v>
      </c>
      <c r="I30" s="187">
        <v>60000</v>
      </c>
      <c r="J30" s="188">
        <v>164</v>
      </c>
      <c r="K30" s="163"/>
      <c r="L30" s="222"/>
      <c r="M30" s="141">
        <v>3</v>
      </c>
      <c r="N30" s="195">
        <v>1.8</v>
      </c>
      <c r="O30" s="187">
        <v>12</v>
      </c>
      <c r="P30" s="187">
        <v>68</v>
      </c>
      <c r="Q30" s="187">
        <v>960</v>
      </c>
      <c r="R30" s="188">
        <v>44</v>
      </c>
      <c r="S30" s="163"/>
    </row>
    <row r="31" spans="2:38" x14ac:dyDescent="0.3">
      <c r="B31" s="135"/>
      <c r="D31" s="222"/>
      <c r="E31" s="141">
        <v>5</v>
      </c>
      <c r="F31" s="194">
        <v>0.62</v>
      </c>
      <c r="G31" s="187">
        <v>56</v>
      </c>
      <c r="H31" s="187">
        <v>250</v>
      </c>
      <c r="I31" s="187">
        <v>64000</v>
      </c>
      <c r="J31" s="188">
        <v>164</v>
      </c>
      <c r="K31" s="163"/>
      <c r="L31" s="222"/>
      <c r="M31" s="141">
        <v>5</v>
      </c>
      <c r="N31" s="194">
        <v>1.64</v>
      </c>
      <c r="O31" s="187">
        <v>4</v>
      </c>
      <c r="P31" s="187">
        <v>18</v>
      </c>
      <c r="Q31" s="187">
        <v>625</v>
      </c>
      <c r="R31" s="188">
        <v>24</v>
      </c>
      <c r="S31" s="163"/>
    </row>
    <row r="32" spans="2:38" x14ac:dyDescent="0.3">
      <c r="B32" s="135"/>
      <c r="D32" s="222"/>
      <c r="E32" s="141">
        <v>10</v>
      </c>
      <c r="F32" s="194">
        <v>0.57999999999999996</v>
      </c>
      <c r="G32" s="187">
        <v>25</v>
      </c>
      <c r="H32" s="187">
        <v>104</v>
      </c>
      <c r="I32" s="187">
        <v>3500</v>
      </c>
      <c r="J32" s="188">
        <v>75</v>
      </c>
      <c r="K32" s="196">
        <v>0.41</v>
      </c>
      <c r="L32" s="222"/>
      <c r="M32" s="141">
        <v>10</v>
      </c>
      <c r="N32" s="194">
        <v>1.26</v>
      </c>
      <c r="O32" s="187">
        <v>4</v>
      </c>
      <c r="P32" s="187">
        <v>17</v>
      </c>
      <c r="Q32" s="187">
        <v>376</v>
      </c>
      <c r="R32" s="188">
        <v>9</v>
      </c>
      <c r="S32" s="197" t="s">
        <v>16</v>
      </c>
    </row>
    <row r="33" spans="2:19" x14ac:dyDescent="0.3">
      <c r="B33" s="135"/>
      <c r="D33" s="224"/>
      <c r="E33" s="141">
        <v>30</v>
      </c>
      <c r="F33" s="194">
        <v>0.48</v>
      </c>
      <c r="G33" s="187">
        <v>5</v>
      </c>
      <c r="H33" s="187">
        <v>28</v>
      </c>
      <c r="I33" s="187">
        <v>940</v>
      </c>
      <c r="J33" s="188">
        <v>16</v>
      </c>
      <c r="K33" s="196">
        <v>0.373</v>
      </c>
      <c r="L33" s="222"/>
      <c r="M33" s="141">
        <v>30</v>
      </c>
      <c r="N33" s="198">
        <v>0.92</v>
      </c>
      <c r="O33" s="199">
        <v>2</v>
      </c>
      <c r="P33" s="199">
        <v>5</v>
      </c>
      <c r="Q33" s="199">
        <v>1890</v>
      </c>
      <c r="R33" s="200">
        <v>5</v>
      </c>
      <c r="S33" s="197" t="s">
        <v>16</v>
      </c>
    </row>
    <row r="34" spans="2:19" x14ac:dyDescent="0.3">
      <c r="B34" s="135"/>
      <c r="D34" s="224"/>
      <c r="E34" s="144"/>
      <c r="F34" s="144"/>
      <c r="G34" s="148"/>
      <c r="H34" s="148"/>
      <c r="I34" s="148"/>
      <c r="J34" s="148"/>
      <c r="K34" s="167"/>
      <c r="L34" s="222"/>
      <c r="M34" s="144"/>
      <c r="N34" s="144"/>
      <c r="O34" s="148"/>
      <c r="P34" s="148"/>
      <c r="Q34" s="148"/>
      <c r="R34" s="201"/>
      <c r="S34" s="167"/>
    </row>
    <row r="35" spans="2:19" x14ac:dyDescent="0.3">
      <c r="B35" s="135"/>
      <c r="D35" s="149"/>
      <c r="E35" s="150"/>
      <c r="F35" s="150"/>
      <c r="G35" s="150"/>
      <c r="H35" s="150"/>
      <c r="I35" s="150"/>
      <c r="J35" s="150"/>
      <c r="M35" s="151"/>
      <c r="N35" s="152"/>
      <c r="R35" s="153"/>
    </row>
    <row r="36" spans="2:19" ht="15" customHeight="1" x14ac:dyDescent="0.3">
      <c r="B36" s="135"/>
      <c r="D36" s="149"/>
      <c r="E36" s="150"/>
      <c r="F36" s="150"/>
      <c r="G36" s="150"/>
      <c r="H36" s="150"/>
      <c r="I36" s="150"/>
      <c r="J36" s="150"/>
      <c r="M36" s="151"/>
      <c r="N36" s="152"/>
      <c r="R36" s="153"/>
    </row>
    <row r="37" spans="2:19" ht="16.2" thickBot="1" x14ac:dyDescent="0.35">
      <c r="B37" s="154"/>
      <c r="C37" s="155"/>
      <c r="D37" s="156"/>
      <c r="E37" s="157"/>
      <c r="F37" s="157"/>
      <c r="G37" s="157"/>
      <c r="H37" s="157"/>
      <c r="I37" s="157"/>
      <c r="J37" s="157"/>
      <c r="K37" s="155"/>
      <c r="L37" s="155"/>
      <c r="M37" s="157"/>
      <c r="N37" s="157"/>
      <c r="O37" s="155"/>
      <c r="P37" s="155"/>
      <c r="Q37" s="155"/>
      <c r="R37" s="160"/>
    </row>
    <row r="38" spans="2:19" ht="16.2" thickBot="1" x14ac:dyDescent="0.35">
      <c r="B38" s="161"/>
      <c r="C38" s="133"/>
      <c r="D38" s="132"/>
      <c r="E38" s="133"/>
      <c r="F38" s="133"/>
      <c r="G38" s="133"/>
      <c r="H38" s="133"/>
      <c r="I38" s="133"/>
      <c r="J38" s="133"/>
      <c r="K38" s="133"/>
      <c r="L38" s="132"/>
      <c r="M38" s="133"/>
      <c r="N38" s="133"/>
      <c r="O38" s="133"/>
      <c r="P38" s="133"/>
      <c r="Q38" s="133"/>
      <c r="R38" s="134"/>
    </row>
    <row r="39" spans="2:19" ht="15" customHeight="1" x14ac:dyDescent="0.3">
      <c r="B39" s="135"/>
      <c r="D39" s="136" t="s">
        <v>3</v>
      </c>
      <c r="E39" s="136" t="s">
        <v>4</v>
      </c>
      <c r="F39" s="136" t="s">
        <v>5</v>
      </c>
      <c r="G39" s="137" t="s">
        <v>91</v>
      </c>
      <c r="H39" s="137" t="s">
        <v>7</v>
      </c>
      <c r="I39" s="137" t="s">
        <v>8</v>
      </c>
      <c r="J39" s="137" t="s">
        <v>92</v>
      </c>
      <c r="L39" s="136" t="s">
        <v>3</v>
      </c>
      <c r="M39" s="136" t="s">
        <v>4</v>
      </c>
      <c r="N39" s="136" t="s">
        <v>5</v>
      </c>
      <c r="O39" s="137" t="s">
        <v>91</v>
      </c>
      <c r="P39" s="137" t="s">
        <v>7</v>
      </c>
      <c r="Q39" s="137" t="s">
        <v>8</v>
      </c>
      <c r="R39" s="138" t="s">
        <v>92</v>
      </c>
    </row>
    <row r="40" spans="2:19" ht="31.2" x14ac:dyDescent="0.3">
      <c r="B40" s="147" t="s">
        <v>17</v>
      </c>
      <c r="D40" s="222" t="s">
        <v>40</v>
      </c>
      <c r="E40" s="141">
        <v>0</v>
      </c>
      <c r="F40" s="202">
        <v>1.9</v>
      </c>
      <c r="G40" s="187">
        <v>1975</v>
      </c>
      <c r="H40" s="187">
        <v>6200</v>
      </c>
      <c r="I40" s="187">
        <v>98000</v>
      </c>
      <c r="J40" s="188">
        <v>860</v>
      </c>
      <c r="L40" s="222" t="s">
        <v>40</v>
      </c>
      <c r="M40" s="141">
        <v>0</v>
      </c>
      <c r="N40" s="203">
        <v>3.92</v>
      </c>
      <c r="O40" s="187">
        <v>2250</v>
      </c>
      <c r="P40" s="187">
        <v>5900</v>
      </c>
      <c r="Q40" s="187">
        <v>116000</v>
      </c>
      <c r="R40" s="188">
        <v>660</v>
      </c>
    </row>
    <row r="41" spans="2:19" x14ac:dyDescent="0.3">
      <c r="B41" s="135"/>
      <c r="D41" s="222"/>
      <c r="E41" s="141">
        <v>1</v>
      </c>
      <c r="F41" s="188">
        <v>0.16</v>
      </c>
      <c r="G41" s="187">
        <v>68</v>
      </c>
      <c r="H41" s="187">
        <v>330</v>
      </c>
      <c r="I41" s="187">
        <v>50000</v>
      </c>
      <c r="J41" s="188">
        <v>240</v>
      </c>
      <c r="L41" s="222"/>
      <c r="M41" s="141">
        <v>1</v>
      </c>
      <c r="N41" s="188">
        <v>1.36</v>
      </c>
      <c r="O41" s="187">
        <v>24</v>
      </c>
      <c r="P41" s="187">
        <v>100</v>
      </c>
      <c r="Q41" s="187">
        <v>1800</v>
      </c>
      <c r="R41" s="188">
        <v>140</v>
      </c>
    </row>
    <row r="42" spans="2:19" x14ac:dyDescent="0.3">
      <c r="B42" s="135"/>
      <c r="D42" s="222"/>
      <c r="E42" s="141">
        <v>3</v>
      </c>
      <c r="F42" s="188">
        <v>0.13</v>
      </c>
      <c r="G42" s="187">
        <v>64</v>
      </c>
      <c r="H42" s="187">
        <v>310</v>
      </c>
      <c r="I42" s="187">
        <v>60000</v>
      </c>
      <c r="J42" s="188">
        <v>164</v>
      </c>
      <c r="L42" s="222"/>
      <c r="M42" s="141">
        <v>3</v>
      </c>
      <c r="N42" s="204">
        <v>0.9</v>
      </c>
      <c r="O42" s="187">
        <v>12</v>
      </c>
      <c r="P42" s="187">
        <v>68</v>
      </c>
      <c r="Q42" s="187">
        <v>960</v>
      </c>
      <c r="R42" s="188">
        <v>44</v>
      </c>
    </row>
    <row r="43" spans="2:19" x14ac:dyDescent="0.3">
      <c r="B43" s="135"/>
      <c r="D43" s="222"/>
      <c r="E43" s="141">
        <v>5</v>
      </c>
      <c r="F43" s="188">
        <v>0.08</v>
      </c>
      <c r="G43" s="187">
        <v>56</v>
      </c>
      <c r="H43" s="187">
        <v>250</v>
      </c>
      <c r="I43" s="187">
        <v>64000</v>
      </c>
      <c r="J43" s="188">
        <v>164</v>
      </c>
      <c r="L43" s="222"/>
      <c r="M43" s="141">
        <v>5</v>
      </c>
      <c r="N43" s="188">
        <v>0.68</v>
      </c>
      <c r="O43" s="187">
        <v>4</v>
      </c>
      <c r="P43" s="187">
        <v>18</v>
      </c>
      <c r="Q43" s="187">
        <v>625</v>
      </c>
      <c r="R43" s="188">
        <v>24</v>
      </c>
    </row>
    <row r="44" spans="2:19" x14ac:dyDescent="0.3">
      <c r="B44" s="135"/>
      <c r="D44" s="222"/>
      <c r="E44" s="141">
        <v>10</v>
      </c>
      <c r="F44" s="188">
        <v>0.05</v>
      </c>
      <c r="G44" s="187">
        <v>25</v>
      </c>
      <c r="H44" s="187">
        <v>104</v>
      </c>
      <c r="I44" s="187">
        <v>3500</v>
      </c>
      <c r="J44" s="188">
        <v>75</v>
      </c>
      <c r="L44" s="222"/>
      <c r="M44" s="141">
        <v>10</v>
      </c>
      <c r="N44" s="188">
        <v>0.44</v>
      </c>
      <c r="O44" s="187">
        <v>4</v>
      </c>
      <c r="P44" s="187">
        <v>17</v>
      </c>
      <c r="Q44" s="187">
        <v>376</v>
      </c>
      <c r="R44" s="188">
        <v>9</v>
      </c>
    </row>
    <row r="45" spans="2:19" ht="16.2" thickBot="1" x14ac:dyDescent="0.35">
      <c r="B45" s="135"/>
      <c r="D45" s="222"/>
      <c r="E45" s="141">
        <v>30</v>
      </c>
      <c r="F45" s="188">
        <v>0.03</v>
      </c>
      <c r="G45" s="187">
        <v>5</v>
      </c>
      <c r="H45" s="187">
        <v>28</v>
      </c>
      <c r="I45" s="187">
        <v>940</v>
      </c>
      <c r="J45" s="188">
        <v>16</v>
      </c>
      <c r="L45" s="222"/>
      <c r="M45" s="141">
        <v>30</v>
      </c>
      <c r="N45" s="205">
        <v>0.26</v>
      </c>
      <c r="O45" s="199">
        <v>2</v>
      </c>
      <c r="P45" s="199">
        <v>5</v>
      </c>
      <c r="Q45" s="199">
        <v>1890</v>
      </c>
      <c r="R45" s="200">
        <v>5</v>
      </c>
    </row>
    <row r="46" spans="2:19" x14ac:dyDescent="0.3">
      <c r="B46" s="135"/>
      <c r="D46" s="224"/>
      <c r="E46" s="144"/>
      <c r="F46" s="144"/>
      <c r="G46" s="148"/>
      <c r="H46" s="148"/>
      <c r="I46" s="148"/>
      <c r="J46" s="148"/>
      <c r="L46" s="222"/>
      <c r="M46" s="144"/>
      <c r="N46" s="144"/>
      <c r="O46" s="148"/>
      <c r="P46" s="148"/>
      <c r="Q46" s="148"/>
      <c r="R46" s="191"/>
    </row>
    <row r="47" spans="2:19" x14ac:dyDescent="0.3">
      <c r="B47" s="206"/>
      <c r="D47" s="150"/>
      <c r="E47" s="151"/>
      <c r="F47" s="151"/>
      <c r="G47" s="171"/>
      <c r="H47" s="171"/>
      <c r="I47" s="171"/>
      <c r="J47" s="171"/>
      <c r="L47" s="150"/>
      <c r="M47" s="151"/>
      <c r="N47" s="151"/>
      <c r="O47" s="171"/>
      <c r="P47" s="171"/>
      <c r="Q47" s="171"/>
      <c r="R47" s="172"/>
    </row>
    <row r="48" spans="2:19" x14ac:dyDescent="0.3">
      <c r="B48" s="206"/>
      <c r="R48" s="153"/>
    </row>
    <row r="49" spans="2:18" ht="16.2" thickBot="1" x14ac:dyDescent="0.35">
      <c r="B49" s="207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60"/>
    </row>
    <row r="52" spans="2:18" ht="15" customHeight="1" x14ac:dyDescent="0.3"/>
    <row r="55" spans="2:18" ht="14.25" customHeight="1" x14ac:dyDescent="0.3"/>
    <row r="57" spans="2:18" ht="15" customHeight="1" x14ac:dyDescent="0.3"/>
    <row r="70" s="130" customFormat="1" ht="14.25" customHeight="1" x14ac:dyDescent="0.3"/>
    <row r="72" s="130" customFormat="1" ht="14.25" customHeight="1" x14ac:dyDescent="0.3"/>
    <row r="107" spans="3:3" ht="16.2" thickBot="1" x14ac:dyDescent="0.35"/>
    <row r="108" spans="3:3" ht="14.25" customHeight="1" x14ac:dyDescent="0.3">
      <c r="C108" s="133"/>
    </row>
    <row r="110" spans="3:3" ht="15" customHeight="1" x14ac:dyDescent="0.3"/>
    <row r="123" s="130" customFormat="1" ht="14.25" customHeight="1" x14ac:dyDescent="0.3"/>
    <row r="125" s="130" customFormat="1" ht="14.25" customHeight="1" x14ac:dyDescent="0.3"/>
    <row r="160" spans="3:3" ht="16.2" thickBot="1" x14ac:dyDescent="0.35">
      <c r="C160" s="155"/>
    </row>
    <row r="161" spans="3:3" ht="14.25" customHeight="1" x14ac:dyDescent="0.3">
      <c r="C161" s="133"/>
    </row>
    <row r="163" spans="3:3" ht="15" customHeight="1" x14ac:dyDescent="0.3"/>
    <row r="176" spans="3:3" ht="14.25" customHeight="1" x14ac:dyDescent="0.3"/>
    <row r="178" s="130" customFormat="1" ht="14.25" customHeight="1" x14ac:dyDescent="0.3"/>
    <row r="213" spans="3:3" ht="16.2" thickBot="1" x14ac:dyDescent="0.35">
      <c r="C213" s="155"/>
    </row>
  </sheetData>
  <mergeCells count="9">
    <mergeCell ref="AF15:AJ15"/>
    <mergeCell ref="D4:D10"/>
    <mergeCell ref="L4:L10"/>
    <mergeCell ref="D40:D46"/>
    <mergeCell ref="L40:L46"/>
    <mergeCell ref="D28:D34"/>
    <mergeCell ref="L28:L34"/>
    <mergeCell ref="D16:D22"/>
    <mergeCell ref="L16:L22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67AB-AF8D-400B-A547-FD93852D5FD1}">
  <dimension ref="A1:AJ213"/>
  <sheetViews>
    <sheetView zoomScale="70" zoomScaleNormal="70" workbookViewId="0">
      <selection activeCell="AD47" sqref="AD47"/>
    </sheetView>
  </sheetViews>
  <sheetFormatPr defaultColWidth="9.109375" defaultRowHeight="15.6" x14ac:dyDescent="0.3"/>
  <cols>
    <col min="1" max="1" width="26.6640625" style="130" customWidth="1"/>
    <col min="2" max="19" width="12.6640625" style="130" customWidth="1"/>
    <col min="20" max="28" width="9.109375" style="130"/>
    <col min="29" max="29" width="14.33203125" style="130" bestFit="1" customWidth="1"/>
    <col min="30" max="16384" width="9.109375" style="130"/>
  </cols>
  <sheetData>
    <row r="1" spans="1:36" ht="16.2" thickBot="1" x14ac:dyDescent="0.35">
      <c r="A1" s="129" t="s">
        <v>34</v>
      </c>
    </row>
    <row r="2" spans="1:36" ht="16.2" thickBot="1" x14ac:dyDescent="0.35">
      <c r="A2" s="129" t="s">
        <v>39</v>
      </c>
      <c r="B2" s="161"/>
      <c r="C2" s="133"/>
      <c r="D2" s="132"/>
      <c r="E2" s="133"/>
      <c r="F2" s="133"/>
      <c r="G2" s="133"/>
      <c r="H2" s="133"/>
      <c r="I2" s="133"/>
      <c r="J2" s="133"/>
      <c r="K2" s="133"/>
      <c r="L2" s="132"/>
      <c r="M2" s="133"/>
      <c r="N2" s="133"/>
      <c r="O2" s="133"/>
      <c r="P2" s="133"/>
      <c r="Q2" s="133"/>
      <c r="R2" s="134"/>
    </row>
    <row r="3" spans="1:36" s="174" customFormat="1" ht="62.4" x14ac:dyDescent="0.3">
      <c r="A3" s="181">
        <v>45313</v>
      </c>
      <c r="B3" s="135"/>
      <c r="D3" s="175" t="s">
        <v>3</v>
      </c>
      <c r="E3" s="175" t="s">
        <v>4</v>
      </c>
      <c r="F3" s="175" t="s">
        <v>5</v>
      </c>
      <c r="G3" s="180" t="s">
        <v>91</v>
      </c>
      <c r="H3" s="180" t="s">
        <v>7</v>
      </c>
      <c r="I3" s="180" t="s">
        <v>8</v>
      </c>
      <c r="J3" s="182" t="s">
        <v>9</v>
      </c>
      <c r="K3" s="174" t="s">
        <v>94</v>
      </c>
      <c r="L3" s="175" t="s">
        <v>3</v>
      </c>
      <c r="M3" s="175" t="s">
        <v>4</v>
      </c>
      <c r="N3" s="175" t="s">
        <v>5</v>
      </c>
      <c r="O3" s="177" t="s">
        <v>91</v>
      </c>
      <c r="P3" s="177" t="s">
        <v>7</v>
      </c>
      <c r="Q3" s="177" t="s">
        <v>8</v>
      </c>
      <c r="R3" s="178" t="s">
        <v>92</v>
      </c>
      <c r="T3" s="179"/>
      <c r="V3" s="179"/>
      <c r="X3" s="179"/>
    </row>
    <row r="4" spans="1:36" ht="15" customHeight="1" x14ac:dyDescent="0.3">
      <c r="B4" s="135"/>
      <c r="D4" s="222" t="s">
        <v>40</v>
      </c>
      <c r="E4" s="141">
        <v>0</v>
      </c>
      <c r="F4" s="183">
        <v>0.91</v>
      </c>
      <c r="G4" s="184">
        <v>1450</v>
      </c>
      <c r="H4" s="184">
        <v>5600</v>
      </c>
      <c r="I4" s="184">
        <v>100000</v>
      </c>
      <c r="J4" s="185">
        <v>775</v>
      </c>
      <c r="K4" s="208">
        <f>F4-F5</f>
        <v>0.21000000000000008</v>
      </c>
      <c r="L4" s="222" t="s">
        <v>40</v>
      </c>
      <c r="M4" s="141">
        <v>0</v>
      </c>
      <c r="N4" s="186">
        <v>1.94</v>
      </c>
      <c r="O4" s="187">
        <v>1350</v>
      </c>
      <c r="P4" s="187">
        <v>5100</v>
      </c>
      <c r="Q4" s="187">
        <v>98000</v>
      </c>
      <c r="R4" s="188">
        <v>800</v>
      </c>
      <c r="S4" s="130" t="s">
        <v>94</v>
      </c>
      <c r="T4" s="139"/>
      <c r="V4" s="139"/>
      <c r="AF4"/>
    </row>
    <row r="5" spans="1:36" x14ac:dyDescent="0.3">
      <c r="B5" s="135"/>
      <c r="D5" s="222"/>
      <c r="E5" s="141">
        <v>1</v>
      </c>
      <c r="F5" s="189">
        <v>0.7</v>
      </c>
      <c r="G5" s="187">
        <v>920</v>
      </c>
      <c r="H5" s="187">
        <v>3900</v>
      </c>
      <c r="I5" s="187">
        <v>66000</v>
      </c>
      <c r="J5" s="188">
        <v>620</v>
      </c>
      <c r="L5" s="222"/>
      <c r="M5" s="141">
        <v>1</v>
      </c>
      <c r="N5" s="190">
        <v>1.56</v>
      </c>
      <c r="O5" s="187">
        <v>20</v>
      </c>
      <c r="P5" s="187">
        <v>540</v>
      </c>
      <c r="Q5" s="187">
        <v>10400</v>
      </c>
      <c r="R5" s="188">
        <v>250</v>
      </c>
      <c r="S5" s="130">
        <f>N4-N5</f>
        <v>0.37999999999999989</v>
      </c>
    </row>
    <row r="6" spans="1:36" x14ac:dyDescent="0.3">
      <c r="A6" s="129" t="s">
        <v>41</v>
      </c>
      <c r="B6" s="147" t="s">
        <v>12</v>
      </c>
      <c r="D6" s="222"/>
      <c r="E6" s="141">
        <v>3</v>
      </c>
      <c r="F6" s="189">
        <v>0.62</v>
      </c>
      <c r="G6" s="187">
        <v>40</v>
      </c>
      <c r="H6" s="187">
        <v>500</v>
      </c>
      <c r="I6" s="187">
        <v>12400</v>
      </c>
      <c r="J6" s="188">
        <v>260</v>
      </c>
      <c r="L6" s="222"/>
      <c r="M6" s="141">
        <v>3</v>
      </c>
      <c r="N6" s="190">
        <v>1.41</v>
      </c>
      <c r="O6" s="187" t="s">
        <v>22</v>
      </c>
      <c r="P6" s="187">
        <v>12</v>
      </c>
      <c r="Q6" s="187">
        <v>840</v>
      </c>
      <c r="R6" s="188">
        <v>64</v>
      </c>
    </row>
    <row r="7" spans="1:36" x14ac:dyDescent="0.3">
      <c r="B7" s="135"/>
      <c r="D7" s="222"/>
      <c r="E7" s="141">
        <v>5</v>
      </c>
      <c r="F7" s="189">
        <v>0.56000000000000005</v>
      </c>
      <c r="G7" s="187">
        <v>24</v>
      </c>
      <c r="H7" s="187">
        <v>58</v>
      </c>
      <c r="I7" s="187">
        <v>1275</v>
      </c>
      <c r="J7" s="188">
        <v>158</v>
      </c>
      <c r="L7" s="222"/>
      <c r="M7" s="141">
        <v>5</v>
      </c>
      <c r="N7" s="190">
        <v>1.39</v>
      </c>
      <c r="O7" s="187" t="s">
        <v>22</v>
      </c>
      <c r="P7" s="187">
        <v>6</v>
      </c>
      <c r="Q7" s="187">
        <v>305</v>
      </c>
      <c r="R7" s="188">
        <v>20</v>
      </c>
      <c r="AH7" s="208"/>
    </row>
    <row r="8" spans="1:36" x14ac:dyDescent="0.3">
      <c r="B8" s="135"/>
      <c r="D8" s="222"/>
      <c r="E8" s="141">
        <v>10</v>
      </c>
      <c r="F8" s="189">
        <v>0.52</v>
      </c>
      <c r="G8" s="187">
        <v>5</v>
      </c>
      <c r="H8" s="187">
        <v>24</v>
      </c>
      <c r="I8" s="187">
        <v>440</v>
      </c>
      <c r="J8" s="188">
        <v>33</v>
      </c>
      <c r="L8" s="222"/>
      <c r="M8" s="141">
        <v>10</v>
      </c>
      <c r="N8" s="190">
        <v>1.24</v>
      </c>
      <c r="O8" s="187">
        <v>4</v>
      </c>
      <c r="P8" s="187">
        <v>12</v>
      </c>
      <c r="Q8" s="187">
        <v>250</v>
      </c>
      <c r="R8" s="188">
        <v>1</v>
      </c>
      <c r="AH8" s="208"/>
    </row>
    <row r="9" spans="1:36" x14ac:dyDescent="0.3">
      <c r="B9" s="135"/>
      <c r="D9" s="222"/>
      <c r="E9" s="141">
        <v>30</v>
      </c>
      <c r="F9" s="189">
        <v>0.26</v>
      </c>
      <c r="G9" s="187">
        <v>5</v>
      </c>
      <c r="H9" s="187">
        <v>8</v>
      </c>
      <c r="I9" s="187">
        <v>370</v>
      </c>
      <c r="J9" s="188">
        <v>9</v>
      </c>
      <c r="L9" s="222"/>
      <c r="M9" s="141">
        <v>30</v>
      </c>
      <c r="N9" s="190">
        <v>0.87</v>
      </c>
      <c r="O9" s="187" t="s">
        <v>24</v>
      </c>
      <c r="P9" s="187">
        <v>8</v>
      </c>
      <c r="Q9" s="187">
        <v>165</v>
      </c>
      <c r="R9" s="188">
        <v>1</v>
      </c>
      <c r="AH9" s="208"/>
    </row>
    <row r="10" spans="1:36" x14ac:dyDescent="0.3">
      <c r="B10" s="135"/>
      <c r="D10" s="222"/>
      <c r="E10" s="144"/>
      <c r="F10" s="144"/>
      <c r="G10" s="148"/>
      <c r="H10" s="148"/>
      <c r="I10" s="148"/>
      <c r="J10" s="148"/>
      <c r="L10" s="222"/>
      <c r="M10" s="144"/>
      <c r="N10" s="144"/>
      <c r="O10" s="148"/>
      <c r="P10" s="148"/>
      <c r="Q10" s="148"/>
      <c r="R10" s="191"/>
      <c r="AH10" s="208"/>
    </row>
    <row r="11" spans="1:36" x14ac:dyDescent="0.3">
      <c r="B11" s="135"/>
      <c r="D11" s="149"/>
      <c r="E11" s="150"/>
      <c r="F11" s="150"/>
      <c r="G11" s="150"/>
      <c r="H11" s="150"/>
      <c r="I11" s="150"/>
      <c r="J11" s="150"/>
      <c r="M11" s="151"/>
      <c r="N11" s="152"/>
      <c r="R11" s="153"/>
      <c r="AH11" s="208"/>
    </row>
    <row r="12" spans="1:36" x14ac:dyDescent="0.3">
      <c r="B12" s="135"/>
      <c r="D12" s="149"/>
      <c r="E12" s="150"/>
      <c r="F12" s="150"/>
      <c r="G12" s="150"/>
      <c r="H12" s="150"/>
      <c r="I12" s="150"/>
      <c r="J12" s="150"/>
      <c r="M12" s="151"/>
      <c r="N12" s="152"/>
      <c r="R12" s="153"/>
      <c r="AF12" s="209"/>
      <c r="AG12" s="209"/>
      <c r="AH12" s="210"/>
    </row>
    <row r="13" spans="1:36" ht="16.2" thickBot="1" x14ac:dyDescent="0.35">
      <c r="B13" s="154"/>
      <c r="C13" s="155"/>
      <c r="D13" s="156"/>
      <c r="E13" s="157"/>
      <c r="F13" s="157"/>
      <c r="G13" s="157"/>
      <c r="H13" s="157"/>
      <c r="I13" s="157"/>
      <c r="J13" s="157"/>
      <c r="K13" s="155"/>
      <c r="L13" s="155"/>
      <c r="M13" s="157"/>
      <c r="N13" s="157"/>
      <c r="O13" s="155"/>
      <c r="P13" s="155"/>
      <c r="Q13" s="155"/>
      <c r="R13" s="160"/>
    </row>
    <row r="14" spans="1:36" ht="16.2" thickBot="1" x14ac:dyDescent="0.35">
      <c r="B14" s="161"/>
      <c r="C14" s="133"/>
      <c r="D14" s="132"/>
      <c r="E14" s="133"/>
      <c r="F14" s="133"/>
      <c r="G14" s="133"/>
      <c r="H14" s="133"/>
      <c r="I14" s="133"/>
      <c r="J14" s="133"/>
      <c r="K14" s="133"/>
      <c r="L14" s="132"/>
      <c r="M14" s="133"/>
      <c r="N14" s="133"/>
      <c r="O14" s="133"/>
      <c r="P14" s="133"/>
      <c r="Q14" s="133"/>
      <c r="R14" s="134"/>
    </row>
    <row r="15" spans="1:36" s="174" customFormat="1" ht="62.4" x14ac:dyDescent="0.6">
      <c r="B15" s="135"/>
      <c r="D15" s="175" t="s">
        <v>3</v>
      </c>
      <c r="E15" s="175" t="s">
        <v>4</v>
      </c>
      <c r="F15" s="175" t="s">
        <v>5</v>
      </c>
      <c r="G15" s="177" t="s">
        <v>91</v>
      </c>
      <c r="H15" s="177" t="s">
        <v>7</v>
      </c>
      <c r="I15" s="177" t="s">
        <v>8</v>
      </c>
      <c r="J15" s="177" t="s">
        <v>92</v>
      </c>
      <c r="L15" s="175" t="s">
        <v>3</v>
      </c>
      <c r="M15" s="175" t="s">
        <v>4</v>
      </c>
      <c r="N15" s="175" t="s">
        <v>5</v>
      </c>
      <c r="O15" s="177" t="s">
        <v>91</v>
      </c>
      <c r="P15" s="177" t="s">
        <v>7</v>
      </c>
      <c r="Q15" s="177" t="s">
        <v>8</v>
      </c>
      <c r="R15" s="178" t="s">
        <v>92</v>
      </c>
      <c r="AF15" s="223"/>
      <c r="AG15" s="223"/>
      <c r="AH15" s="223"/>
      <c r="AI15" s="223"/>
      <c r="AJ15" s="223"/>
    </row>
    <row r="16" spans="1:36" ht="21" x14ac:dyDescent="0.4">
      <c r="B16" s="135"/>
      <c r="D16" s="222" t="s">
        <v>40</v>
      </c>
      <c r="E16" s="141">
        <v>0</v>
      </c>
      <c r="F16" s="186">
        <v>1.91</v>
      </c>
      <c r="G16" s="187">
        <v>1650</v>
      </c>
      <c r="H16" s="187">
        <v>6500</v>
      </c>
      <c r="I16" s="187">
        <v>124000</v>
      </c>
      <c r="J16" s="188">
        <v>740</v>
      </c>
      <c r="L16" s="222" t="s">
        <v>40</v>
      </c>
      <c r="M16" s="141">
        <v>0</v>
      </c>
      <c r="N16" s="186">
        <v>3.96</v>
      </c>
      <c r="O16" s="187">
        <v>1500</v>
      </c>
      <c r="P16" s="187">
        <v>4200</v>
      </c>
      <c r="Q16" s="187">
        <v>96000</v>
      </c>
      <c r="R16" s="188">
        <v>900</v>
      </c>
      <c r="AH16" s="211"/>
    </row>
    <row r="17" spans="2:35" ht="15" customHeight="1" x14ac:dyDescent="0.3">
      <c r="B17" s="147" t="s">
        <v>13</v>
      </c>
      <c r="D17" s="222"/>
      <c r="E17" s="141">
        <v>1</v>
      </c>
      <c r="F17" s="190">
        <v>1.61</v>
      </c>
      <c r="G17" s="187">
        <v>1400</v>
      </c>
      <c r="H17" s="187">
        <v>4300</v>
      </c>
      <c r="I17" s="187">
        <v>96000</v>
      </c>
      <c r="J17" s="188">
        <v>740</v>
      </c>
      <c r="L17" s="222"/>
      <c r="M17" s="141">
        <v>1</v>
      </c>
      <c r="N17" s="190">
        <v>3.47</v>
      </c>
      <c r="O17" s="187">
        <v>2375</v>
      </c>
      <c r="P17" s="187">
        <v>5650</v>
      </c>
      <c r="Q17" s="187">
        <v>92000</v>
      </c>
      <c r="R17" s="188">
        <v>730</v>
      </c>
    </row>
    <row r="18" spans="2:35" x14ac:dyDescent="0.3">
      <c r="B18" s="135"/>
      <c r="D18" s="222"/>
      <c r="E18" s="141">
        <v>3</v>
      </c>
      <c r="F18" s="190">
        <v>1.56</v>
      </c>
      <c r="G18" s="187">
        <v>1750</v>
      </c>
      <c r="H18" s="187">
        <v>5200</v>
      </c>
      <c r="I18" s="187">
        <v>82000</v>
      </c>
      <c r="J18" s="188">
        <v>770</v>
      </c>
      <c r="L18" s="222"/>
      <c r="M18" s="141">
        <v>3</v>
      </c>
      <c r="N18" s="190">
        <v>3.46</v>
      </c>
      <c r="O18" s="187">
        <v>360</v>
      </c>
      <c r="P18" s="187">
        <v>4700</v>
      </c>
      <c r="Q18" s="187">
        <v>54000</v>
      </c>
      <c r="R18" s="188">
        <v>430</v>
      </c>
    </row>
    <row r="19" spans="2:35" ht="14.25" customHeight="1" x14ac:dyDescent="0.3">
      <c r="B19" s="135"/>
      <c r="D19" s="222"/>
      <c r="E19" s="141">
        <v>5</v>
      </c>
      <c r="F19" s="190">
        <v>1.54</v>
      </c>
      <c r="G19" s="187">
        <v>1000</v>
      </c>
      <c r="H19" s="187">
        <v>3250</v>
      </c>
      <c r="I19" s="187">
        <v>58000</v>
      </c>
      <c r="J19" s="188">
        <v>584</v>
      </c>
      <c r="L19" s="222"/>
      <c r="M19" s="141">
        <v>5</v>
      </c>
      <c r="N19" s="190">
        <v>3.29</v>
      </c>
      <c r="O19" s="187">
        <v>20</v>
      </c>
      <c r="P19" s="187">
        <v>418</v>
      </c>
      <c r="Q19" s="187">
        <v>15750</v>
      </c>
      <c r="R19" s="188">
        <v>294</v>
      </c>
    </row>
    <row r="20" spans="2:35" x14ac:dyDescent="0.3">
      <c r="B20" s="135"/>
      <c r="D20" s="222"/>
      <c r="E20" s="141">
        <v>10</v>
      </c>
      <c r="F20" s="190">
        <v>1.44</v>
      </c>
      <c r="G20" s="187">
        <v>94</v>
      </c>
      <c r="H20" s="187">
        <v>2700</v>
      </c>
      <c r="I20" s="187">
        <v>47000</v>
      </c>
      <c r="J20" s="188">
        <v>260</v>
      </c>
      <c r="L20" s="222"/>
      <c r="M20" s="141">
        <v>10</v>
      </c>
      <c r="N20" s="190">
        <v>3.26</v>
      </c>
      <c r="O20" s="187">
        <v>2</v>
      </c>
      <c r="P20" s="187">
        <v>63</v>
      </c>
      <c r="Q20" s="187">
        <v>2650</v>
      </c>
      <c r="R20" s="188">
        <v>75</v>
      </c>
    </row>
    <row r="21" spans="2:35" x14ac:dyDescent="0.3">
      <c r="B21" s="135"/>
      <c r="D21" s="222"/>
      <c r="E21" s="141">
        <v>30</v>
      </c>
      <c r="F21" s="190">
        <v>1.23</v>
      </c>
      <c r="G21" s="187">
        <v>1</v>
      </c>
      <c r="H21" s="187">
        <v>65</v>
      </c>
      <c r="I21" s="187">
        <v>1760</v>
      </c>
      <c r="J21" s="188">
        <v>72</v>
      </c>
      <c r="L21" s="222"/>
      <c r="M21" s="141">
        <v>30</v>
      </c>
      <c r="N21" s="189">
        <v>3</v>
      </c>
      <c r="O21" s="187">
        <v>3</v>
      </c>
      <c r="P21" s="187">
        <v>8</v>
      </c>
      <c r="Q21" s="187">
        <v>300</v>
      </c>
      <c r="R21" s="188">
        <v>1</v>
      </c>
      <c r="AG21" s="208"/>
      <c r="AH21" s="208"/>
      <c r="AI21" s="212"/>
    </row>
    <row r="22" spans="2:35" x14ac:dyDescent="0.3">
      <c r="B22" s="135"/>
      <c r="D22" s="222"/>
      <c r="E22" s="144"/>
      <c r="F22" s="144"/>
      <c r="G22" s="148"/>
      <c r="H22" s="148"/>
      <c r="I22" s="148"/>
      <c r="J22" s="148"/>
      <c r="L22" s="222"/>
      <c r="M22" s="144"/>
      <c r="N22" s="144"/>
      <c r="O22" s="148"/>
      <c r="P22" s="148"/>
      <c r="Q22" s="148"/>
      <c r="R22" s="191"/>
      <c r="AG22" s="208"/>
      <c r="AH22" s="208"/>
      <c r="AI22" s="212"/>
    </row>
    <row r="23" spans="2:35" x14ac:dyDescent="0.3">
      <c r="B23" s="135"/>
      <c r="D23" s="149"/>
      <c r="E23" s="150"/>
      <c r="F23" s="150"/>
      <c r="G23" s="150"/>
      <c r="H23" s="150"/>
      <c r="I23" s="150"/>
      <c r="J23" s="150"/>
      <c r="M23" s="151"/>
      <c r="N23" s="152"/>
      <c r="R23" s="153"/>
      <c r="AG23" s="208"/>
      <c r="AH23" s="208"/>
      <c r="AI23" s="212"/>
    </row>
    <row r="24" spans="2:35" x14ac:dyDescent="0.3">
      <c r="B24" s="135"/>
      <c r="D24" s="149"/>
      <c r="E24" s="150"/>
      <c r="F24" s="150"/>
      <c r="G24" s="150"/>
      <c r="H24" s="150"/>
      <c r="I24" s="150"/>
      <c r="J24" s="150"/>
      <c r="M24" s="151"/>
      <c r="N24" s="152"/>
      <c r="R24" s="153"/>
      <c r="AG24" s="208"/>
      <c r="AH24" s="208"/>
      <c r="AI24" s="212"/>
    </row>
    <row r="25" spans="2:35" ht="16.2" thickBot="1" x14ac:dyDescent="0.35">
      <c r="B25" s="154"/>
      <c r="C25" s="155"/>
      <c r="D25" s="156"/>
      <c r="E25" s="157"/>
      <c r="F25" s="157"/>
      <c r="G25" s="157"/>
      <c r="H25" s="157"/>
      <c r="I25" s="157"/>
      <c r="J25" s="157"/>
      <c r="K25" s="155"/>
      <c r="L25" s="155"/>
      <c r="M25" s="157"/>
      <c r="N25" s="157"/>
      <c r="O25" s="155"/>
      <c r="P25" s="155"/>
      <c r="Q25" s="155"/>
      <c r="R25" s="160"/>
      <c r="AF25" s="209"/>
      <c r="AG25" s="208"/>
      <c r="AH25" s="208"/>
      <c r="AI25" s="212"/>
    </row>
    <row r="26" spans="2:35" ht="16.2" thickBot="1" x14ac:dyDescent="0.35">
      <c r="B26" s="161"/>
      <c r="C26" s="133"/>
      <c r="D26" s="132"/>
      <c r="E26" s="133"/>
      <c r="F26" s="133"/>
      <c r="G26" s="133"/>
      <c r="H26" s="133"/>
      <c r="I26" s="133"/>
      <c r="J26" s="133"/>
      <c r="K26" s="133"/>
      <c r="L26" s="132"/>
      <c r="M26" s="133"/>
      <c r="N26" s="133"/>
      <c r="O26" s="133"/>
      <c r="P26" s="133"/>
      <c r="Q26" s="133"/>
      <c r="R26" s="134"/>
      <c r="AI26" s="212"/>
    </row>
    <row r="27" spans="2:35" s="174" customFormat="1" ht="62.4" x14ac:dyDescent="0.3">
      <c r="B27" s="135"/>
      <c r="D27" s="175" t="s">
        <v>3</v>
      </c>
      <c r="E27" s="175" t="s">
        <v>4</v>
      </c>
      <c r="F27" s="175" t="s">
        <v>5</v>
      </c>
      <c r="G27" s="177" t="s">
        <v>91</v>
      </c>
      <c r="H27" s="177" t="s">
        <v>7</v>
      </c>
      <c r="I27" s="177" t="s">
        <v>8</v>
      </c>
      <c r="J27" s="177" t="s">
        <v>92</v>
      </c>
      <c r="K27" s="180" t="s">
        <v>14</v>
      </c>
      <c r="L27" s="175" t="s">
        <v>3</v>
      </c>
      <c r="M27" s="175" t="s">
        <v>4</v>
      </c>
      <c r="N27" s="175" t="s">
        <v>5</v>
      </c>
      <c r="O27" s="177" t="s">
        <v>91</v>
      </c>
      <c r="P27" s="177" t="s">
        <v>7</v>
      </c>
      <c r="Q27" s="177" t="s">
        <v>8</v>
      </c>
      <c r="R27" s="178" t="s">
        <v>92</v>
      </c>
      <c r="S27" s="180" t="s">
        <v>14</v>
      </c>
    </row>
    <row r="28" spans="2:35" ht="31.2" x14ac:dyDescent="0.3">
      <c r="B28" s="147" t="s">
        <v>15</v>
      </c>
      <c r="D28" s="222" t="s">
        <v>40</v>
      </c>
      <c r="E28" s="141">
        <v>0</v>
      </c>
      <c r="F28" s="192">
        <v>1.9</v>
      </c>
      <c r="G28" s="187">
        <v>1975</v>
      </c>
      <c r="H28" s="187">
        <v>6200</v>
      </c>
      <c r="I28" s="187">
        <v>98000</v>
      </c>
      <c r="J28" s="188">
        <v>860</v>
      </c>
      <c r="K28" s="163"/>
      <c r="L28" s="222" t="s">
        <v>40</v>
      </c>
      <c r="M28" s="141">
        <v>0</v>
      </c>
      <c r="N28" s="193">
        <v>3.92</v>
      </c>
      <c r="O28" s="187">
        <v>2250</v>
      </c>
      <c r="P28" s="187">
        <v>5900</v>
      </c>
      <c r="Q28" s="187">
        <v>116000</v>
      </c>
      <c r="R28" s="188">
        <v>660</v>
      </c>
      <c r="S28" s="163"/>
    </row>
    <row r="29" spans="2:35" x14ac:dyDescent="0.3">
      <c r="B29" s="135"/>
      <c r="D29" s="222"/>
      <c r="E29" s="141">
        <v>1</v>
      </c>
      <c r="F29" s="194">
        <v>0.71</v>
      </c>
      <c r="G29" s="187">
        <v>68</v>
      </c>
      <c r="H29" s="187">
        <v>330</v>
      </c>
      <c r="I29" s="187">
        <v>50000</v>
      </c>
      <c r="J29" s="188">
        <v>240</v>
      </c>
      <c r="K29" s="163"/>
      <c r="L29" s="222"/>
      <c r="M29" s="141">
        <v>1</v>
      </c>
      <c r="N29" s="194">
        <v>2.34</v>
      </c>
      <c r="O29" s="187">
        <v>24</v>
      </c>
      <c r="P29" s="187">
        <v>100</v>
      </c>
      <c r="Q29" s="187">
        <v>1800</v>
      </c>
      <c r="R29" s="188">
        <v>140</v>
      </c>
      <c r="S29" s="163"/>
    </row>
    <row r="30" spans="2:35" x14ac:dyDescent="0.3">
      <c r="B30" s="135"/>
      <c r="D30" s="222"/>
      <c r="E30" s="141">
        <v>3</v>
      </c>
      <c r="F30" s="194">
        <v>0.67</v>
      </c>
      <c r="G30" s="187">
        <v>64</v>
      </c>
      <c r="H30" s="187">
        <v>310</v>
      </c>
      <c r="I30" s="187">
        <v>60000</v>
      </c>
      <c r="J30" s="188">
        <v>164</v>
      </c>
      <c r="K30" s="163"/>
      <c r="L30" s="222"/>
      <c r="M30" s="141">
        <v>3</v>
      </c>
      <c r="N30" s="195">
        <v>1.8</v>
      </c>
      <c r="O30" s="187">
        <v>12</v>
      </c>
      <c r="P30" s="187">
        <v>68</v>
      </c>
      <c r="Q30" s="187">
        <v>960</v>
      </c>
      <c r="R30" s="188">
        <v>44</v>
      </c>
      <c r="S30" s="163"/>
    </row>
    <row r="31" spans="2:35" x14ac:dyDescent="0.3">
      <c r="B31" s="135"/>
      <c r="D31" s="222"/>
      <c r="E31" s="141">
        <v>5</v>
      </c>
      <c r="F31" s="194">
        <v>0.62</v>
      </c>
      <c r="G31" s="187">
        <v>56</v>
      </c>
      <c r="H31" s="187">
        <v>250</v>
      </c>
      <c r="I31" s="187">
        <v>64000</v>
      </c>
      <c r="J31" s="188">
        <v>164</v>
      </c>
      <c r="K31" s="163"/>
      <c r="L31" s="222"/>
      <c r="M31" s="141">
        <v>5</v>
      </c>
      <c r="N31" s="194">
        <v>1.64</v>
      </c>
      <c r="O31" s="187">
        <v>4</v>
      </c>
      <c r="P31" s="187">
        <v>18</v>
      </c>
      <c r="Q31" s="187">
        <v>625</v>
      </c>
      <c r="R31" s="188">
        <v>24</v>
      </c>
      <c r="S31" s="163"/>
    </row>
    <row r="32" spans="2:35" x14ac:dyDescent="0.3">
      <c r="B32" s="135"/>
      <c r="D32" s="222"/>
      <c r="E32" s="141">
        <v>10</v>
      </c>
      <c r="F32" s="194">
        <v>0.57999999999999996</v>
      </c>
      <c r="G32" s="187">
        <v>25</v>
      </c>
      <c r="H32" s="187">
        <v>104</v>
      </c>
      <c r="I32" s="187">
        <v>3500</v>
      </c>
      <c r="J32" s="188">
        <v>75</v>
      </c>
      <c r="K32" s="196">
        <v>0.41</v>
      </c>
      <c r="L32" s="222"/>
      <c r="M32" s="141">
        <v>10</v>
      </c>
      <c r="N32" s="194">
        <v>1.26</v>
      </c>
      <c r="O32" s="187">
        <v>4</v>
      </c>
      <c r="P32" s="187">
        <v>17</v>
      </c>
      <c r="Q32" s="187">
        <v>376</v>
      </c>
      <c r="R32" s="188">
        <v>9</v>
      </c>
      <c r="S32" s="197" t="s">
        <v>16</v>
      </c>
    </row>
    <row r="33" spans="2:19" x14ac:dyDescent="0.3">
      <c r="B33" s="135"/>
      <c r="D33" s="224"/>
      <c r="E33" s="141">
        <v>30</v>
      </c>
      <c r="F33" s="194">
        <v>0.48</v>
      </c>
      <c r="G33" s="187">
        <v>5</v>
      </c>
      <c r="H33" s="187">
        <v>28</v>
      </c>
      <c r="I33" s="187">
        <v>940</v>
      </c>
      <c r="J33" s="188">
        <v>16</v>
      </c>
      <c r="K33" s="196">
        <v>0.373</v>
      </c>
      <c r="L33" s="222"/>
      <c r="M33" s="141">
        <v>30</v>
      </c>
      <c r="N33" s="198">
        <v>0.92</v>
      </c>
      <c r="O33" s="199">
        <v>2</v>
      </c>
      <c r="P33" s="199">
        <v>5</v>
      </c>
      <c r="Q33" s="199">
        <v>1890</v>
      </c>
      <c r="R33" s="200">
        <v>5</v>
      </c>
      <c r="S33" s="197" t="s">
        <v>16</v>
      </c>
    </row>
    <row r="34" spans="2:19" x14ac:dyDescent="0.3">
      <c r="B34" s="135"/>
      <c r="D34" s="224"/>
      <c r="E34" s="144"/>
      <c r="F34" s="144"/>
      <c r="G34" s="148"/>
      <c r="H34" s="148"/>
      <c r="I34" s="148"/>
      <c r="J34" s="148"/>
      <c r="K34" s="167"/>
      <c r="L34" s="222"/>
      <c r="M34" s="144"/>
      <c r="N34" s="144"/>
      <c r="O34" s="148"/>
      <c r="P34" s="148"/>
      <c r="Q34" s="148"/>
      <c r="R34" s="201"/>
      <c r="S34" s="167"/>
    </row>
    <row r="35" spans="2:19" x14ac:dyDescent="0.3">
      <c r="B35" s="135"/>
      <c r="D35" s="149"/>
      <c r="E35" s="150"/>
      <c r="F35" s="150"/>
      <c r="G35" s="150"/>
      <c r="H35" s="150"/>
      <c r="I35" s="150"/>
      <c r="J35" s="150"/>
      <c r="M35" s="151"/>
      <c r="N35" s="152"/>
      <c r="R35" s="153"/>
    </row>
    <row r="36" spans="2:19" ht="15" customHeight="1" x14ac:dyDescent="0.3">
      <c r="B36" s="135"/>
      <c r="D36" s="149"/>
      <c r="E36" s="150"/>
      <c r="F36" s="150"/>
      <c r="G36" s="150"/>
      <c r="H36" s="150"/>
      <c r="I36" s="150"/>
      <c r="J36" s="150"/>
      <c r="M36" s="151"/>
      <c r="N36" s="152"/>
      <c r="R36" s="153"/>
    </row>
    <row r="37" spans="2:19" ht="16.2" thickBot="1" x14ac:dyDescent="0.35">
      <c r="B37" s="154"/>
      <c r="C37" s="155"/>
      <c r="D37" s="156"/>
      <c r="E37" s="157"/>
      <c r="F37" s="157"/>
      <c r="G37" s="157"/>
      <c r="H37" s="157"/>
      <c r="I37" s="157"/>
      <c r="J37" s="157"/>
      <c r="K37" s="155"/>
      <c r="L37" s="155"/>
      <c r="M37" s="157"/>
      <c r="N37" s="157"/>
      <c r="O37" s="155"/>
      <c r="P37" s="155"/>
      <c r="Q37" s="155"/>
      <c r="R37" s="160"/>
    </row>
    <row r="38" spans="2:19" ht="16.2" thickBot="1" x14ac:dyDescent="0.35">
      <c r="B38" s="161"/>
      <c r="C38" s="133"/>
      <c r="D38" s="132"/>
      <c r="E38" s="133"/>
      <c r="F38" s="133"/>
      <c r="G38" s="133"/>
      <c r="H38" s="133"/>
      <c r="I38" s="133"/>
      <c r="J38" s="133"/>
      <c r="K38" s="133"/>
      <c r="L38" s="132"/>
      <c r="M38" s="133"/>
      <c r="N38" s="133"/>
      <c r="O38" s="133"/>
      <c r="P38" s="133"/>
      <c r="Q38" s="133"/>
      <c r="R38" s="134"/>
    </row>
    <row r="39" spans="2:19" ht="15" customHeight="1" x14ac:dyDescent="0.3">
      <c r="B39" s="135"/>
      <c r="D39" s="136" t="s">
        <v>3</v>
      </c>
      <c r="E39" s="136" t="s">
        <v>4</v>
      </c>
      <c r="F39" s="136" t="s">
        <v>5</v>
      </c>
      <c r="G39" s="137" t="s">
        <v>91</v>
      </c>
      <c r="H39" s="137" t="s">
        <v>7</v>
      </c>
      <c r="I39" s="137" t="s">
        <v>8</v>
      </c>
      <c r="J39" s="137" t="s">
        <v>92</v>
      </c>
      <c r="L39" s="136" t="s">
        <v>3</v>
      </c>
      <c r="M39" s="136" t="s">
        <v>4</v>
      </c>
      <c r="N39" s="136" t="s">
        <v>5</v>
      </c>
      <c r="O39" s="137" t="s">
        <v>91</v>
      </c>
      <c r="P39" s="137" t="s">
        <v>7</v>
      </c>
      <c r="Q39" s="137" t="s">
        <v>8</v>
      </c>
      <c r="R39" s="138" t="s">
        <v>92</v>
      </c>
    </row>
    <row r="40" spans="2:19" ht="31.2" x14ac:dyDescent="0.3">
      <c r="B40" s="147" t="s">
        <v>17</v>
      </c>
      <c r="D40" s="222" t="s">
        <v>40</v>
      </c>
      <c r="E40" s="141">
        <v>0</v>
      </c>
      <c r="F40" s="202">
        <v>1.9</v>
      </c>
      <c r="G40" s="187">
        <v>1975</v>
      </c>
      <c r="H40" s="187">
        <v>6200</v>
      </c>
      <c r="I40" s="187">
        <v>98000</v>
      </c>
      <c r="J40" s="188">
        <v>860</v>
      </c>
      <c r="L40" s="222" t="s">
        <v>40</v>
      </c>
      <c r="M40" s="141">
        <v>0</v>
      </c>
      <c r="N40" s="203">
        <v>3.92</v>
      </c>
      <c r="O40" s="187">
        <v>2250</v>
      </c>
      <c r="P40" s="187">
        <v>5900</v>
      </c>
      <c r="Q40" s="187">
        <v>116000</v>
      </c>
      <c r="R40" s="188">
        <v>660</v>
      </c>
    </row>
    <row r="41" spans="2:19" x14ac:dyDescent="0.3">
      <c r="B41" s="135"/>
      <c r="D41" s="222"/>
      <c r="E41" s="141">
        <v>1</v>
      </c>
      <c r="F41" s="188">
        <v>0.16</v>
      </c>
      <c r="G41" s="187">
        <v>68</v>
      </c>
      <c r="H41" s="187">
        <v>330</v>
      </c>
      <c r="I41" s="187">
        <v>50000</v>
      </c>
      <c r="J41" s="188">
        <v>240</v>
      </c>
      <c r="L41" s="222"/>
      <c r="M41" s="141">
        <v>1</v>
      </c>
      <c r="N41" s="188">
        <v>1.36</v>
      </c>
      <c r="O41" s="187">
        <v>24</v>
      </c>
      <c r="P41" s="187">
        <v>100</v>
      </c>
      <c r="Q41" s="187">
        <v>1800</v>
      </c>
      <c r="R41" s="188">
        <v>140</v>
      </c>
    </row>
    <row r="42" spans="2:19" x14ac:dyDescent="0.3">
      <c r="B42" s="135"/>
      <c r="D42" s="222"/>
      <c r="E42" s="141">
        <v>3</v>
      </c>
      <c r="F42" s="188">
        <v>0.13</v>
      </c>
      <c r="G42" s="187">
        <v>64</v>
      </c>
      <c r="H42" s="187">
        <v>310</v>
      </c>
      <c r="I42" s="187">
        <v>60000</v>
      </c>
      <c r="J42" s="188">
        <v>164</v>
      </c>
      <c r="L42" s="222"/>
      <c r="M42" s="141">
        <v>3</v>
      </c>
      <c r="N42" s="204">
        <v>0.9</v>
      </c>
      <c r="O42" s="187">
        <v>12</v>
      </c>
      <c r="P42" s="187">
        <v>68</v>
      </c>
      <c r="Q42" s="187">
        <v>960</v>
      </c>
      <c r="R42" s="188">
        <v>44</v>
      </c>
    </row>
    <row r="43" spans="2:19" x14ac:dyDescent="0.3">
      <c r="B43" s="135"/>
      <c r="D43" s="222"/>
      <c r="E43" s="141">
        <v>5</v>
      </c>
      <c r="F43" s="188">
        <v>0.08</v>
      </c>
      <c r="G43" s="187">
        <v>56</v>
      </c>
      <c r="H43" s="187">
        <v>250</v>
      </c>
      <c r="I43" s="187">
        <v>64000</v>
      </c>
      <c r="J43" s="188">
        <v>164</v>
      </c>
      <c r="L43" s="222"/>
      <c r="M43" s="141">
        <v>5</v>
      </c>
      <c r="N43" s="188">
        <v>0.68</v>
      </c>
      <c r="O43" s="187">
        <v>4</v>
      </c>
      <c r="P43" s="187">
        <v>18</v>
      </c>
      <c r="Q43" s="187">
        <v>625</v>
      </c>
      <c r="R43" s="188">
        <v>24</v>
      </c>
    </row>
    <row r="44" spans="2:19" x14ac:dyDescent="0.3">
      <c r="B44" s="135"/>
      <c r="D44" s="222"/>
      <c r="E44" s="141">
        <v>10</v>
      </c>
      <c r="F44" s="188">
        <v>0.05</v>
      </c>
      <c r="G44" s="187">
        <v>25</v>
      </c>
      <c r="H44" s="187">
        <v>104</v>
      </c>
      <c r="I44" s="187">
        <v>3500</v>
      </c>
      <c r="J44" s="188">
        <v>75</v>
      </c>
      <c r="L44" s="222"/>
      <c r="M44" s="141">
        <v>10</v>
      </c>
      <c r="N44" s="188">
        <v>0.44</v>
      </c>
      <c r="O44" s="187">
        <v>4</v>
      </c>
      <c r="P44" s="187">
        <v>17</v>
      </c>
      <c r="Q44" s="187">
        <v>376</v>
      </c>
      <c r="R44" s="188">
        <v>9</v>
      </c>
    </row>
    <row r="45" spans="2:19" ht="16.2" thickBot="1" x14ac:dyDescent="0.35">
      <c r="B45" s="135"/>
      <c r="D45" s="222"/>
      <c r="E45" s="141">
        <v>30</v>
      </c>
      <c r="F45" s="188">
        <v>0.03</v>
      </c>
      <c r="G45" s="187">
        <v>5</v>
      </c>
      <c r="H45" s="187">
        <v>28</v>
      </c>
      <c r="I45" s="187">
        <v>940</v>
      </c>
      <c r="J45" s="188">
        <v>16</v>
      </c>
      <c r="L45" s="222"/>
      <c r="M45" s="141">
        <v>30</v>
      </c>
      <c r="N45" s="205">
        <v>0.26</v>
      </c>
      <c r="O45" s="199">
        <v>2</v>
      </c>
      <c r="P45" s="199">
        <v>5</v>
      </c>
      <c r="Q45" s="199">
        <v>1890</v>
      </c>
      <c r="R45" s="200">
        <v>5</v>
      </c>
    </row>
    <row r="46" spans="2:19" x14ac:dyDescent="0.3">
      <c r="B46" s="135"/>
      <c r="D46" s="224"/>
      <c r="E46" s="144"/>
      <c r="F46" s="144"/>
      <c r="G46" s="148"/>
      <c r="H46" s="148"/>
      <c r="I46" s="148"/>
      <c r="J46" s="148"/>
      <c r="L46" s="222"/>
      <c r="M46" s="144"/>
      <c r="N46" s="144"/>
      <c r="O46" s="148"/>
      <c r="P46" s="148"/>
      <c r="Q46" s="148"/>
      <c r="R46" s="191"/>
    </row>
    <row r="47" spans="2:19" x14ac:dyDescent="0.3">
      <c r="B47" s="206"/>
      <c r="D47" s="150"/>
      <c r="E47" s="151"/>
      <c r="F47" s="151"/>
      <c r="G47" s="171"/>
      <c r="H47" s="171"/>
      <c r="I47" s="171"/>
      <c r="J47" s="171"/>
      <c r="L47" s="150"/>
      <c r="M47" s="151"/>
      <c r="N47" s="151"/>
      <c r="O47" s="171"/>
      <c r="P47" s="171"/>
      <c r="Q47" s="171"/>
      <c r="R47" s="172"/>
    </row>
    <row r="48" spans="2:19" x14ac:dyDescent="0.3">
      <c r="B48" s="206"/>
      <c r="R48" s="153"/>
    </row>
    <row r="49" spans="2:18" ht="16.2" thickBot="1" x14ac:dyDescent="0.35">
      <c r="B49" s="207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60"/>
    </row>
    <row r="52" spans="2:18" ht="15" customHeight="1" x14ac:dyDescent="0.3"/>
    <row r="55" spans="2:18" ht="14.25" customHeight="1" x14ac:dyDescent="0.3"/>
    <row r="57" spans="2:18" ht="15" customHeight="1" x14ac:dyDescent="0.3"/>
    <row r="70" s="130" customFormat="1" ht="14.25" customHeight="1" x14ac:dyDescent="0.3"/>
    <row r="72" s="130" customFormat="1" ht="14.25" customHeight="1" x14ac:dyDescent="0.3"/>
    <row r="107" spans="3:3" ht="16.2" thickBot="1" x14ac:dyDescent="0.35"/>
    <row r="108" spans="3:3" ht="14.25" customHeight="1" x14ac:dyDescent="0.3">
      <c r="C108" s="133"/>
    </row>
    <row r="110" spans="3:3" ht="15" customHeight="1" x14ac:dyDescent="0.3"/>
    <row r="123" s="130" customFormat="1" ht="14.25" customHeight="1" x14ac:dyDescent="0.3"/>
    <row r="125" s="130" customFormat="1" ht="14.25" customHeight="1" x14ac:dyDescent="0.3"/>
    <row r="160" spans="3:3" ht="16.2" thickBot="1" x14ac:dyDescent="0.35">
      <c r="C160" s="155"/>
    </row>
    <row r="161" spans="3:3" ht="14.25" customHeight="1" x14ac:dyDescent="0.3">
      <c r="C161" s="133"/>
    </row>
    <row r="163" spans="3:3" ht="15" customHeight="1" x14ac:dyDescent="0.3"/>
    <row r="176" spans="3:3" ht="14.25" customHeight="1" x14ac:dyDescent="0.3"/>
    <row r="178" s="130" customFormat="1" ht="14.25" customHeight="1" x14ac:dyDescent="0.3"/>
    <row r="213" spans="3:3" ht="16.2" thickBot="1" x14ac:dyDescent="0.35">
      <c r="C213" s="155"/>
    </row>
  </sheetData>
  <mergeCells count="9">
    <mergeCell ref="D40:D46"/>
    <mergeCell ref="L40:L46"/>
    <mergeCell ref="D4:D10"/>
    <mergeCell ref="L4:L10"/>
    <mergeCell ref="AF15:AJ15"/>
    <mergeCell ref="D16:D22"/>
    <mergeCell ref="L16:L22"/>
    <mergeCell ref="D28:D34"/>
    <mergeCell ref="L28:L34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13"/>
  <sheetViews>
    <sheetView zoomScale="80" zoomScaleNormal="80" workbookViewId="0">
      <selection activeCell="R4" sqref="R4"/>
    </sheetView>
  </sheetViews>
  <sheetFormatPr defaultColWidth="9.109375" defaultRowHeight="14.4" x14ac:dyDescent="0.3"/>
  <cols>
    <col min="1" max="1" width="39.44140625" style="2" bestFit="1" customWidth="1"/>
    <col min="2" max="2" width="25.44140625" style="2" bestFit="1" customWidth="1"/>
    <col min="3" max="3" width="10.6640625" style="2" bestFit="1" customWidth="1"/>
    <col min="4" max="5" width="6.44140625" style="2" customWidth="1"/>
    <col min="6" max="6" width="7.88671875" style="2" customWidth="1"/>
    <col min="7" max="7" width="8" style="2" customWidth="1"/>
    <col min="8" max="8" width="8.33203125" style="2" customWidth="1"/>
    <col min="9" max="9" width="8.109375" style="2" customWidth="1"/>
    <col min="10" max="10" width="7.5546875" style="2" customWidth="1"/>
    <col min="11" max="11" width="9.109375" style="2"/>
    <col min="12" max="12" width="10.33203125" style="2" customWidth="1"/>
    <col min="13" max="13" width="11" style="2" customWidth="1"/>
    <col min="14" max="15" width="11.5546875" style="2" customWidth="1"/>
    <col min="16" max="16" width="10.33203125" style="2" customWidth="1"/>
    <col min="17" max="17" width="12.6640625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0</v>
      </c>
    </row>
    <row r="2" spans="1:23" ht="26.4" thickBot="1" x14ac:dyDescent="0.55000000000000004">
      <c r="A2" s="51" t="s">
        <v>1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6.4" thickBot="1" x14ac:dyDescent="0.55000000000000004">
      <c r="A3" s="51" t="s">
        <v>2</v>
      </c>
      <c r="B3" s="77"/>
      <c r="C3" s="3" t="s">
        <v>3</v>
      </c>
      <c r="D3" s="3" t="s">
        <v>4</v>
      </c>
      <c r="E3" s="3" t="s">
        <v>44</v>
      </c>
      <c r="F3" s="20" t="s">
        <v>6</v>
      </c>
      <c r="G3" s="20" t="s">
        <v>7</v>
      </c>
      <c r="H3" s="20" t="s">
        <v>8</v>
      </c>
      <c r="I3" s="82" t="s">
        <v>9</v>
      </c>
      <c r="K3" s="3" t="s">
        <v>3</v>
      </c>
      <c r="L3" s="3" t="s">
        <v>4</v>
      </c>
      <c r="M3" s="3" t="s">
        <v>44</v>
      </c>
      <c r="N3" s="20" t="s">
        <v>6</v>
      </c>
      <c r="O3" s="20" t="s">
        <v>7</v>
      </c>
      <c r="P3" s="20" t="s">
        <v>8</v>
      </c>
      <c r="Q3" s="21" t="s">
        <v>31</v>
      </c>
      <c r="S3" s="1"/>
      <c r="U3" s="1"/>
      <c r="W3" s="1"/>
    </row>
    <row r="4" spans="1:23" ht="25.8" x14ac:dyDescent="0.5">
      <c r="A4" s="52">
        <v>45320</v>
      </c>
      <c r="B4" s="77"/>
      <c r="C4" s="214" t="s">
        <v>45</v>
      </c>
      <c r="D4" s="18">
        <v>0</v>
      </c>
      <c r="E4" s="83">
        <v>0.96</v>
      </c>
      <c r="F4" s="83">
        <v>5000</v>
      </c>
      <c r="G4" s="83">
        <v>10500</v>
      </c>
      <c r="H4" s="83">
        <v>155000</v>
      </c>
      <c r="I4" s="83">
        <v>1400</v>
      </c>
      <c r="K4" s="214" t="s">
        <v>45</v>
      </c>
      <c r="L4" s="18">
        <v>0</v>
      </c>
      <c r="M4" s="64">
        <v>2</v>
      </c>
      <c r="N4" s="64">
        <v>5900</v>
      </c>
      <c r="O4" s="64">
        <v>11500</v>
      </c>
      <c r="P4" s="64">
        <v>210000</v>
      </c>
      <c r="Q4" s="64">
        <v>3500</v>
      </c>
      <c r="S4" s="1"/>
      <c r="U4" s="1"/>
    </row>
    <row r="5" spans="1:23" x14ac:dyDescent="0.3">
      <c r="B5" s="77"/>
      <c r="C5" s="214"/>
      <c r="D5" s="18">
        <v>1</v>
      </c>
      <c r="E5" s="64">
        <v>0.67</v>
      </c>
      <c r="F5" s="64">
        <v>3000</v>
      </c>
      <c r="G5" s="64">
        <v>6400</v>
      </c>
      <c r="H5" s="64">
        <v>72000</v>
      </c>
      <c r="I5" s="64">
        <v>1350</v>
      </c>
      <c r="K5" s="214"/>
      <c r="L5" s="18">
        <v>1</v>
      </c>
      <c r="M5" s="64">
        <v>1.7</v>
      </c>
      <c r="N5" s="64">
        <v>580</v>
      </c>
      <c r="O5" s="64">
        <v>2000</v>
      </c>
      <c r="P5" s="64">
        <v>37000</v>
      </c>
      <c r="Q5" s="64">
        <v>2140</v>
      </c>
    </row>
    <row r="6" spans="1:23" ht="25.8" x14ac:dyDescent="0.5">
      <c r="A6" s="51" t="s">
        <v>46</v>
      </c>
      <c r="B6" s="91" t="s">
        <v>12</v>
      </c>
      <c r="C6" s="214"/>
      <c r="D6" s="18">
        <v>3</v>
      </c>
      <c r="E6" s="64">
        <v>0.27</v>
      </c>
      <c r="F6" s="64">
        <v>96</v>
      </c>
      <c r="G6" s="64">
        <v>230</v>
      </c>
      <c r="H6" s="64">
        <v>1650</v>
      </c>
      <c r="I6" s="64">
        <v>588</v>
      </c>
      <c r="K6" s="214"/>
      <c r="L6" s="18">
        <v>3</v>
      </c>
      <c r="M6" s="64">
        <v>1.63</v>
      </c>
      <c r="N6" s="64">
        <v>48</v>
      </c>
      <c r="O6" s="64">
        <v>200</v>
      </c>
      <c r="P6" s="64">
        <v>2150</v>
      </c>
      <c r="Q6" s="64">
        <v>364</v>
      </c>
    </row>
    <row r="7" spans="1:23" x14ac:dyDescent="0.3">
      <c r="B7" s="77"/>
      <c r="C7" s="214"/>
      <c r="D7" s="18">
        <v>5</v>
      </c>
      <c r="E7" s="64">
        <v>0.15</v>
      </c>
      <c r="F7" s="64">
        <v>60</v>
      </c>
      <c r="G7" s="64">
        <v>126</v>
      </c>
      <c r="H7" s="64">
        <v>1040</v>
      </c>
      <c r="I7" s="64">
        <v>278</v>
      </c>
      <c r="K7" s="214"/>
      <c r="L7" s="18">
        <v>5</v>
      </c>
      <c r="M7" s="64">
        <v>1.55</v>
      </c>
      <c r="N7" s="64">
        <v>42</v>
      </c>
      <c r="O7" s="64">
        <v>102</v>
      </c>
      <c r="P7" s="64">
        <v>800</v>
      </c>
      <c r="Q7" s="64">
        <v>98</v>
      </c>
    </row>
    <row r="8" spans="1:23" x14ac:dyDescent="0.3">
      <c r="B8" s="77"/>
      <c r="C8" s="214"/>
      <c r="D8" s="18">
        <v>10</v>
      </c>
      <c r="E8" s="64">
        <v>0.06</v>
      </c>
      <c r="F8" s="64">
        <v>21</v>
      </c>
      <c r="G8" s="64">
        <v>86</v>
      </c>
      <c r="H8" s="64">
        <v>640</v>
      </c>
      <c r="I8" s="64">
        <v>164</v>
      </c>
      <c r="K8" s="214"/>
      <c r="L8" s="18">
        <v>10</v>
      </c>
      <c r="M8" s="64">
        <v>1.35</v>
      </c>
      <c r="N8" s="64">
        <v>72</v>
      </c>
      <c r="O8" s="64">
        <v>140</v>
      </c>
      <c r="P8" s="64">
        <v>1620</v>
      </c>
      <c r="Q8" s="64">
        <v>12</v>
      </c>
    </row>
    <row r="9" spans="1:23" x14ac:dyDescent="0.3">
      <c r="B9" s="77"/>
      <c r="C9" s="214"/>
      <c r="D9" s="18">
        <v>30</v>
      </c>
      <c r="E9" s="64">
        <v>0.03</v>
      </c>
      <c r="F9" s="64">
        <v>29</v>
      </c>
      <c r="G9" s="64">
        <v>94</v>
      </c>
      <c r="H9" s="64">
        <v>590</v>
      </c>
      <c r="I9" s="64">
        <v>123</v>
      </c>
      <c r="K9" s="214"/>
      <c r="L9" s="18">
        <v>30</v>
      </c>
      <c r="M9" s="64">
        <v>0.85</v>
      </c>
      <c r="N9" s="64">
        <v>15</v>
      </c>
      <c r="O9" s="64">
        <v>38</v>
      </c>
      <c r="P9" s="64">
        <v>280</v>
      </c>
      <c r="Q9" s="64">
        <v>11</v>
      </c>
    </row>
    <row r="10" spans="1:23" x14ac:dyDescent="0.3">
      <c r="B10" s="77"/>
      <c r="C10" s="214"/>
      <c r="D10" s="5"/>
      <c r="E10" s="5"/>
      <c r="F10" s="4"/>
      <c r="G10" s="4"/>
      <c r="H10" s="4"/>
      <c r="I10" s="4"/>
      <c r="K10" s="214"/>
      <c r="L10" s="5"/>
      <c r="M10" s="5"/>
      <c r="N10" s="4"/>
      <c r="O10" s="4"/>
      <c r="P10" s="4"/>
      <c r="Q10" s="22"/>
    </row>
    <row r="11" spans="1:23" ht="15" thickBot="1" x14ac:dyDescent="0.35">
      <c r="B11" s="78"/>
      <c r="C11" s="15"/>
      <c r="D11" s="73"/>
      <c r="E11" s="73"/>
      <c r="F11" s="92"/>
      <c r="G11" s="92"/>
      <c r="H11" s="92"/>
      <c r="I11" s="92"/>
      <c r="J11" s="13"/>
      <c r="K11" s="15"/>
      <c r="L11" s="73"/>
      <c r="M11" s="73"/>
      <c r="N11" s="92"/>
      <c r="O11" s="92"/>
      <c r="P11" s="92"/>
      <c r="Q11" s="93"/>
    </row>
    <row r="12" spans="1:23" x14ac:dyDescent="0.3">
      <c r="B12" s="77"/>
      <c r="C12" s="11"/>
      <c r="D12" s="11"/>
      <c r="E12" s="11"/>
      <c r="F12" s="11"/>
      <c r="G12" s="11"/>
      <c r="H12" s="11"/>
      <c r="I12" s="11"/>
      <c r="K12" s="11"/>
      <c r="L12" s="11"/>
      <c r="M12" s="11"/>
      <c r="N12" s="11"/>
      <c r="O12" s="11"/>
      <c r="P12" s="11"/>
      <c r="Q12" s="84"/>
    </row>
    <row r="13" spans="1:23" x14ac:dyDescent="0.3">
      <c r="B13" s="77"/>
      <c r="E13" s="11"/>
      <c r="F13" s="11"/>
      <c r="M13" s="11"/>
      <c r="N13" s="11"/>
      <c r="Q13" s="9"/>
    </row>
    <row r="14" spans="1:23" x14ac:dyDescent="0.3">
      <c r="B14" s="77"/>
      <c r="C14" s="12"/>
      <c r="D14" s="11"/>
      <c r="E14" s="11"/>
      <c r="F14" s="11"/>
      <c r="G14" s="11"/>
      <c r="H14" s="11"/>
      <c r="I14" s="11"/>
      <c r="L14" s="10"/>
      <c r="M14" s="17"/>
      <c r="Q14" s="9"/>
    </row>
    <row r="15" spans="1:23" x14ac:dyDescent="0.3">
      <c r="B15" s="77"/>
      <c r="C15" s="12"/>
      <c r="D15" s="11"/>
      <c r="E15" s="11"/>
      <c r="F15" s="11"/>
      <c r="G15" s="11"/>
      <c r="H15" s="11"/>
      <c r="I15" s="11"/>
      <c r="L15" s="10"/>
      <c r="M15" s="17"/>
      <c r="Q15" s="9"/>
    </row>
    <row r="16" spans="1:23" ht="15" thickBot="1" x14ac:dyDescent="0.35">
      <c r="B16" s="77"/>
      <c r="C16" s="12"/>
      <c r="D16" s="11"/>
      <c r="E16" s="11"/>
      <c r="F16" s="11"/>
      <c r="G16" s="11"/>
      <c r="H16" s="11"/>
      <c r="I16" s="11"/>
      <c r="L16" s="11"/>
      <c r="M16" s="11"/>
      <c r="Q16" s="9"/>
    </row>
    <row r="17" spans="2:17" ht="15" customHeight="1" thickBot="1" x14ac:dyDescent="0.35">
      <c r="B17" s="58"/>
      <c r="C17" s="7" t="s">
        <v>42</v>
      </c>
      <c r="D17" s="6"/>
      <c r="E17" s="6" t="s">
        <v>47</v>
      </c>
      <c r="F17" s="6"/>
      <c r="G17" s="6"/>
      <c r="H17" s="6"/>
      <c r="I17" s="6"/>
      <c r="J17" s="6"/>
      <c r="K17" s="7" t="s">
        <v>42</v>
      </c>
      <c r="L17" s="6"/>
      <c r="M17" s="6" t="s">
        <v>47</v>
      </c>
      <c r="N17" s="6"/>
      <c r="O17" s="6"/>
      <c r="P17" s="6"/>
      <c r="Q17" s="8"/>
    </row>
    <row r="18" spans="2:17" x14ac:dyDescent="0.3">
      <c r="B18" s="77"/>
      <c r="C18" s="3" t="s">
        <v>3</v>
      </c>
      <c r="D18" s="3" t="s">
        <v>4</v>
      </c>
      <c r="E18" s="3" t="s">
        <v>44</v>
      </c>
      <c r="F18" s="20" t="s">
        <v>6</v>
      </c>
      <c r="G18" s="20" t="s">
        <v>7</v>
      </c>
      <c r="H18" s="20" t="s">
        <v>8</v>
      </c>
      <c r="I18" s="20" t="s">
        <v>31</v>
      </c>
      <c r="K18" s="3" t="s">
        <v>3</v>
      </c>
      <c r="L18" s="3" t="s">
        <v>4</v>
      </c>
      <c r="M18" s="3" t="s">
        <v>44</v>
      </c>
      <c r="N18" s="20" t="s">
        <v>6</v>
      </c>
      <c r="O18" s="20" t="s">
        <v>7</v>
      </c>
      <c r="P18" s="20" t="s">
        <v>8</v>
      </c>
      <c r="Q18" s="21" t="s">
        <v>31</v>
      </c>
    </row>
    <row r="19" spans="2:17" ht="14.25" customHeight="1" x14ac:dyDescent="0.3">
      <c r="B19" s="77"/>
      <c r="C19" s="214" t="s">
        <v>45</v>
      </c>
      <c r="D19" s="18">
        <v>0</v>
      </c>
      <c r="E19" s="64">
        <v>1.97</v>
      </c>
      <c r="F19" s="64">
        <v>5200</v>
      </c>
      <c r="G19" s="64">
        <v>12250</v>
      </c>
      <c r="H19" s="64">
        <v>147500</v>
      </c>
      <c r="I19" s="64">
        <v>3700</v>
      </c>
      <c r="K19" s="214" t="s">
        <v>45</v>
      </c>
      <c r="L19" s="18">
        <v>0</v>
      </c>
      <c r="M19" s="64">
        <v>4</v>
      </c>
      <c r="N19" s="64">
        <v>6400</v>
      </c>
      <c r="O19" s="64">
        <v>12000</v>
      </c>
      <c r="P19" s="64">
        <v>150000</v>
      </c>
      <c r="Q19" s="64">
        <v>2200</v>
      </c>
    </row>
    <row r="20" spans="2:17" x14ac:dyDescent="0.3">
      <c r="B20" s="77"/>
      <c r="C20" s="214"/>
      <c r="D20" s="18">
        <v>1</v>
      </c>
      <c r="E20" s="64">
        <v>1.67</v>
      </c>
      <c r="F20" s="64">
        <v>6400</v>
      </c>
      <c r="G20" s="64">
        <v>10000</v>
      </c>
      <c r="H20" s="64">
        <v>110000</v>
      </c>
      <c r="I20" s="64">
        <v>4400</v>
      </c>
      <c r="K20" s="214"/>
      <c r="L20" s="18">
        <v>1</v>
      </c>
      <c r="M20" s="64">
        <v>3.58</v>
      </c>
      <c r="N20" s="64">
        <v>4500</v>
      </c>
      <c r="O20" s="64">
        <v>9000</v>
      </c>
      <c r="P20" s="64">
        <v>95000</v>
      </c>
      <c r="Q20" s="64">
        <v>4400</v>
      </c>
    </row>
    <row r="21" spans="2:17" x14ac:dyDescent="0.3">
      <c r="B21" s="91" t="s">
        <v>13</v>
      </c>
      <c r="C21" s="214"/>
      <c r="D21" s="18">
        <v>3</v>
      </c>
      <c r="E21" s="64">
        <v>1.62</v>
      </c>
      <c r="F21" s="64">
        <v>6800</v>
      </c>
      <c r="G21" s="64">
        <v>11000</v>
      </c>
      <c r="H21" s="64">
        <v>130000</v>
      </c>
      <c r="I21" s="64">
        <v>1800</v>
      </c>
      <c r="K21" s="214"/>
      <c r="L21" s="18">
        <v>3</v>
      </c>
      <c r="M21" s="64">
        <v>3.55</v>
      </c>
      <c r="N21" s="64">
        <v>1480</v>
      </c>
      <c r="O21" s="64">
        <v>5700</v>
      </c>
      <c r="P21" s="64">
        <v>38000</v>
      </c>
      <c r="Q21" s="64">
        <v>2340</v>
      </c>
    </row>
    <row r="22" spans="2:17" x14ac:dyDescent="0.3">
      <c r="B22" s="77"/>
      <c r="C22" s="214"/>
      <c r="D22" s="18">
        <v>5</v>
      </c>
      <c r="E22" s="64">
        <v>1.57</v>
      </c>
      <c r="F22" s="64">
        <v>4000</v>
      </c>
      <c r="G22" s="64">
        <v>8800</v>
      </c>
      <c r="H22" s="64">
        <v>68000</v>
      </c>
      <c r="I22" s="64">
        <v>3800</v>
      </c>
      <c r="K22" s="214"/>
      <c r="L22" s="18">
        <v>5</v>
      </c>
      <c r="M22" s="64">
        <v>3.51</v>
      </c>
      <c r="N22" s="64">
        <v>222</v>
      </c>
      <c r="O22" s="64">
        <v>940</v>
      </c>
      <c r="P22" s="64">
        <v>28000</v>
      </c>
      <c r="Q22" s="64">
        <v>1595</v>
      </c>
    </row>
    <row r="23" spans="2:17" x14ac:dyDescent="0.3">
      <c r="B23" s="77"/>
      <c r="C23" s="214"/>
      <c r="D23" s="18">
        <v>10</v>
      </c>
      <c r="E23" s="64">
        <v>1.52</v>
      </c>
      <c r="F23" s="64">
        <v>660</v>
      </c>
      <c r="G23" s="64">
        <v>1800</v>
      </c>
      <c r="H23" s="64">
        <v>46000</v>
      </c>
      <c r="I23" s="64">
        <v>2400</v>
      </c>
      <c r="K23" s="214"/>
      <c r="L23" s="18">
        <v>10</v>
      </c>
      <c r="M23" s="64">
        <v>3.34</v>
      </c>
      <c r="N23" s="64">
        <v>69</v>
      </c>
      <c r="O23" s="64">
        <v>332</v>
      </c>
      <c r="P23" s="64">
        <v>4800</v>
      </c>
      <c r="Q23" s="64">
        <v>685</v>
      </c>
    </row>
    <row r="24" spans="2:17" x14ac:dyDescent="0.3">
      <c r="B24" s="77"/>
      <c r="C24" s="214"/>
      <c r="D24" s="18">
        <v>30</v>
      </c>
      <c r="E24" s="64">
        <v>1.33</v>
      </c>
      <c r="F24" s="64">
        <v>104</v>
      </c>
      <c r="G24" s="64">
        <v>140</v>
      </c>
      <c r="H24" s="64">
        <v>4300</v>
      </c>
      <c r="I24" s="64">
        <v>480</v>
      </c>
      <c r="K24" s="214"/>
      <c r="L24" s="18">
        <v>30</v>
      </c>
      <c r="M24" s="64">
        <v>3.03</v>
      </c>
      <c r="N24" s="64">
        <v>51</v>
      </c>
      <c r="O24" s="64">
        <v>92</v>
      </c>
      <c r="P24" s="64">
        <v>1850</v>
      </c>
      <c r="Q24" s="64">
        <v>120</v>
      </c>
    </row>
    <row r="25" spans="2:17" x14ac:dyDescent="0.3">
      <c r="B25" s="77"/>
      <c r="C25" s="214"/>
      <c r="D25" s="5"/>
      <c r="E25" s="5"/>
      <c r="F25" s="4"/>
      <c r="G25" s="4"/>
      <c r="H25" s="4"/>
      <c r="I25" s="4"/>
      <c r="K25" s="214"/>
      <c r="L25" s="5"/>
      <c r="M25" s="5"/>
      <c r="N25" s="4"/>
      <c r="O25" s="4"/>
      <c r="P25" s="4"/>
      <c r="Q25" s="22"/>
    </row>
    <row r="26" spans="2:17" x14ac:dyDescent="0.3">
      <c r="B26" s="77"/>
      <c r="C26" s="11"/>
      <c r="D26" s="10"/>
      <c r="E26" s="10"/>
      <c r="F26" s="61"/>
      <c r="G26" s="61"/>
      <c r="H26" s="61"/>
      <c r="I26" s="61"/>
      <c r="K26" s="11"/>
      <c r="L26" s="10"/>
      <c r="M26" s="10"/>
      <c r="N26" s="61"/>
      <c r="O26" s="61"/>
      <c r="P26" s="61"/>
      <c r="Q26" s="23"/>
    </row>
    <row r="27" spans="2:17" x14ac:dyDescent="0.3">
      <c r="B27" s="77"/>
      <c r="C27" s="11"/>
      <c r="D27" s="11"/>
      <c r="E27" s="11"/>
      <c r="F27" s="11"/>
      <c r="G27" s="11"/>
      <c r="H27" s="11"/>
      <c r="I27" s="11"/>
      <c r="K27" s="11"/>
      <c r="L27" s="11"/>
      <c r="M27" s="11"/>
      <c r="N27" s="11"/>
      <c r="O27" s="11"/>
      <c r="P27" s="11"/>
      <c r="Q27" s="84"/>
    </row>
    <row r="28" spans="2:17" ht="15" thickBot="1" x14ac:dyDescent="0.35">
      <c r="B28" s="78"/>
      <c r="C28" s="13"/>
      <c r="D28" s="13"/>
      <c r="E28" s="15"/>
      <c r="F28" s="15"/>
      <c r="G28" s="13"/>
      <c r="H28" s="13"/>
      <c r="I28" s="13"/>
      <c r="J28" s="13"/>
      <c r="K28" s="13"/>
      <c r="L28" s="13"/>
      <c r="M28" s="15"/>
      <c r="N28" s="15"/>
      <c r="O28" s="13"/>
      <c r="P28" s="13"/>
      <c r="Q28" s="16"/>
    </row>
    <row r="29" spans="2:17" x14ac:dyDescent="0.3">
      <c r="B29" s="77"/>
      <c r="C29" s="12"/>
      <c r="D29" s="11"/>
      <c r="E29" s="11"/>
      <c r="F29" s="11"/>
      <c r="G29" s="11"/>
      <c r="H29" s="11"/>
      <c r="I29" s="11"/>
      <c r="L29" s="10"/>
      <c r="M29" s="17"/>
      <c r="Q29" s="9"/>
    </row>
    <row r="30" spans="2:17" x14ac:dyDescent="0.3">
      <c r="B30" s="77"/>
      <c r="C30" s="12"/>
      <c r="D30" s="11"/>
      <c r="E30" s="11"/>
      <c r="F30" s="11"/>
      <c r="G30" s="11"/>
      <c r="H30" s="11"/>
      <c r="I30" s="11"/>
      <c r="L30" s="10"/>
      <c r="M30" s="17"/>
      <c r="Q30" s="9"/>
    </row>
    <row r="31" spans="2:17" x14ac:dyDescent="0.3">
      <c r="B31" s="77"/>
      <c r="C31" s="12"/>
      <c r="D31" s="11"/>
      <c r="E31" s="11"/>
      <c r="F31" s="11"/>
      <c r="G31" s="11"/>
      <c r="H31" s="11"/>
      <c r="I31" s="11"/>
      <c r="L31" s="10"/>
      <c r="M31" s="17"/>
      <c r="Q31" s="9"/>
    </row>
    <row r="32" spans="2:17" ht="14.25" customHeight="1" x14ac:dyDescent="0.3">
      <c r="B32" s="77"/>
      <c r="C32" s="12"/>
      <c r="D32" s="11"/>
      <c r="E32" s="11"/>
      <c r="F32" s="11"/>
      <c r="G32" s="11"/>
      <c r="H32" s="11"/>
      <c r="I32" s="11"/>
      <c r="L32" s="10"/>
      <c r="M32" s="17"/>
      <c r="Q32" s="9"/>
    </row>
    <row r="33" spans="2:18" ht="15" thickBot="1" x14ac:dyDescent="0.35">
      <c r="B33" s="77"/>
      <c r="C33" s="12"/>
      <c r="D33" s="11"/>
      <c r="E33" s="11"/>
      <c r="F33" s="11"/>
      <c r="G33" s="11"/>
      <c r="H33" s="11"/>
      <c r="I33" s="11"/>
      <c r="L33" s="11"/>
      <c r="M33" s="11"/>
      <c r="Q33" s="9"/>
    </row>
    <row r="34" spans="2:18" ht="14.25" customHeight="1" thickBot="1" x14ac:dyDescent="0.35">
      <c r="B34" s="58"/>
      <c r="C34" s="7" t="s">
        <v>42</v>
      </c>
      <c r="D34" s="6"/>
      <c r="E34" s="6" t="s">
        <v>48</v>
      </c>
      <c r="F34" s="6"/>
      <c r="G34" s="6"/>
      <c r="H34" s="6"/>
      <c r="I34" s="6"/>
      <c r="J34" s="6"/>
      <c r="K34" s="7" t="s">
        <v>42</v>
      </c>
      <c r="L34" s="6"/>
      <c r="M34" s="6" t="s">
        <v>48</v>
      </c>
      <c r="N34" s="6"/>
      <c r="O34" s="6"/>
      <c r="P34" s="6"/>
      <c r="Q34" s="8"/>
    </row>
    <row r="35" spans="2:18" x14ac:dyDescent="0.3">
      <c r="B35" s="77"/>
      <c r="C35" s="3" t="s">
        <v>3</v>
      </c>
      <c r="D35" s="3" t="s">
        <v>4</v>
      </c>
      <c r="E35" s="3" t="s">
        <v>49</v>
      </c>
      <c r="F35" s="20" t="s">
        <v>6</v>
      </c>
      <c r="G35" s="20" t="s">
        <v>7</v>
      </c>
      <c r="H35" s="20" t="s">
        <v>8</v>
      </c>
      <c r="I35" s="20" t="s">
        <v>31</v>
      </c>
      <c r="J35" s="74" t="s">
        <v>14</v>
      </c>
      <c r="K35" s="3" t="s">
        <v>3</v>
      </c>
      <c r="L35" s="3" t="s">
        <v>4</v>
      </c>
      <c r="M35" s="3" t="s">
        <v>49</v>
      </c>
      <c r="N35" s="20" t="s">
        <v>6</v>
      </c>
      <c r="O35" s="20" t="s">
        <v>7</v>
      </c>
      <c r="P35" s="20" t="s">
        <v>8</v>
      </c>
      <c r="Q35" s="21" t="s">
        <v>31</v>
      </c>
      <c r="R35" s="74" t="s">
        <v>14</v>
      </c>
    </row>
    <row r="36" spans="2:18" ht="15" customHeight="1" x14ac:dyDescent="0.3">
      <c r="B36" s="77"/>
      <c r="C36" s="214" t="s">
        <v>45</v>
      </c>
      <c r="D36" s="18">
        <v>0</v>
      </c>
      <c r="E36" s="64">
        <v>1.9</v>
      </c>
      <c r="F36" s="64">
        <v>5400</v>
      </c>
      <c r="G36" s="64">
        <v>14500</v>
      </c>
      <c r="H36" s="64">
        <v>107500</v>
      </c>
      <c r="I36" s="64">
        <v>2000</v>
      </c>
      <c r="J36" s="112"/>
      <c r="K36" s="214" t="s">
        <v>45</v>
      </c>
      <c r="L36" s="18">
        <v>0</v>
      </c>
      <c r="M36" s="85">
        <v>4</v>
      </c>
      <c r="N36" s="64">
        <v>3400</v>
      </c>
      <c r="O36" s="64">
        <v>11000</v>
      </c>
      <c r="P36" s="64">
        <v>110000</v>
      </c>
      <c r="Q36" s="64">
        <v>1600</v>
      </c>
      <c r="R36" s="112"/>
    </row>
    <row r="37" spans="2:18" x14ac:dyDescent="0.3">
      <c r="B37" s="91" t="s">
        <v>15</v>
      </c>
      <c r="C37" s="214"/>
      <c r="D37" s="18">
        <v>1</v>
      </c>
      <c r="E37" s="64">
        <v>0.97</v>
      </c>
      <c r="F37" s="64">
        <v>230</v>
      </c>
      <c r="G37" s="64">
        <v>780</v>
      </c>
      <c r="H37" s="64">
        <v>4600</v>
      </c>
      <c r="I37" s="64">
        <v>740</v>
      </c>
      <c r="J37" s="112"/>
      <c r="K37" s="214"/>
      <c r="L37" s="18">
        <v>1</v>
      </c>
      <c r="M37" s="85">
        <v>2.76</v>
      </c>
      <c r="N37" s="64">
        <v>40</v>
      </c>
      <c r="O37" s="64">
        <v>72</v>
      </c>
      <c r="P37" s="64">
        <v>1080</v>
      </c>
      <c r="Q37" s="64">
        <v>76</v>
      </c>
      <c r="R37" s="112"/>
    </row>
    <row r="38" spans="2:18" x14ac:dyDescent="0.3">
      <c r="B38" s="77"/>
      <c r="C38" s="214"/>
      <c r="D38" s="18">
        <v>3</v>
      </c>
      <c r="E38" s="64">
        <v>0.73</v>
      </c>
      <c r="F38" s="64">
        <v>255</v>
      </c>
      <c r="G38" s="64">
        <v>600</v>
      </c>
      <c r="H38" s="64">
        <v>7600</v>
      </c>
      <c r="I38" s="64">
        <v>530</v>
      </c>
      <c r="J38" s="112"/>
      <c r="K38" s="214"/>
      <c r="L38" s="18">
        <v>3</v>
      </c>
      <c r="M38" s="85">
        <v>2.5</v>
      </c>
      <c r="N38" s="64">
        <v>20</v>
      </c>
      <c r="O38" s="64">
        <v>72</v>
      </c>
      <c r="P38" s="64">
        <v>590</v>
      </c>
      <c r="Q38" s="64">
        <v>36</v>
      </c>
      <c r="R38" s="112"/>
    </row>
    <row r="39" spans="2:18" ht="15" customHeight="1" x14ac:dyDescent="0.3">
      <c r="B39" s="77"/>
      <c r="C39" s="214"/>
      <c r="D39" s="18">
        <v>5</v>
      </c>
      <c r="E39" s="64">
        <v>0.67</v>
      </c>
      <c r="F39" s="64">
        <v>156</v>
      </c>
      <c r="G39" s="64">
        <v>600</v>
      </c>
      <c r="H39" s="64">
        <v>4200</v>
      </c>
      <c r="I39" s="64">
        <v>400</v>
      </c>
      <c r="J39" s="112"/>
      <c r="K39" s="214"/>
      <c r="L39" s="18">
        <v>5</v>
      </c>
      <c r="M39" s="85">
        <v>2.2400000000000002</v>
      </c>
      <c r="N39" s="64">
        <v>28</v>
      </c>
      <c r="O39" s="64">
        <v>66</v>
      </c>
      <c r="P39" s="64">
        <v>225</v>
      </c>
      <c r="Q39" s="64">
        <v>20</v>
      </c>
      <c r="R39" s="112"/>
    </row>
    <row r="40" spans="2:18" x14ac:dyDescent="0.3">
      <c r="B40" s="77"/>
      <c r="C40" s="214"/>
      <c r="D40" s="18">
        <v>10</v>
      </c>
      <c r="E40" s="64">
        <v>0.56999999999999995</v>
      </c>
      <c r="F40" s="64">
        <v>140</v>
      </c>
      <c r="G40" s="64">
        <v>590</v>
      </c>
      <c r="H40" s="64">
        <v>4100</v>
      </c>
      <c r="I40" s="64">
        <v>298</v>
      </c>
      <c r="J40" s="115">
        <v>2.8000000000000001E-2</v>
      </c>
      <c r="K40" s="214"/>
      <c r="L40" s="18">
        <v>10</v>
      </c>
      <c r="M40" s="85">
        <v>1.96</v>
      </c>
      <c r="N40" s="64">
        <v>16</v>
      </c>
      <c r="O40" s="64">
        <v>37</v>
      </c>
      <c r="P40" s="64">
        <v>285</v>
      </c>
      <c r="Q40" s="64">
        <v>8</v>
      </c>
      <c r="R40" s="115">
        <v>1.9E-2</v>
      </c>
    </row>
    <row r="41" spans="2:18" ht="15" thickBot="1" x14ac:dyDescent="0.35">
      <c r="B41" s="77"/>
      <c r="C41" s="214"/>
      <c r="D41" s="18">
        <v>30</v>
      </c>
      <c r="E41" s="64">
        <v>0.48</v>
      </c>
      <c r="F41" s="64">
        <v>118</v>
      </c>
      <c r="G41" s="64">
        <v>470</v>
      </c>
      <c r="H41" s="64">
        <v>3100</v>
      </c>
      <c r="I41" s="64">
        <v>266</v>
      </c>
      <c r="J41" s="115">
        <v>0.04</v>
      </c>
      <c r="K41" s="214"/>
      <c r="L41" s="18">
        <v>30</v>
      </c>
      <c r="M41" s="86">
        <v>1.44</v>
      </c>
      <c r="N41" s="76">
        <v>11</v>
      </c>
      <c r="O41" s="76">
        <v>25</v>
      </c>
      <c r="P41" s="76">
        <v>155</v>
      </c>
      <c r="Q41" s="76">
        <v>3</v>
      </c>
      <c r="R41" s="122">
        <v>1.7999999999999999E-2</v>
      </c>
    </row>
    <row r="42" spans="2:18" x14ac:dyDescent="0.3">
      <c r="B42" s="77"/>
      <c r="C42" s="214"/>
      <c r="D42" s="5"/>
      <c r="E42" s="5"/>
      <c r="F42" s="4"/>
      <c r="G42" s="4"/>
      <c r="H42" s="4"/>
      <c r="I42" s="4"/>
      <c r="J42" s="117"/>
      <c r="K42" s="214"/>
      <c r="L42" s="5"/>
      <c r="M42" s="5"/>
      <c r="N42" s="4"/>
      <c r="O42" s="4"/>
      <c r="P42" s="4"/>
      <c r="Q42" s="118"/>
      <c r="R42" s="117"/>
    </row>
    <row r="43" spans="2:18" x14ac:dyDescent="0.3">
      <c r="B43" s="77"/>
      <c r="C43" s="11"/>
      <c r="D43" s="10"/>
      <c r="E43" s="10"/>
      <c r="F43" s="61"/>
      <c r="G43" s="61"/>
      <c r="H43" s="61"/>
      <c r="I43" s="61"/>
      <c r="K43" s="11"/>
      <c r="L43" s="10"/>
      <c r="M43" s="10"/>
      <c r="N43" s="61"/>
      <c r="O43" s="61"/>
      <c r="P43" s="61"/>
      <c r="Q43" s="23"/>
    </row>
    <row r="44" spans="2:18" ht="15" thickBot="1" x14ac:dyDescent="0.35">
      <c r="B44" s="78"/>
      <c r="C44" s="15"/>
      <c r="D44" s="15"/>
      <c r="E44" s="15"/>
      <c r="F44" s="15"/>
      <c r="G44" s="15"/>
      <c r="H44" s="15"/>
      <c r="I44" s="15"/>
      <c r="J44" s="13"/>
      <c r="K44" s="15"/>
      <c r="L44" s="15"/>
      <c r="M44" s="15"/>
      <c r="N44" s="15"/>
      <c r="O44" s="15"/>
      <c r="P44" s="15"/>
      <c r="Q44" s="94"/>
    </row>
    <row r="45" spans="2:18" x14ac:dyDescent="0.3">
      <c r="B45" s="77"/>
      <c r="E45" s="11"/>
      <c r="F45" s="11"/>
      <c r="M45" s="11"/>
      <c r="N45" s="11"/>
      <c r="Q45" s="9"/>
    </row>
    <row r="46" spans="2:18" x14ac:dyDescent="0.3">
      <c r="B46" s="77"/>
      <c r="C46" s="12"/>
      <c r="D46" s="11"/>
      <c r="E46" s="11"/>
      <c r="F46" s="11"/>
      <c r="G46" s="11"/>
      <c r="H46" s="11"/>
      <c r="I46" s="11"/>
      <c r="L46" s="10"/>
      <c r="M46" s="17"/>
      <c r="Q46" s="9"/>
    </row>
    <row r="47" spans="2:18" x14ac:dyDescent="0.3">
      <c r="B47" s="77"/>
      <c r="C47" s="12"/>
      <c r="D47" s="11"/>
      <c r="E47" s="11"/>
      <c r="F47" s="11"/>
      <c r="G47" s="11"/>
      <c r="H47" s="11"/>
      <c r="I47" s="11"/>
      <c r="L47" s="10"/>
      <c r="M47" s="17"/>
      <c r="Q47" s="9"/>
    </row>
    <row r="48" spans="2:18" x14ac:dyDescent="0.3">
      <c r="B48" s="77"/>
      <c r="C48" s="12"/>
      <c r="D48" s="11"/>
      <c r="E48" s="11"/>
      <c r="F48" s="11"/>
      <c r="G48" s="11"/>
      <c r="H48" s="11"/>
      <c r="I48" s="11"/>
      <c r="L48" s="10"/>
      <c r="M48" s="17"/>
      <c r="Q48" s="9"/>
    </row>
    <row r="49" spans="2:17" ht="14.25" customHeight="1" thickBot="1" x14ac:dyDescent="0.35">
      <c r="B49" s="77"/>
      <c r="C49" s="14"/>
      <c r="D49" s="15"/>
      <c r="E49" s="15"/>
      <c r="F49" s="15"/>
      <c r="G49" s="15"/>
      <c r="H49" s="15"/>
      <c r="I49" s="15"/>
      <c r="J49" s="13"/>
      <c r="K49" s="13"/>
      <c r="L49" s="15"/>
      <c r="M49" s="15"/>
      <c r="N49" s="13"/>
      <c r="O49" s="13"/>
      <c r="P49" s="13"/>
      <c r="Q49" s="16"/>
    </row>
    <row r="50" spans="2:17" ht="15" thickBot="1" x14ac:dyDescent="0.35">
      <c r="B50" s="77"/>
      <c r="C50" s="7" t="s">
        <v>42</v>
      </c>
      <c r="D50" s="6"/>
      <c r="E50" s="6" t="s">
        <v>48</v>
      </c>
      <c r="F50" s="6"/>
      <c r="G50" s="6"/>
      <c r="H50" s="6"/>
      <c r="I50" s="6"/>
      <c r="J50" s="6"/>
      <c r="K50" s="7" t="s">
        <v>42</v>
      </c>
      <c r="L50" s="6"/>
      <c r="M50" s="6" t="s">
        <v>48</v>
      </c>
      <c r="N50" s="6"/>
      <c r="O50" s="6"/>
      <c r="P50" s="6"/>
      <c r="Q50" s="8"/>
    </row>
    <row r="51" spans="2:17" ht="14.25" customHeight="1" thickBot="1" x14ac:dyDescent="0.35">
      <c r="B51" s="77"/>
      <c r="C51" s="3" t="s">
        <v>3</v>
      </c>
      <c r="D51" s="3" t="s">
        <v>4</v>
      </c>
      <c r="E51" s="3" t="s">
        <v>49</v>
      </c>
      <c r="F51" s="20" t="s">
        <v>6</v>
      </c>
      <c r="G51" s="20" t="s">
        <v>7</v>
      </c>
      <c r="H51" s="20" t="s">
        <v>8</v>
      </c>
      <c r="I51" s="20" t="s">
        <v>31</v>
      </c>
      <c r="K51" s="3" t="s">
        <v>3</v>
      </c>
      <c r="L51" s="3" t="s">
        <v>4</v>
      </c>
      <c r="M51" s="3" t="s">
        <v>49</v>
      </c>
      <c r="N51" s="20" t="s">
        <v>6</v>
      </c>
      <c r="O51" s="20" t="s">
        <v>7</v>
      </c>
      <c r="P51" s="20" t="s">
        <v>8</v>
      </c>
      <c r="Q51" s="21" t="s">
        <v>31</v>
      </c>
    </row>
    <row r="52" spans="2:17" ht="15" customHeight="1" x14ac:dyDescent="0.3">
      <c r="B52" s="77"/>
      <c r="C52" s="214" t="s">
        <v>45</v>
      </c>
      <c r="D52" s="18">
        <v>0</v>
      </c>
      <c r="E52" s="87">
        <v>1.9</v>
      </c>
      <c r="F52" s="64">
        <v>5400</v>
      </c>
      <c r="G52" s="64">
        <v>14500</v>
      </c>
      <c r="H52" s="64">
        <v>107500</v>
      </c>
      <c r="I52" s="64">
        <v>2000</v>
      </c>
      <c r="K52" s="214" t="s">
        <v>45</v>
      </c>
      <c r="L52" s="18">
        <v>0</v>
      </c>
      <c r="M52" s="88">
        <v>4</v>
      </c>
      <c r="N52" s="64">
        <v>3400</v>
      </c>
      <c r="O52" s="64">
        <v>11000</v>
      </c>
      <c r="P52" s="64">
        <v>110000</v>
      </c>
      <c r="Q52" s="64">
        <v>1600</v>
      </c>
    </row>
    <row r="53" spans="2:17" x14ac:dyDescent="0.3">
      <c r="B53" s="91" t="s">
        <v>17</v>
      </c>
      <c r="C53" s="214"/>
      <c r="D53" s="18">
        <v>1</v>
      </c>
      <c r="E53" s="89">
        <v>0.41</v>
      </c>
      <c r="F53" s="64">
        <v>230</v>
      </c>
      <c r="G53" s="64">
        <v>780</v>
      </c>
      <c r="H53" s="64">
        <v>4600</v>
      </c>
      <c r="I53" s="64">
        <v>740</v>
      </c>
      <c r="K53" s="214"/>
      <c r="L53" s="18">
        <v>1</v>
      </c>
      <c r="M53" s="88">
        <v>2.11</v>
      </c>
      <c r="N53" s="64">
        <v>40</v>
      </c>
      <c r="O53" s="64">
        <v>72</v>
      </c>
      <c r="P53" s="64">
        <v>1080</v>
      </c>
      <c r="Q53" s="64">
        <v>76</v>
      </c>
    </row>
    <row r="54" spans="2:17" x14ac:dyDescent="0.3">
      <c r="B54" s="77"/>
      <c r="C54" s="225"/>
      <c r="D54" s="18">
        <v>3</v>
      </c>
      <c r="E54" s="89">
        <v>0.25</v>
      </c>
      <c r="F54" s="64">
        <v>255</v>
      </c>
      <c r="G54" s="64">
        <v>600</v>
      </c>
      <c r="H54" s="64">
        <v>7600</v>
      </c>
      <c r="I54" s="64">
        <v>530</v>
      </c>
      <c r="K54" s="214"/>
      <c r="L54" s="18">
        <v>3</v>
      </c>
      <c r="M54" s="88">
        <v>1.76</v>
      </c>
      <c r="N54" s="64">
        <v>20</v>
      </c>
      <c r="O54" s="64">
        <v>72</v>
      </c>
      <c r="P54" s="64">
        <v>590</v>
      </c>
      <c r="Q54" s="64">
        <v>36</v>
      </c>
    </row>
    <row r="55" spans="2:17" ht="14.25" customHeight="1" x14ac:dyDescent="0.3">
      <c r="B55" s="77"/>
      <c r="C55" s="214"/>
      <c r="D55" s="18">
        <v>5</v>
      </c>
      <c r="E55" s="89">
        <v>0.16</v>
      </c>
      <c r="F55" s="64">
        <v>156</v>
      </c>
      <c r="G55" s="64">
        <v>600</v>
      </c>
      <c r="H55" s="64">
        <v>4200</v>
      </c>
      <c r="I55" s="64">
        <v>400</v>
      </c>
      <c r="K55" s="214"/>
      <c r="L55" s="18">
        <v>5</v>
      </c>
      <c r="M55" s="88">
        <v>1.61</v>
      </c>
      <c r="N55" s="64">
        <v>28</v>
      </c>
      <c r="O55" s="64">
        <v>66</v>
      </c>
      <c r="P55" s="64">
        <v>225</v>
      </c>
      <c r="Q55" s="64">
        <v>20</v>
      </c>
    </row>
    <row r="56" spans="2:17" x14ac:dyDescent="0.3">
      <c r="B56" s="77"/>
      <c r="C56" s="214"/>
      <c r="D56" s="18">
        <v>10</v>
      </c>
      <c r="E56" s="89">
        <v>0.11</v>
      </c>
      <c r="F56" s="64">
        <v>140</v>
      </c>
      <c r="G56" s="64">
        <v>590</v>
      </c>
      <c r="H56" s="64">
        <v>4100</v>
      </c>
      <c r="I56" s="64">
        <v>298</v>
      </c>
      <c r="K56" s="214"/>
      <c r="L56" s="18">
        <v>10</v>
      </c>
      <c r="M56" s="88">
        <v>1.3</v>
      </c>
      <c r="N56" s="64">
        <v>16</v>
      </c>
      <c r="O56" s="64">
        <v>37</v>
      </c>
      <c r="P56" s="64">
        <v>285</v>
      </c>
      <c r="Q56" s="64">
        <v>8</v>
      </c>
    </row>
    <row r="57" spans="2:17" ht="15" customHeight="1" thickBot="1" x14ac:dyDescent="0.35">
      <c r="B57" s="77"/>
      <c r="C57" s="214"/>
      <c r="D57" s="18">
        <v>30</v>
      </c>
      <c r="E57" s="89">
        <v>0.04</v>
      </c>
      <c r="F57" s="64">
        <v>118</v>
      </c>
      <c r="G57" s="64">
        <v>470</v>
      </c>
      <c r="H57" s="64">
        <v>3100</v>
      </c>
      <c r="I57" s="64">
        <v>266</v>
      </c>
      <c r="K57" s="214"/>
      <c r="L57" s="18">
        <v>30</v>
      </c>
      <c r="M57" s="90">
        <v>0.83</v>
      </c>
      <c r="N57" s="76">
        <v>11</v>
      </c>
      <c r="O57" s="76">
        <v>25</v>
      </c>
      <c r="P57" s="76">
        <v>155</v>
      </c>
      <c r="Q57" s="76">
        <v>3</v>
      </c>
    </row>
    <row r="58" spans="2:17" x14ac:dyDescent="0.3">
      <c r="B58" s="77"/>
      <c r="C58" s="214"/>
      <c r="D58" s="5"/>
      <c r="E58" s="5"/>
      <c r="F58" s="4"/>
      <c r="G58" s="4"/>
      <c r="H58" s="4"/>
      <c r="I58" s="4"/>
      <c r="K58" s="214"/>
      <c r="L58" s="5"/>
      <c r="M58" s="5"/>
      <c r="N58" s="4"/>
      <c r="O58" s="4"/>
      <c r="P58" s="4"/>
      <c r="Q58" s="22"/>
    </row>
    <row r="59" spans="2:17" x14ac:dyDescent="0.3">
      <c r="B59" s="77"/>
      <c r="C59" s="11"/>
      <c r="D59" s="10"/>
      <c r="E59" s="10"/>
      <c r="F59" s="61"/>
      <c r="G59" s="61"/>
      <c r="H59" s="61"/>
      <c r="I59" s="61"/>
      <c r="K59" s="11"/>
      <c r="L59" s="10"/>
      <c r="M59" s="10"/>
      <c r="N59" s="61"/>
      <c r="O59" s="61"/>
      <c r="P59" s="61"/>
      <c r="Q59" s="23"/>
    </row>
    <row r="60" spans="2:17" x14ac:dyDescent="0.3">
      <c r="B60" s="77"/>
      <c r="C60" s="11"/>
      <c r="D60" s="11"/>
      <c r="E60" s="11"/>
      <c r="F60" s="11"/>
      <c r="G60" s="11"/>
      <c r="H60" s="11"/>
      <c r="I60" s="11"/>
      <c r="K60" s="11"/>
      <c r="L60" s="11"/>
      <c r="M60" s="11"/>
      <c r="N60" s="11"/>
      <c r="O60" s="11"/>
      <c r="P60" s="11"/>
      <c r="Q60" s="84"/>
    </row>
    <row r="61" spans="2:17" x14ac:dyDescent="0.3">
      <c r="B61" s="77"/>
      <c r="E61" s="11"/>
      <c r="F61" s="11"/>
      <c r="M61" s="11"/>
      <c r="N61" s="11"/>
      <c r="Q61" s="9"/>
    </row>
    <row r="62" spans="2:17" ht="15" thickBot="1" x14ac:dyDescent="0.35">
      <c r="B62" s="7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6"/>
    </row>
    <row r="65" ht="14.25" customHeight="1" x14ac:dyDescent="0.3"/>
    <row r="67" ht="14.25" customHeight="1" x14ac:dyDescent="0.3"/>
    <row r="107" spans="2:2" ht="15" thickBot="1" x14ac:dyDescent="0.35">
      <c r="B107" s="13"/>
    </row>
    <row r="108" spans="2:2" ht="14.25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25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:C10"/>
    <mergeCell ref="K4:K10"/>
    <mergeCell ref="C52:C58"/>
    <mergeCell ref="K52:K58"/>
    <mergeCell ref="C36:C42"/>
    <mergeCell ref="K36:K42"/>
    <mergeCell ref="C19:C25"/>
    <mergeCell ref="K19:K25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00F0-6C2B-4B2E-92D5-56698EF23865}">
  <dimension ref="A1:W213"/>
  <sheetViews>
    <sheetView topLeftCell="F33" zoomScale="80" zoomScaleNormal="80" workbookViewId="0">
      <selection activeCell="AG55" sqref="AG55"/>
    </sheetView>
  </sheetViews>
  <sheetFormatPr defaultColWidth="9.109375" defaultRowHeight="14.4" x14ac:dyDescent="0.3"/>
  <cols>
    <col min="1" max="1" width="39.44140625" style="2" bestFit="1" customWidth="1"/>
    <col min="2" max="2" width="25.44140625" style="2" bestFit="1" customWidth="1"/>
    <col min="3" max="3" width="10.6640625" style="2" bestFit="1" customWidth="1"/>
    <col min="4" max="5" width="6.44140625" style="2" customWidth="1"/>
    <col min="6" max="6" width="7.88671875" style="2" customWidth="1"/>
    <col min="7" max="7" width="8" style="2" customWidth="1"/>
    <col min="8" max="8" width="8.33203125" style="2" customWidth="1"/>
    <col min="9" max="9" width="8.109375" style="2" customWidth="1"/>
    <col min="10" max="10" width="7.5546875" style="2" customWidth="1"/>
    <col min="11" max="11" width="9.109375" style="2"/>
    <col min="12" max="12" width="10.33203125" style="2" customWidth="1"/>
    <col min="13" max="13" width="11" style="2" customWidth="1"/>
    <col min="14" max="15" width="11.5546875" style="2" customWidth="1"/>
    <col min="16" max="16" width="10.33203125" style="2" customWidth="1"/>
    <col min="17" max="17" width="12.6640625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0</v>
      </c>
    </row>
    <row r="2" spans="1:23" ht="26.4" thickBot="1" x14ac:dyDescent="0.55000000000000004">
      <c r="A2" s="51" t="s">
        <v>1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6.4" thickBot="1" x14ac:dyDescent="0.55000000000000004">
      <c r="A3" s="51" t="s">
        <v>2</v>
      </c>
      <c r="B3" s="77"/>
      <c r="C3" s="3" t="s">
        <v>3</v>
      </c>
      <c r="D3" s="3" t="s">
        <v>4</v>
      </c>
      <c r="E3" s="3" t="s">
        <v>44</v>
      </c>
      <c r="F3" s="20" t="s">
        <v>6</v>
      </c>
      <c r="G3" s="20" t="s">
        <v>7</v>
      </c>
      <c r="H3" s="20" t="s">
        <v>8</v>
      </c>
      <c r="I3" s="82" t="s">
        <v>9</v>
      </c>
      <c r="K3" s="3" t="s">
        <v>3</v>
      </c>
      <c r="L3" s="3" t="s">
        <v>4</v>
      </c>
      <c r="M3" s="3" t="s">
        <v>44</v>
      </c>
      <c r="N3" s="20" t="s">
        <v>6</v>
      </c>
      <c r="O3" s="20" t="s">
        <v>7</v>
      </c>
      <c r="P3" s="20" t="s">
        <v>8</v>
      </c>
      <c r="Q3" s="21" t="s">
        <v>31</v>
      </c>
      <c r="S3" s="1"/>
      <c r="U3" s="1"/>
      <c r="W3" s="1"/>
    </row>
    <row r="4" spans="1:23" ht="25.8" x14ac:dyDescent="0.5">
      <c r="A4" s="52">
        <v>45320</v>
      </c>
      <c r="B4" s="77"/>
      <c r="C4" s="214" t="s">
        <v>45</v>
      </c>
      <c r="D4" s="18">
        <v>0</v>
      </c>
      <c r="E4" s="83">
        <v>0.96</v>
      </c>
      <c r="F4" s="83">
        <v>5000</v>
      </c>
      <c r="G4" s="83">
        <v>10500</v>
      </c>
      <c r="H4" s="83">
        <v>155000</v>
      </c>
      <c r="I4" s="83">
        <v>1400</v>
      </c>
      <c r="K4" s="214" t="s">
        <v>45</v>
      </c>
      <c r="L4" s="18">
        <v>0</v>
      </c>
      <c r="M4" s="64">
        <v>2</v>
      </c>
      <c r="N4" s="64">
        <v>5900</v>
      </c>
      <c r="O4" s="64">
        <v>11500</v>
      </c>
      <c r="P4" s="64">
        <v>210000</v>
      </c>
      <c r="Q4" s="64">
        <v>3500</v>
      </c>
      <c r="S4" s="1"/>
      <c r="U4" s="1"/>
    </row>
    <row r="5" spans="1:23" x14ac:dyDescent="0.3">
      <c r="B5" s="77"/>
      <c r="C5" s="214"/>
      <c r="D5" s="18">
        <v>1</v>
      </c>
      <c r="E5" s="64">
        <v>0.67</v>
      </c>
      <c r="F5" s="64">
        <v>3000</v>
      </c>
      <c r="G5" s="64">
        <v>6400</v>
      </c>
      <c r="H5" s="64">
        <v>72000</v>
      </c>
      <c r="I5" s="64">
        <v>1350</v>
      </c>
      <c r="K5" s="214"/>
      <c r="L5" s="18">
        <v>1</v>
      </c>
      <c r="M5" s="64">
        <v>1.7</v>
      </c>
      <c r="N5" s="64">
        <v>580</v>
      </c>
      <c r="O5" s="64">
        <v>2000</v>
      </c>
      <c r="P5" s="64">
        <v>37000</v>
      </c>
      <c r="Q5" s="64">
        <v>2140</v>
      </c>
    </row>
    <row r="6" spans="1:23" ht="25.8" x14ac:dyDescent="0.5">
      <c r="A6" s="51" t="s">
        <v>46</v>
      </c>
      <c r="B6" s="91" t="s">
        <v>12</v>
      </c>
      <c r="C6" s="214"/>
      <c r="D6" s="18">
        <v>3</v>
      </c>
      <c r="E6" s="64">
        <v>0.27</v>
      </c>
      <c r="F6" s="64">
        <v>96</v>
      </c>
      <c r="G6" s="64">
        <v>230</v>
      </c>
      <c r="H6" s="64">
        <v>1650</v>
      </c>
      <c r="I6" s="64">
        <v>588</v>
      </c>
      <c r="K6" s="214"/>
      <c r="L6" s="18">
        <v>3</v>
      </c>
      <c r="M6" s="64">
        <v>1.63</v>
      </c>
      <c r="N6" s="64">
        <v>48</v>
      </c>
      <c r="O6" s="64">
        <v>200</v>
      </c>
      <c r="P6" s="64">
        <v>2150</v>
      </c>
      <c r="Q6" s="64">
        <v>364</v>
      </c>
    </row>
    <row r="7" spans="1:23" x14ac:dyDescent="0.3">
      <c r="B7" s="77"/>
      <c r="C7" s="214"/>
      <c r="D7" s="18">
        <v>5</v>
      </c>
      <c r="E7" s="64">
        <v>0.15</v>
      </c>
      <c r="F7" s="64">
        <v>60</v>
      </c>
      <c r="G7" s="64">
        <v>126</v>
      </c>
      <c r="H7" s="64">
        <v>1040</v>
      </c>
      <c r="I7" s="64">
        <v>278</v>
      </c>
      <c r="K7" s="214"/>
      <c r="L7" s="18">
        <v>5</v>
      </c>
      <c r="M7" s="64">
        <v>1.55</v>
      </c>
      <c r="N7" s="64">
        <v>42</v>
      </c>
      <c r="O7" s="64">
        <v>102</v>
      </c>
      <c r="P7" s="64">
        <v>800</v>
      </c>
      <c r="Q7" s="64">
        <v>98</v>
      </c>
    </row>
    <row r="8" spans="1:23" x14ac:dyDescent="0.3">
      <c r="B8" s="77"/>
      <c r="C8" s="214"/>
      <c r="D8" s="18">
        <v>10</v>
      </c>
      <c r="E8" s="64">
        <v>0.06</v>
      </c>
      <c r="F8" s="64">
        <v>21</v>
      </c>
      <c r="G8" s="64">
        <v>86</v>
      </c>
      <c r="H8" s="64">
        <v>640</v>
      </c>
      <c r="I8" s="64">
        <v>164</v>
      </c>
      <c r="K8" s="214"/>
      <c r="L8" s="18">
        <v>10</v>
      </c>
      <c r="M8" s="64">
        <v>1.35</v>
      </c>
      <c r="N8" s="64">
        <v>72</v>
      </c>
      <c r="O8" s="64">
        <v>140</v>
      </c>
      <c r="P8" s="64">
        <v>1620</v>
      </c>
      <c r="Q8" s="64">
        <v>12</v>
      </c>
    </row>
    <row r="9" spans="1:23" x14ac:dyDescent="0.3">
      <c r="B9" s="77"/>
      <c r="C9" s="214"/>
      <c r="D9" s="18">
        <v>30</v>
      </c>
      <c r="E9" s="64">
        <v>0.03</v>
      </c>
      <c r="F9" s="64">
        <v>29</v>
      </c>
      <c r="G9" s="64">
        <v>94</v>
      </c>
      <c r="H9" s="64">
        <v>590</v>
      </c>
      <c r="I9" s="64">
        <v>123</v>
      </c>
      <c r="K9" s="214"/>
      <c r="L9" s="18">
        <v>30</v>
      </c>
      <c r="M9" s="64">
        <v>0.85</v>
      </c>
      <c r="N9" s="64">
        <v>15</v>
      </c>
      <c r="O9" s="64">
        <v>38</v>
      </c>
      <c r="P9" s="64">
        <v>280</v>
      </c>
      <c r="Q9" s="64">
        <v>11</v>
      </c>
    </row>
    <row r="10" spans="1:23" x14ac:dyDescent="0.3">
      <c r="B10" s="77"/>
      <c r="C10" s="214"/>
      <c r="D10" s="5"/>
      <c r="E10" s="5"/>
      <c r="F10" s="4"/>
      <c r="G10" s="4"/>
      <c r="H10" s="4"/>
      <c r="I10" s="4"/>
      <c r="K10" s="214"/>
      <c r="L10" s="5"/>
      <c r="M10" s="5"/>
      <c r="N10" s="4"/>
      <c r="O10" s="4"/>
      <c r="P10" s="4"/>
      <c r="Q10" s="22"/>
    </row>
    <row r="11" spans="1:23" ht="15" thickBot="1" x14ac:dyDescent="0.35">
      <c r="B11" s="78"/>
      <c r="C11" s="15"/>
      <c r="D11" s="73"/>
      <c r="E11" s="73"/>
      <c r="F11" s="92"/>
      <c r="G11" s="92"/>
      <c r="H11" s="92"/>
      <c r="I11" s="92"/>
      <c r="J11" s="13"/>
      <c r="K11" s="15"/>
      <c r="L11" s="73"/>
      <c r="M11" s="73"/>
      <c r="N11" s="92"/>
      <c r="O11" s="92"/>
      <c r="P11" s="92"/>
      <c r="Q11" s="93"/>
    </row>
    <row r="12" spans="1:23" x14ac:dyDescent="0.3">
      <c r="B12" s="77"/>
      <c r="C12" s="11"/>
      <c r="D12" s="11"/>
      <c r="E12" s="11"/>
      <c r="F12" s="11"/>
      <c r="G12" s="11"/>
      <c r="H12" s="11"/>
      <c r="I12" s="11"/>
      <c r="K12" s="11"/>
      <c r="L12" s="11"/>
      <c r="M12" s="11"/>
      <c r="N12" s="11"/>
      <c r="O12" s="11"/>
      <c r="P12" s="11"/>
      <c r="Q12" s="84"/>
    </row>
    <row r="13" spans="1:23" x14ac:dyDescent="0.3">
      <c r="B13" s="77"/>
      <c r="E13" s="11"/>
      <c r="F13" s="11"/>
      <c r="M13" s="11"/>
      <c r="N13" s="11"/>
      <c r="Q13" s="9"/>
    </row>
    <row r="14" spans="1:23" x14ac:dyDescent="0.3">
      <c r="B14" s="77"/>
      <c r="C14" s="12"/>
      <c r="D14" s="11"/>
      <c r="E14" s="11"/>
      <c r="F14" s="11"/>
      <c r="G14" s="11"/>
      <c r="H14" s="11"/>
      <c r="I14" s="11"/>
      <c r="L14" s="10"/>
      <c r="M14" s="17"/>
      <c r="Q14" s="9"/>
    </row>
    <row r="15" spans="1:23" x14ac:dyDescent="0.3">
      <c r="B15" s="77"/>
      <c r="C15" s="12"/>
      <c r="D15" s="11"/>
      <c r="E15" s="11"/>
      <c r="F15" s="11"/>
      <c r="G15" s="11"/>
      <c r="H15" s="11"/>
      <c r="I15" s="11"/>
      <c r="L15" s="10"/>
      <c r="M15" s="17"/>
      <c r="Q15" s="9"/>
    </row>
    <row r="16" spans="1:23" ht="15" thickBot="1" x14ac:dyDescent="0.35">
      <c r="B16" s="77"/>
      <c r="C16" s="12"/>
      <c r="D16" s="11"/>
      <c r="E16" s="11"/>
      <c r="F16" s="11"/>
      <c r="G16" s="11"/>
      <c r="H16" s="11"/>
      <c r="I16" s="11"/>
      <c r="L16" s="11"/>
      <c r="M16" s="11"/>
      <c r="Q16" s="9"/>
    </row>
    <row r="17" spans="2:17" ht="15" customHeight="1" thickBot="1" x14ac:dyDescent="0.35">
      <c r="B17" s="58"/>
      <c r="C17" s="7" t="s">
        <v>42</v>
      </c>
      <c r="D17" s="6"/>
      <c r="E17" s="6" t="s">
        <v>47</v>
      </c>
      <c r="F17" s="6"/>
      <c r="G17" s="6"/>
      <c r="H17" s="6"/>
      <c r="I17" s="6"/>
      <c r="J17" s="6"/>
      <c r="K17" s="7" t="s">
        <v>42</v>
      </c>
      <c r="L17" s="6"/>
      <c r="M17" s="6" t="s">
        <v>47</v>
      </c>
      <c r="N17" s="6"/>
      <c r="O17" s="6"/>
      <c r="P17" s="6"/>
      <c r="Q17" s="8"/>
    </row>
    <row r="18" spans="2:17" x14ac:dyDescent="0.3">
      <c r="B18" s="77"/>
      <c r="C18" s="3" t="s">
        <v>3</v>
      </c>
      <c r="D18" s="3" t="s">
        <v>4</v>
      </c>
      <c r="E18" s="3" t="s">
        <v>44</v>
      </c>
      <c r="F18" s="20" t="s">
        <v>6</v>
      </c>
      <c r="G18" s="20" t="s">
        <v>7</v>
      </c>
      <c r="H18" s="20" t="s">
        <v>8</v>
      </c>
      <c r="I18" s="20" t="s">
        <v>31</v>
      </c>
      <c r="K18" s="3" t="s">
        <v>3</v>
      </c>
      <c r="L18" s="3" t="s">
        <v>4</v>
      </c>
      <c r="M18" s="3" t="s">
        <v>44</v>
      </c>
      <c r="N18" s="20" t="s">
        <v>6</v>
      </c>
      <c r="O18" s="20" t="s">
        <v>7</v>
      </c>
      <c r="P18" s="20" t="s">
        <v>8</v>
      </c>
      <c r="Q18" s="21" t="s">
        <v>31</v>
      </c>
    </row>
    <row r="19" spans="2:17" ht="14.25" customHeight="1" x14ac:dyDescent="0.3">
      <c r="B19" s="77"/>
      <c r="C19" s="214" t="s">
        <v>45</v>
      </c>
      <c r="D19" s="18">
        <v>0</v>
      </c>
      <c r="E19" s="64">
        <v>1.97</v>
      </c>
      <c r="F19" s="64">
        <v>5200</v>
      </c>
      <c r="G19" s="64">
        <v>12250</v>
      </c>
      <c r="H19" s="64">
        <v>147500</v>
      </c>
      <c r="I19" s="64">
        <v>3700</v>
      </c>
      <c r="K19" s="214" t="s">
        <v>45</v>
      </c>
      <c r="L19" s="18">
        <v>0</v>
      </c>
      <c r="M19" s="64">
        <v>4</v>
      </c>
      <c r="N19" s="64">
        <v>6400</v>
      </c>
      <c r="O19" s="64">
        <v>12000</v>
      </c>
      <c r="P19" s="64">
        <v>150000</v>
      </c>
      <c r="Q19" s="64">
        <v>2200</v>
      </c>
    </row>
    <row r="20" spans="2:17" x14ac:dyDescent="0.3">
      <c r="B20" s="77"/>
      <c r="C20" s="214"/>
      <c r="D20" s="18">
        <v>1</v>
      </c>
      <c r="E20" s="64">
        <v>1.67</v>
      </c>
      <c r="F20" s="64">
        <v>6400</v>
      </c>
      <c r="G20" s="64">
        <v>10000</v>
      </c>
      <c r="H20" s="64">
        <v>110000</v>
      </c>
      <c r="I20" s="64">
        <v>4400</v>
      </c>
      <c r="K20" s="214"/>
      <c r="L20" s="18">
        <v>1</v>
      </c>
      <c r="M20" s="64">
        <v>3.58</v>
      </c>
      <c r="N20" s="64">
        <v>4500</v>
      </c>
      <c r="O20" s="64">
        <v>9000</v>
      </c>
      <c r="P20" s="64">
        <v>95000</v>
      </c>
      <c r="Q20" s="64">
        <v>4400</v>
      </c>
    </row>
    <row r="21" spans="2:17" x14ac:dyDescent="0.3">
      <c r="B21" s="91" t="s">
        <v>13</v>
      </c>
      <c r="C21" s="214"/>
      <c r="D21" s="18">
        <v>3</v>
      </c>
      <c r="E21" s="64">
        <v>1.62</v>
      </c>
      <c r="F21" s="64">
        <v>6800</v>
      </c>
      <c r="G21" s="64">
        <v>11000</v>
      </c>
      <c r="H21" s="64">
        <v>130000</v>
      </c>
      <c r="I21" s="64">
        <v>1800</v>
      </c>
      <c r="K21" s="214"/>
      <c r="L21" s="18">
        <v>3</v>
      </c>
      <c r="M21" s="64">
        <v>3.55</v>
      </c>
      <c r="N21" s="64">
        <v>1480</v>
      </c>
      <c r="O21" s="64">
        <v>5700</v>
      </c>
      <c r="P21" s="64">
        <v>38000</v>
      </c>
      <c r="Q21" s="64">
        <v>2340</v>
      </c>
    </row>
    <row r="22" spans="2:17" x14ac:dyDescent="0.3">
      <c r="B22" s="77"/>
      <c r="C22" s="214"/>
      <c r="D22" s="18">
        <v>5</v>
      </c>
      <c r="E22" s="64">
        <v>1.57</v>
      </c>
      <c r="F22" s="64">
        <v>4000</v>
      </c>
      <c r="G22" s="64">
        <v>8800</v>
      </c>
      <c r="H22" s="64">
        <v>68000</v>
      </c>
      <c r="I22" s="64">
        <v>3800</v>
      </c>
      <c r="K22" s="214"/>
      <c r="L22" s="18">
        <v>5</v>
      </c>
      <c r="M22" s="64">
        <v>3.51</v>
      </c>
      <c r="N22" s="64">
        <v>222</v>
      </c>
      <c r="O22" s="64">
        <v>940</v>
      </c>
      <c r="P22" s="64">
        <v>28000</v>
      </c>
      <c r="Q22" s="64">
        <v>1595</v>
      </c>
    </row>
    <row r="23" spans="2:17" x14ac:dyDescent="0.3">
      <c r="B23" s="77"/>
      <c r="C23" s="214"/>
      <c r="D23" s="18">
        <v>10</v>
      </c>
      <c r="E23" s="64">
        <v>1.52</v>
      </c>
      <c r="F23" s="64">
        <v>660</v>
      </c>
      <c r="G23" s="64">
        <v>1800</v>
      </c>
      <c r="H23" s="64">
        <v>46000</v>
      </c>
      <c r="I23" s="64">
        <v>2400</v>
      </c>
      <c r="K23" s="214"/>
      <c r="L23" s="18">
        <v>10</v>
      </c>
      <c r="M23" s="64">
        <v>3.34</v>
      </c>
      <c r="N23" s="64">
        <v>69</v>
      </c>
      <c r="O23" s="64">
        <v>332</v>
      </c>
      <c r="P23" s="64">
        <v>4800</v>
      </c>
      <c r="Q23" s="64">
        <v>685</v>
      </c>
    </row>
    <row r="24" spans="2:17" x14ac:dyDescent="0.3">
      <c r="B24" s="77"/>
      <c r="C24" s="214"/>
      <c r="D24" s="18">
        <v>30</v>
      </c>
      <c r="E24" s="64">
        <v>1.33</v>
      </c>
      <c r="F24" s="64">
        <v>104</v>
      </c>
      <c r="G24" s="64">
        <v>140</v>
      </c>
      <c r="H24" s="64">
        <v>4300</v>
      </c>
      <c r="I24" s="64">
        <v>480</v>
      </c>
      <c r="K24" s="214"/>
      <c r="L24" s="18">
        <v>30</v>
      </c>
      <c r="M24" s="64">
        <v>3.03</v>
      </c>
      <c r="N24" s="64">
        <v>51</v>
      </c>
      <c r="O24" s="64">
        <v>92</v>
      </c>
      <c r="P24" s="64">
        <v>1850</v>
      </c>
      <c r="Q24" s="64">
        <v>120</v>
      </c>
    </row>
    <row r="25" spans="2:17" x14ac:dyDescent="0.3">
      <c r="B25" s="77"/>
      <c r="C25" s="214"/>
      <c r="D25" s="5"/>
      <c r="E25" s="5"/>
      <c r="F25" s="4"/>
      <c r="G25" s="4"/>
      <c r="H25" s="4"/>
      <c r="I25" s="4"/>
      <c r="K25" s="214"/>
      <c r="L25" s="5"/>
      <c r="M25" s="5"/>
      <c r="N25" s="4"/>
      <c r="O25" s="4"/>
      <c r="P25" s="4"/>
      <c r="Q25" s="22"/>
    </row>
    <row r="26" spans="2:17" x14ac:dyDescent="0.3">
      <c r="B26" s="77"/>
      <c r="C26" s="11"/>
      <c r="D26" s="10"/>
      <c r="E26" s="10"/>
      <c r="F26" s="61"/>
      <c r="G26" s="61"/>
      <c r="H26" s="61"/>
      <c r="I26" s="61"/>
      <c r="K26" s="11"/>
      <c r="L26" s="10"/>
      <c r="M26" s="10"/>
      <c r="N26" s="61"/>
      <c r="O26" s="61"/>
      <c r="P26" s="61"/>
      <c r="Q26" s="23"/>
    </row>
    <row r="27" spans="2:17" x14ac:dyDescent="0.3">
      <c r="B27" s="77"/>
      <c r="C27" s="11"/>
      <c r="D27" s="11"/>
      <c r="E27" s="11"/>
      <c r="F27" s="11"/>
      <c r="G27" s="11"/>
      <c r="H27" s="11"/>
      <c r="I27" s="11"/>
      <c r="K27" s="11"/>
      <c r="L27" s="11"/>
      <c r="M27" s="11"/>
      <c r="N27" s="11"/>
      <c r="O27" s="11"/>
      <c r="P27" s="11"/>
      <c r="Q27" s="84"/>
    </row>
    <row r="28" spans="2:17" ht="15" thickBot="1" x14ac:dyDescent="0.35">
      <c r="B28" s="78"/>
      <c r="C28" s="13"/>
      <c r="D28" s="13"/>
      <c r="E28" s="15"/>
      <c r="F28" s="15"/>
      <c r="G28" s="13"/>
      <c r="H28" s="13"/>
      <c r="I28" s="13"/>
      <c r="J28" s="13"/>
      <c r="K28" s="13"/>
      <c r="L28" s="13"/>
      <c r="M28" s="15"/>
      <c r="N28" s="15"/>
      <c r="O28" s="13"/>
      <c r="P28" s="13"/>
      <c r="Q28" s="16"/>
    </row>
    <row r="29" spans="2:17" x14ac:dyDescent="0.3">
      <c r="B29" s="77"/>
      <c r="C29" s="12"/>
      <c r="D29" s="11"/>
      <c r="E29" s="11"/>
      <c r="F29" s="11"/>
      <c r="G29" s="11"/>
      <c r="H29" s="11"/>
      <c r="I29" s="11"/>
      <c r="L29" s="10"/>
      <c r="M29" s="17"/>
      <c r="Q29" s="9"/>
    </row>
    <row r="30" spans="2:17" x14ac:dyDescent="0.3">
      <c r="B30" s="77"/>
      <c r="C30" s="12"/>
      <c r="D30" s="11"/>
      <c r="E30" s="11"/>
      <c r="F30" s="11"/>
      <c r="G30" s="11"/>
      <c r="H30" s="11"/>
      <c r="I30" s="11"/>
      <c r="L30" s="10"/>
      <c r="M30" s="17"/>
      <c r="Q30" s="9"/>
    </row>
    <row r="31" spans="2:17" x14ac:dyDescent="0.3">
      <c r="B31" s="77"/>
      <c r="C31" s="12"/>
      <c r="D31" s="11"/>
      <c r="E31" s="11"/>
      <c r="F31" s="11"/>
      <c r="G31" s="11"/>
      <c r="H31" s="11"/>
      <c r="I31" s="11"/>
      <c r="L31" s="10"/>
      <c r="M31" s="17"/>
      <c r="Q31" s="9"/>
    </row>
    <row r="32" spans="2:17" ht="14.25" customHeight="1" x14ac:dyDescent="0.3">
      <c r="B32" s="77"/>
      <c r="C32" s="12"/>
      <c r="D32" s="11"/>
      <c r="E32" s="11"/>
      <c r="F32" s="11"/>
      <c r="G32" s="11"/>
      <c r="H32" s="11"/>
      <c r="I32" s="11"/>
      <c r="L32" s="10"/>
      <c r="M32" s="17"/>
      <c r="Q32" s="9"/>
    </row>
    <row r="33" spans="2:18" ht="15" thickBot="1" x14ac:dyDescent="0.35">
      <c r="B33" s="77"/>
      <c r="C33" s="12"/>
      <c r="D33" s="11"/>
      <c r="E33" s="11"/>
      <c r="F33" s="11"/>
      <c r="G33" s="11"/>
      <c r="H33" s="11"/>
      <c r="I33" s="11"/>
      <c r="L33" s="11"/>
      <c r="M33" s="11"/>
      <c r="Q33" s="9"/>
    </row>
    <row r="34" spans="2:18" ht="14.25" customHeight="1" thickBot="1" x14ac:dyDescent="0.35">
      <c r="B34" s="58"/>
      <c r="C34" s="7" t="s">
        <v>42</v>
      </c>
      <c r="D34" s="6"/>
      <c r="E34" s="6" t="s">
        <v>48</v>
      </c>
      <c r="F34" s="6"/>
      <c r="G34" s="6"/>
      <c r="H34" s="6"/>
      <c r="I34" s="6"/>
      <c r="J34" s="6"/>
      <c r="K34" s="7" t="s">
        <v>42</v>
      </c>
      <c r="L34" s="6"/>
      <c r="M34" s="6" t="s">
        <v>48</v>
      </c>
      <c r="N34" s="6"/>
      <c r="O34" s="6"/>
      <c r="P34" s="6"/>
      <c r="Q34" s="8"/>
    </row>
    <row r="35" spans="2:18" x14ac:dyDescent="0.3">
      <c r="B35" s="77"/>
      <c r="C35" s="3" t="s">
        <v>3</v>
      </c>
      <c r="D35" s="3" t="s">
        <v>4</v>
      </c>
      <c r="E35" s="3" t="s">
        <v>49</v>
      </c>
      <c r="F35" s="20" t="s">
        <v>6</v>
      </c>
      <c r="G35" s="20" t="s">
        <v>7</v>
      </c>
      <c r="H35" s="20" t="s">
        <v>8</v>
      </c>
      <c r="I35" s="20" t="s">
        <v>31</v>
      </c>
      <c r="J35" s="74" t="s">
        <v>14</v>
      </c>
      <c r="K35" s="3" t="s">
        <v>3</v>
      </c>
      <c r="L35" s="3" t="s">
        <v>4</v>
      </c>
      <c r="M35" s="3" t="s">
        <v>49</v>
      </c>
      <c r="N35" s="20" t="s">
        <v>6</v>
      </c>
      <c r="O35" s="20" t="s">
        <v>7</v>
      </c>
      <c r="P35" s="20" t="s">
        <v>8</v>
      </c>
      <c r="Q35" s="21" t="s">
        <v>31</v>
      </c>
      <c r="R35" s="74" t="s">
        <v>14</v>
      </c>
    </row>
    <row r="36" spans="2:18" ht="15" customHeight="1" x14ac:dyDescent="0.3">
      <c r="B36" s="77"/>
      <c r="C36" s="214" t="s">
        <v>45</v>
      </c>
      <c r="D36" s="18">
        <v>0</v>
      </c>
      <c r="E36" s="64">
        <v>1.9</v>
      </c>
      <c r="F36" s="64">
        <v>5400</v>
      </c>
      <c r="G36" s="64">
        <v>14500</v>
      </c>
      <c r="H36" s="64">
        <v>107500</v>
      </c>
      <c r="I36" s="64">
        <v>2000</v>
      </c>
      <c r="J36" s="112"/>
      <c r="K36" s="214" t="s">
        <v>45</v>
      </c>
      <c r="L36" s="18">
        <v>0</v>
      </c>
      <c r="M36" s="85">
        <v>4</v>
      </c>
      <c r="N36" s="64">
        <v>3400</v>
      </c>
      <c r="O36" s="64">
        <v>11000</v>
      </c>
      <c r="P36" s="64">
        <v>110000</v>
      </c>
      <c r="Q36" s="64">
        <v>1600</v>
      </c>
      <c r="R36" s="112"/>
    </row>
    <row r="37" spans="2:18" x14ac:dyDescent="0.3">
      <c r="B37" s="91" t="s">
        <v>15</v>
      </c>
      <c r="C37" s="214"/>
      <c r="D37" s="18">
        <v>1</v>
      </c>
      <c r="E37" s="64">
        <v>0.97</v>
      </c>
      <c r="F37" s="64">
        <v>230</v>
      </c>
      <c r="G37" s="64">
        <v>780</v>
      </c>
      <c r="H37" s="64">
        <v>4600</v>
      </c>
      <c r="I37" s="64">
        <v>740</v>
      </c>
      <c r="J37" s="112"/>
      <c r="K37" s="214"/>
      <c r="L37" s="18">
        <v>1</v>
      </c>
      <c r="M37" s="85">
        <v>2.76</v>
      </c>
      <c r="N37" s="64">
        <v>40</v>
      </c>
      <c r="O37" s="64">
        <v>72</v>
      </c>
      <c r="P37" s="64">
        <v>1080</v>
      </c>
      <c r="Q37" s="64">
        <v>76</v>
      </c>
      <c r="R37" s="112"/>
    </row>
    <row r="38" spans="2:18" x14ac:dyDescent="0.3">
      <c r="B38" s="77"/>
      <c r="C38" s="214"/>
      <c r="D38" s="18">
        <v>3</v>
      </c>
      <c r="E38" s="64">
        <v>0.73</v>
      </c>
      <c r="F38" s="64">
        <v>255</v>
      </c>
      <c r="G38" s="64">
        <v>600</v>
      </c>
      <c r="H38" s="64">
        <v>7600</v>
      </c>
      <c r="I38" s="64">
        <v>530</v>
      </c>
      <c r="J38" s="112"/>
      <c r="K38" s="214"/>
      <c r="L38" s="18">
        <v>3</v>
      </c>
      <c r="M38" s="85">
        <v>2.5</v>
      </c>
      <c r="N38" s="64">
        <v>20</v>
      </c>
      <c r="O38" s="64">
        <v>72</v>
      </c>
      <c r="P38" s="64">
        <v>590</v>
      </c>
      <c r="Q38" s="64">
        <v>36</v>
      </c>
      <c r="R38" s="112"/>
    </row>
    <row r="39" spans="2:18" ht="15" customHeight="1" x14ac:dyDescent="0.3">
      <c r="B39" s="77"/>
      <c r="C39" s="214"/>
      <c r="D39" s="18">
        <v>5</v>
      </c>
      <c r="E39" s="64">
        <v>0.67</v>
      </c>
      <c r="F39" s="64">
        <v>156</v>
      </c>
      <c r="G39" s="64">
        <v>600</v>
      </c>
      <c r="H39" s="64">
        <v>4200</v>
      </c>
      <c r="I39" s="64">
        <v>400</v>
      </c>
      <c r="J39" s="112"/>
      <c r="K39" s="214"/>
      <c r="L39" s="18">
        <v>5</v>
      </c>
      <c r="M39" s="85">
        <v>2.2400000000000002</v>
      </c>
      <c r="N39" s="64">
        <v>28</v>
      </c>
      <c r="O39" s="64">
        <v>66</v>
      </c>
      <c r="P39" s="64">
        <v>225</v>
      </c>
      <c r="Q39" s="64">
        <v>20</v>
      </c>
      <c r="R39" s="112"/>
    </row>
    <row r="40" spans="2:18" x14ac:dyDescent="0.3">
      <c r="B40" s="77"/>
      <c r="C40" s="214"/>
      <c r="D40" s="18">
        <v>10</v>
      </c>
      <c r="E40" s="64">
        <v>0.56999999999999995</v>
      </c>
      <c r="F40" s="64">
        <v>140</v>
      </c>
      <c r="G40" s="64">
        <v>590</v>
      </c>
      <c r="H40" s="64">
        <v>4100</v>
      </c>
      <c r="I40" s="64">
        <v>298</v>
      </c>
      <c r="J40" s="115">
        <v>2.8000000000000001E-2</v>
      </c>
      <c r="K40" s="214"/>
      <c r="L40" s="18">
        <v>10</v>
      </c>
      <c r="M40" s="85">
        <v>1.96</v>
      </c>
      <c r="N40" s="64">
        <v>16</v>
      </c>
      <c r="O40" s="64">
        <v>37</v>
      </c>
      <c r="P40" s="64">
        <v>285</v>
      </c>
      <c r="Q40" s="64">
        <v>8</v>
      </c>
      <c r="R40" s="115">
        <v>1.9E-2</v>
      </c>
    </row>
    <row r="41" spans="2:18" ht="15" thickBot="1" x14ac:dyDescent="0.35">
      <c r="B41" s="77"/>
      <c r="C41" s="214"/>
      <c r="D41" s="18">
        <v>30</v>
      </c>
      <c r="E41" s="64">
        <v>0.48</v>
      </c>
      <c r="F41" s="64">
        <v>118</v>
      </c>
      <c r="G41" s="64">
        <v>470</v>
      </c>
      <c r="H41" s="64">
        <v>3100</v>
      </c>
      <c r="I41" s="64">
        <v>266</v>
      </c>
      <c r="J41" s="115">
        <v>0.04</v>
      </c>
      <c r="K41" s="214"/>
      <c r="L41" s="18">
        <v>30</v>
      </c>
      <c r="M41" s="86">
        <v>1.44</v>
      </c>
      <c r="N41" s="76">
        <v>11</v>
      </c>
      <c r="O41" s="76">
        <v>25</v>
      </c>
      <c r="P41" s="76">
        <v>155</v>
      </c>
      <c r="Q41" s="76">
        <v>3</v>
      </c>
      <c r="R41" s="122">
        <v>1.7999999999999999E-2</v>
      </c>
    </row>
    <row r="42" spans="2:18" x14ac:dyDescent="0.3">
      <c r="B42" s="77"/>
      <c r="C42" s="214"/>
      <c r="D42" s="5"/>
      <c r="E42" s="5"/>
      <c r="F42" s="4"/>
      <c r="G42" s="4"/>
      <c r="H42" s="4"/>
      <c r="I42" s="4"/>
      <c r="J42" s="117"/>
      <c r="K42" s="214"/>
      <c r="L42" s="5"/>
      <c r="M42" s="5"/>
      <c r="N42" s="4"/>
      <c r="O42" s="4"/>
      <c r="P42" s="4"/>
      <c r="Q42" s="118"/>
      <c r="R42" s="117"/>
    </row>
    <row r="43" spans="2:18" x14ac:dyDescent="0.3">
      <c r="B43" s="77"/>
      <c r="C43" s="11"/>
      <c r="D43" s="10"/>
      <c r="E43" s="10"/>
      <c r="F43" s="61"/>
      <c r="G43" s="61"/>
      <c r="H43" s="61"/>
      <c r="I43" s="61"/>
      <c r="K43" s="11"/>
      <c r="L43" s="10"/>
      <c r="M43" s="10"/>
      <c r="N43" s="61"/>
      <c r="O43" s="61"/>
      <c r="P43" s="61"/>
      <c r="Q43" s="23"/>
    </row>
    <row r="44" spans="2:18" ht="15" thickBot="1" x14ac:dyDescent="0.35">
      <c r="B44" s="78"/>
      <c r="C44" s="15"/>
      <c r="D44" s="15"/>
      <c r="E44" s="15"/>
      <c r="F44" s="15"/>
      <c r="G44" s="15"/>
      <c r="H44" s="15"/>
      <c r="I44" s="15"/>
      <c r="J44" s="13"/>
      <c r="K44" s="15"/>
      <c r="L44" s="15"/>
      <c r="M44" s="15"/>
      <c r="N44" s="15"/>
      <c r="O44" s="15"/>
      <c r="P44" s="15"/>
      <c r="Q44" s="94"/>
    </row>
    <row r="45" spans="2:18" x14ac:dyDescent="0.3">
      <c r="B45" s="77"/>
      <c r="E45" s="11"/>
      <c r="F45" s="11"/>
      <c r="M45" s="11"/>
      <c r="N45" s="11"/>
      <c r="Q45" s="9"/>
    </row>
    <row r="46" spans="2:18" x14ac:dyDescent="0.3">
      <c r="B46" s="77"/>
      <c r="C46" s="12"/>
      <c r="D46" s="11"/>
      <c r="E46" s="11"/>
      <c r="F46" s="11"/>
      <c r="G46" s="11"/>
      <c r="H46" s="11"/>
      <c r="I46" s="11"/>
      <c r="L46" s="10"/>
      <c r="M46" s="17"/>
      <c r="Q46" s="9"/>
    </row>
    <row r="47" spans="2:18" x14ac:dyDescent="0.3">
      <c r="B47" s="77"/>
      <c r="C47" s="12"/>
      <c r="D47" s="11"/>
      <c r="E47" s="11"/>
      <c r="F47" s="11"/>
      <c r="G47" s="11"/>
      <c r="H47" s="11"/>
      <c r="I47" s="11"/>
      <c r="L47" s="10"/>
      <c r="M47" s="17"/>
      <c r="Q47" s="9"/>
    </row>
    <row r="48" spans="2:18" x14ac:dyDescent="0.3">
      <c r="B48" s="77"/>
      <c r="C48" s="12"/>
      <c r="D48" s="11"/>
      <c r="E48" s="11"/>
      <c r="F48" s="11"/>
      <c r="G48" s="11"/>
      <c r="H48" s="11"/>
      <c r="I48" s="11"/>
      <c r="L48" s="10"/>
      <c r="M48" s="17"/>
      <c r="Q48" s="9"/>
    </row>
    <row r="49" spans="2:17" ht="14.25" customHeight="1" thickBot="1" x14ac:dyDescent="0.35">
      <c r="B49" s="77"/>
      <c r="C49" s="14"/>
      <c r="D49" s="15"/>
      <c r="E49" s="15"/>
      <c r="F49" s="15"/>
      <c r="G49" s="15"/>
      <c r="H49" s="15"/>
      <c r="I49" s="15"/>
      <c r="J49" s="13"/>
      <c r="K49" s="13"/>
      <c r="L49" s="15"/>
      <c r="M49" s="15"/>
      <c r="N49" s="13"/>
      <c r="O49" s="13"/>
      <c r="P49" s="13"/>
      <c r="Q49" s="16"/>
    </row>
    <row r="50" spans="2:17" ht="15" thickBot="1" x14ac:dyDescent="0.35">
      <c r="B50" s="77"/>
      <c r="C50" s="7" t="s">
        <v>42</v>
      </c>
      <c r="D50" s="6"/>
      <c r="E50" s="6" t="s">
        <v>48</v>
      </c>
      <c r="F50" s="6"/>
      <c r="G50" s="6"/>
      <c r="H50" s="6"/>
      <c r="I50" s="6"/>
      <c r="J50" s="6"/>
      <c r="K50" s="7" t="s">
        <v>42</v>
      </c>
      <c r="L50" s="6"/>
      <c r="M50" s="6" t="s">
        <v>48</v>
      </c>
      <c r="N50" s="6"/>
      <c r="O50" s="6"/>
      <c r="P50" s="6"/>
      <c r="Q50" s="8"/>
    </row>
    <row r="51" spans="2:17" ht="14.25" customHeight="1" thickBot="1" x14ac:dyDescent="0.35">
      <c r="B51" s="77"/>
      <c r="C51" s="3" t="s">
        <v>3</v>
      </c>
      <c r="D51" s="3" t="s">
        <v>4</v>
      </c>
      <c r="E51" s="3" t="s">
        <v>49</v>
      </c>
      <c r="F51" s="20" t="s">
        <v>6</v>
      </c>
      <c r="G51" s="20" t="s">
        <v>7</v>
      </c>
      <c r="H51" s="20" t="s">
        <v>8</v>
      </c>
      <c r="I51" s="20" t="s">
        <v>31</v>
      </c>
      <c r="K51" s="3" t="s">
        <v>3</v>
      </c>
      <c r="L51" s="3" t="s">
        <v>4</v>
      </c>
      <c r="M51" s="3" t="s">
        <v>49</v>
      </c>
      <c r="N51" s="20" t="s">
        <v>6</v>
      </c>
      <c r="O51" s="20" t="s">
        <v>7</v>
      </c>
      <c r="P51" s="20" t="s">
        <v>8</v>
      </c>
      <c r="Q51" s="21" t="s">
        <v>31</v>
      </c>
    </row>
    <row r="52" spans="2:17" ht="15" customHeight="1" x14ac:dyDescent="0.3">
      <c r="B52" s="77"/>
      <c r="C52" s="214" t="s">
        <v>45</v>
      </c>
      <c r="D52" s="18">
        <v>0</v>
      </c>
      <c r="E52" s="87">
        <v>1.9</v>
      </c>
      <c r="F52" s="64">
        <v>5400</v>
      </c>
      <c r="G52" s="64">
        <v>14500</v>
      </c>
      <c r="H52" s="64">
        <v>107500</v>
      </c>
      <c r="I52" s="64">
        <v>2000</v>
      </c>
      <c r="K52" s="214" t="s">
        <v>45</v>
      </c>
      <c r="L52" s="18">
        <v>0</v>
      </c>
      <c r="M52" s="88">
        <v>4</v>
      </c>
      <c r="N52" s="64">
        <v>3400</v>
      </c>
      <c r="O52" s="64">
        <v>11000</v>
      </c>
      <c r="P52" s="64">
        <v>110000</v>
      </c>
      <c r="Q52" s="64">
        <v>1600</v>
      </c>
    </row>
    <row r="53" spans="2:17" x14ac:dyDescent="0.3">
      <c r="B53" s="91" t="s">
        <v>17</v>
      </c>
      <c r="C53" s="214"/>
      <c r="D53" s="18">
        <v>1</v>
      </c>
      <c r="E53" s="89">
        <v>0.41</v>
      </c>
      <c r="F53" s="64">
        <v>230</v>
      </c>
      <c r="G53" s="64">
        <v>780</v>
      </c>
      <c r="H53" s="64">
        <v>4600</v>
      </c>
      <c r="I53" s="64">
        <v>740</v>
      </c>
      <c r="K53" s="214"/>
      <c r="L53" s="18">
        <v>1</v>
      </c>
      <c r="M53" s="88">
        <v>2.11</v>
      </c>
      <c r="N53" s="64">
        <v>40</v>
      </c>
      <c r="O53" s="64">
        <v>72</v>
      </c>
      <c r="P53" s="64">
        <v>1080</v>
      </c>
      <c r="Q53" s="64">
        <v>76</v>
      </c>
    </row>
    <row r="54" spans="2:17" x14ac:dyDescent="0.3">
      <c r="B54" s="77"/>
      <c r="C54" s="225"/>
      <c r="D54" s="18">
        <v>3</v>
      </c>
      <c r="E54" s="89">
        <v>0.25</v>
      </c>
      <c r="F54" s="64">
        <v>255</v>
      </c>
      <c r="G54" s="64">
        <v>600</v>
      </c>
      <c r="H54" s="64">
        <v>7600</v>
      </c>
      <c r="I54" s="64">
        <v>530</v>
      </c>
      <c r="K54" s="214"/>
      <c r="L54" s="18">
        <v>3</v>
      </c>
      <c r="M54" s="88">
        <v>1.76</v>
      </c>
      <c r="N54" s="64">
        <v>20</v>
      </c>
      <c r="O54" s="64">
        <v>72</v>
      </c>
      <c r="P54" s="64">
        <v>590</v>
      </c>
      <c r="Q54" s="64">
        <v>36</v>
      </c>
    </row>
    <row r="55" spans="2:17" ht="14.25" customHeight="1" x14ac:dyDescent="0.3">
      <c r="B55" s="77"/>
      <c r="C55" s="214"/>
      <c r="D55" s="18">
        <v>5</v>
      </c>
      <c r="E55" s="89">
        <v>0.16</v>
      </c>
      <c r="F55" s="64">
        <v>156</v>
      </c>
      <c r="G55" s="64">
        <v>600</v>
      </c>
      <c r="H55" s="64">
        <v>4200</v>
      </c>
      <c r="I55" s="64">
        <v>400</v>
      </c>
      <c r="K55" s="214"/>
      <c r="L55" s="18">
        <v>5</v>
      </c>
      <c r="M55" s="88">
        <v>1.61</v>
      </c>
      <c r="N55" s="64">
        <v>28</v>
      </c>
      <c r="O55" s="64">
        <v>66</v>
      </c>
      <c r="P55" s="64">
        <v>225</v>
      </c>
      <c r="Q55" s="64">
        <v>20</v>
      </c>
    </row>
    <row r="56" spans="2:17" x14ac:dyDescent="0.3">
      <c r="B56" s="77"/>
      <c r="C56" s="214"/>
      <c r="D56" s="18">
        <v>10</v>
      </c>
      <c r="E56" s="89">
        <v>0.11</v>
      </c>
      <c r="F56" s="64">
        <v>140</v>
      </c>
      <c r="G56" s="64">
        <v>590</v>
      </c>
      <c r="H56" s="64">
        <v>4100</v>
      </c>
      <c r="I56" s="64">
        <v>298</v>
      </c>
      <c r="K56" s="214"/>
      <c r="L56" s="18">
        <v>10</v>
      </c>
      <c r="M56" s="88">
        <v>1.3</v>
      </c>
      <c r="N56" s="64">
        <v>16</v>
      </c>
      <c r="O56" s="64">
        <v>37</v>
      </c>
      <c r="P56" s="64">
        <v>285</v>
      </c>
      <c r="Q56" s="64">
        <v>8</v>
      </c>
    </row>
    <row r="57" spans="2:17" ht="15" customHeight="1" thickBot="1" x14ac:dyDescent="0.35">
      <c r="B57" s="77"/>
      <c r="C57" s="214"/>
      <c r="D57" s="18">
        <v>30</v>
      </c>
      <c r="E57" s="89">
        <v>0.04</v>
      </c>
      <c r="F57" s="64">
        <v>118</v>
      </c>
      <c r="G57" s="64">
        <v>470</v>
      </c>
      <c r="H57" s="64">
        <v>3100</v>
      </c>
      <c r="I57" s="64">
        <v>266</v>
      </c>
      <c r="K57" s="214"/>
      <c r="L57" s="18">
        <v>30</v>
      </c>
      <c r="M57" s="90">
        <v>0.83</v>
      </c>
      <c r="N57" s="76">
        <v>11</v>
      </c>
      <c r="O57" s="76">
        <v>25</v>
      </c>
      <c r="P57" s="76">
        <v>155</v>
      </c>
      <c r="Q57" s="76">
        <v>3</v>
      </c>
    </row>
    <row r="58" spans="2:17" x14ac:dyDescent="0.3">
      <c r="B58" s="77"/>
      <c r="C58" s="214"/>
      <c r="D58" s="5"/>
      <c r="E58" s="5"/>
      <c r="F58" s="4"/>
      <c r="G58" s="4"/>
      <c r="H58" s="4"/>
      <c r="I58" s="4"/>
      <c r="K58" s="214"/>
      <c r="L58" s="5"/>
      <c r="M58" s="5"/>
      <c r="N58" s="4"/>
      <c r="O58" s="4"/>
      <c r="P58" s="4"/>
      <c r="Q58" s="22"/>
    </row>
    <row r="59" spans="2:17" x14ac:dyDescent="0.3">
      <c r="B59" s="77"/>
      <c r="C59" s="11"/>
      <c r="D59" s="10"/>
      <c r="E59" s="10"/>
      <c r="F59" s="61"/>
      <c r="G59" s="61"/>
      <c r="H59" s="61"/>
      <c r="I59" s="61"/>
      <c r="K59" s="11"/>
      <c r="L59" s="10"/>
      <c r="M59" s="10"/>
      <c r="N59" s="61"/>
      <c r="O59" s="61"/>
      <c r="P59" s="61"/>
      <c r="Q59" s="23"/>
    </row>
    <row r="60" spans="2:17" x14ac:dyDescent="0.3">
      <c r="B60" s="77"/>
      <c r="C60" s="11"/>
      <c r="D60" s="11"/>
      <c r="E60" s="11"/>
      <c r="F60" s="11"/>
      <c r="G60" s="11"/>
      <c r="H60" s="11"/>
      <c r="I60" s="11"/>
      <c r="K60" s="11"/>
      <c r="L60" s="11"/>
      <c r="M60" s="11"/>
      <c r="N60" s="11"/>
      <c r="O60" s="11"/>
      <c r="P60" s="11"/>
      <c r="Q60" s="84"/>
    </row>
    <row r="61" spans="2:17" x14ac:dyDescent="0.3">
      <c r="B61" s="77"/>
      <c r="E61" s="11"/>
      <c r="F61" s="11"/>
      <c r="M61" s="11"/>
      <c r="N61" s="11"/>
      <c r="Q61" s="9"/>
    </row>
    <row r="62" spans="2:17" ht="15" thickBot="1" x14ac:dyDescent="0.35">
      <c r="B62" s="7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6"/>
    </row>
    <row r="65" ht="14.25" customHeight="1" x14ac:dyDescent="0.3"/>
    <row r="67" ht="14.25" customHeight="1" x14ac:dyDescent="0.3"/>
    <row r="107" spans="2:2" ht="15" thickBot="1" x14ac:dyDescent="0.35">
      <c r="B107" s="13"/>
    </row>
    <row r="108" spans="2:2" ht="14.25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25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52:C58"/>
    <mergeCell ref="K52:K58"/>
    <mergeCell ref="C4:C10"/>
    <mergeCell ref="K4:K10"/>
    <mergeCell ref="C19:C25"/>
    <mergeCell ref="K19:K25"/>
    <mergeCell ref="C36:C42"/>
    <mergeCell ref="K36:K42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13"/>
  <sheetViews>
    <sheetView zoomScale="80" zoomScaleNormal="80" workbookViewId="0">
      <selection activeCell="R6" sqref="R6"/>
    </sheetView>
  </sheetViews>
  <sheetFormatPr defaultColWidth="9.109375" defaultRowHeight="14.4" x14ac:dyDescent="0.3"/>
  <cols>
    <col min="1" max="1" width="43" style="2" customWidth="1"/>
    <col min="2" max="2" width="25.44140625" style="2" bestFit="1" customWidth="1"/>
    <col min="3" max="3" width="10.6640625" style="2" bestFit="1" customWidth="1"/>
    <col min="4" max="4" width="8" style="2" customWidth="1"/>
    <col min="5" max="6" width="8.33203125" style="2" customWidth="1"/>
    <col min="7" max="7" width="8.109375" style="2" customWidth="1"/>
    <col min="8" max="8" width="9.33203125" style="2" customWidth="1"/>
    <col min="9" max="9" width="7.5546875" style="2" customWidth="1"/>
    <col min="10" max="10" width="9.33203125" style="2" customWidth="1"/>
    <col min="11" max="11" width="9.109375" style="2"/>
    <col min="12" max="12" width="6.109375" style="2" customWidth="1"/>
    <col min="13" max="13" width="6.88671875" style="2" customWidth="1"/>
    <col min="14" max="14" width="8" style="2" customWidth="1"/>
    <col min="15" max="15" width="10.109375" style="2" customWidth="1"/>
    <col min="16" max="16" width="10.88671875" style="2" customWidth="1"/>
    <col min="17" max="17" width="7.33203125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50</v>
      </c>
    </row>
    <row r="2" spans="1:23" ht="26.4" thickBot="1" x14ac:dyDescent="0.55000000000000004">
      <c r="A2" s="51" t="s">
        <v>51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5.8" x14ac:dyDescent="0.5">
      <c r="A3" s="51" t="s">
        <v>52</v>
      </c>
      <c r="B3" s="77"/>
      <c r="C3" s="3" t="s">
        <v>3</v>
      </c>
      <c r="D3" s="3" t="s">
        <v>4</v>
      </c>
      <c r="E3" s="3" t="s">
        <v>44</v>
      </c>
      <c r="F3" s="74" t="s">
        <v>6</v>
      </c>
      <c r="G3" s="74" t="s">
        <v>7</v>
      </c>
      <c r="H3" s="74" t="s">
        <v>8</v>
      </c>
      <c r="I3" s="79" t="s">
        <v>9</v>
      </c>
      <c r="K3" s="3" t="s">
        <v>3</v>
      </c>
      <c r="L3" s="3" t="s">
        <v>4</v>
      </c>
      <c r="M3" s="3" t="s">
        <v>44</v>
      </c>
      <c r="N3" s="20" t="s">
        <v>6</v>
      </c>
      <c r="O3" s="20" t="s">
        <v>7</v>
      </c>
      <c r="P3" s="20" t="s">
        <v>8</v>
      </c>
      <c r="Q3" s="21" t="s">
        <v>31</v>
      </c>
      <c r="S3" s="1"/>
      <c r="U3" s="1"/>
      <c r="W3" s="1"/>
    </row>
    <row r="4" spans="1:23" ht="25.8" x14ac:dyDescent="0.5">
      <c r="A4" s="52">
        <v>45327</v>
      </c>
      <c r="B4" s="77"/>
      <c r="C4" s="213" t="s">
        <v>53</v>
      </c>
      <c r="D4" s="18">
        <v>0</v>
      </c>
      <c r="E4" s="43">
        <v>0.91</v>
      </c>
      <c r="F4" s="43">
        <v>2200</v>
      </c>
      <c r="G4" s="43">
        <v>4400</v>
      </c>
      <c r="H4" s="43">
        <v>35000</v>
      </c>
      <c r="I4" s="43">
        <v>1100</v>
      </c>
      <c r="K4" s="214" t="s">
        <v>53</v>
      </c>
      <c r="L4" s="18">
        <v>0</v>
      </c>
      <c r="M4" s="64">
        <v>2</v>
      </c>
      <c r="N4" s="64">
        <v>3100</v>
      </c>
      <c r="O4" s="64">
        <v>3800</v>
      </c>
      <c r="P4" s="64">
        <v>33000</v>
      </c>
      <c r="Q4" s="64">
        <v>900</v>
      </c>
      <c r="S4" s="1"/>
      <c r="U4" s="1"/>
    </row>
    <row r="5" spans="1:23" x14ac:dyDescent="0.3">
      <c r="B5" s="77"/>
      <c r="C5" s="213"/>
      <c r="D5" s="18">
        <v>1</v>
      </c>
      <c r="E5" s="43">
        <v>0.63</v>
      </c>
      <c r="F5" s="43">
        <v>2600</v>
      </c>
      <c r="G5" s="43">
        <v>3900</v>
      </c>
      <c r="H5" s="43">
        <v>19000</v>
      </c>
      <c r="I5" s="43">
        <v>900</v>
      </c>
      <c r="K5" s="214"/>
      <c r="L5" s="18">
        <v>1</v>
      </c>
      <c r="M5" s="64">
        <v>1.94</v>
      </c>
      <c r="N5" s="64">
        <v>290</v>
      </c>
      <c r="O5" s="64">
        <v>650</v>
      </c>
      <c r="P5" s="64">
        <v>3000</v>
      </c>
      <c r="Q5" s="64">
        <v>450</v>
      </c>
    </row>
    <row r="6" spans="1:23" ht="25.8" x14ac:dyDescent="0.5">
      <c r="A6" s="51" t="s">
        <v>54</v>
      </c>
      <c r="B6" s="91" t="s">
        <v>12</v>
      </c>
      <c r="C6" s="213"/>
      <c r="D6" s="18">
        <v>3</v>
      </c>
      <c r="E6" s="43">
        <v>0.57999999999999996</v>
      </c>
      <c r="F6" s="43">
        <v>570</v>
      </c>
      <c r="G6" s="43">
        <v>1500</v>
      </c>
      <c r="H6" s="43">
        <v>6800</v>
      </c>
      <c r="I6" s="43">
        <v>710</v>
      </c>
      <c r="K6" s="214"/>
      <c r="L6" s="18">
        <v>3</v>
      </c>
      <c r="M6" s="64">
        <v>1.9</v>
      </c>
      <c r="N6" s="64" t="s">
        <v>22</v>
      </c>
      <c r="O6" s="64" t="s">
        <v>22</v>
      </c>
      <c r="P6" s="64">
        <v>4</v>
      </c>
      <c r="Q6" s="64">
        <v>80</v>
      </c>
    </row>
    <row r="7" spans="1:23" x14ac:dyDescent="0.3">
      <c r="B7" s="77"/>
      <c r="C7" s="213"/>
      <c r="D7" s="18">
        <v>5</v>
      </c>
      <c r="E7" s="43">
        <v>0.56999999999999995</v>
      </c>
      <c r="F7" s="43">
        <v>30</v>
      </c>
      <c r="G7" s="43">
        <v>260</v>
      </c>
      <c r="H7" s="43">
        <v>1600</v>
      </c>
      <c r="I7" s="43">
        <v>445</v>
      </c>
      <c r="K7" s="214"/>
      <c r="L7" s="18">
        <v>5</v>
      </c>
      <c r="M7" s="64">
        <v>1.72</v>
      </c>
      <c r="N7" s="64" t="s">
        <v>22</v>
      </c>
      <c r="O7" s="64" t="s">
        <v>22</v>
      </c>
      <c r="P7" s="64" t="s">
        <v>22</v>
      </c>
      <c r="Q7" s="64">
        <v>8</v>
      </c>
    </row>
    <row r="8" spans="1:23" x14ac:dyDescent="0.3">
      <c r="B8" s="77"/>
      <c r="C8" s="213"/>
      <c r="D8" s="18">
        <v>10</v>
      </c>
      <c r="E8" s="43">
        <v>0.49</v>
      </c>
      <c r="F8" s="43">
        <v>1</v>
      </c>
      <c r="G8" s="43">
        <v>1</v>
      </c>
      <c r="H8" s="43">
        <v>4</v>
      </c>
      <c r="I8" s="43">
        <v>140</v>
      </c>
      <c r="K8" s="214"/>
      <c r="L8" s="18">
        <v>10</v>
      </c>
      <c r="M8" s="64">
        <v>1.61</v>
      </c>
      <c r="N8" s="64" t="s">
        <v>24</v>
      </c>
      <c r="O8" s="64" t="s">
        <v>24</v>
      </c>
      <c r="P8" s="64"/>
      <c r="Q8" s="64">
        <v>1</v>
      </c>
    </row>
    <row r="9" spans="1:23" x14ac:dyDescent="0.3">
      <c r="B9" s="77"/>
      <c r="C9" s="213"/>
      <c r="D9" s="18">
        <v>30</v>
      </c>
      <c r="E9" s="43">
        <v>0.27</v>
      </c>
      <c r="F9" s="43" t="s">
        <v>24</v>
      </c>
      <c r="G9" s="43" t="s">
        <v>24</v>
      </c>
      <c r="H9" s="43">
        <v>2</v>
      </c>
      <c r="I9" s="43">
        <v>7</v>
      </c>
      <c r="K9" s="214"/>
      <c r="L9" s="18">
        <v>30</v>
      </c>
      <c r="M9" s="64">
        <v>1.17</v>
      </c>
      <c r="N9" s="64" t="s">
        <v>24</v>
      </c>
      <c r="O9" s="64" t="s">
        <v>24</v>
      </c>
      <c r="P9" s="64">
        <v>1</v>
      </c>
      <c r="Q9" s="64" t="s">
        <v>24</v>
      </c>
    </row>
    <row r="10" spans="1:23" x14ac:dyDescent="0.3">
      <c r="B10" s="77"/>
      <c r="C10" s="213"/>
      <c r="D10" s="5"/>
      <c r="E10" s="5"/>
      <c r="F10" s="4"/>
      <c r="G10" s="4"/>
      <c r="H10" s="4"/>
      <c r="I10" s="4"/>
      <c r="K10" s="214"/>
      <c r="L10" s="5"/>
      <c r="M10" s="5"/>
      <c r="N10" s="4"/>
      <c r="O10" s="4"/>
      <c r="P10" s="4"/>
      <c r="Q10" s="22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ht="15" thickBot="1" x14ac:dyDescent="0.35">
      <c r="B13" s="58"/>
      <c r="C13" s="96"/>
      <c r="D13" s="97"/>
      <c r="E13" s="97"/>
      <c r="F13" s="97"/>
      <c r="G13" s="97"/>
      <c r="H13" s="97"/>
      <c r="I13" s="97"/>
      <c r="J13" s="98"/>
      <c r="K13" s="98"/>
      <c r="L13" s="97"/>
      <c r="M13" s="97"/>
      <c r="N13" s="98"/>
      <c r="O13" s="98"/>
      <c r="P13" s="98"/>
      <c r="Q13" s="99"/>
    </row>
    <row r="14" spans="1:23" ht="15" thickBot="1" x14ac:dyDescent="0.35">
      <c r="B14" s="77"/>
      <c r="C14" s="7" t="s">
        <v>42</v>
      </c>
      <c r="D14" s="6"/>
      <c r="E14" s="6" t="s">
        <v>47</v>
      </c>
      <c r="F14" s="6"/>
      <c r="G14" s="6"/>
      <c r="H14" s="6"/>
      <c r="I14" s="6"/>
      <c r="J14" s="6"/>
      <c r="K14" s="7" t="s">
        <v>42</v>
      </c>
      <c r="L14" s="6"/>
      <c r="M14" s="6" t="s">
        <v>47</v>
      </c>
      <c r="N14" s="6"/>
      <c r="O14" s="6"/>
      <c r="P14" s="6"/>
      <c r="Q14" s="8"/>
    </row>
    <row r="15" spans="1:23" x14ac:dyDescent="0.3">
      <c r="B15" s="77"/>
      <c r="C15" s="3" t="s">
        <v>3</v>
      </c>
      <c r="D15" s="3" t="s">
        <v>4</v>
      </c>
      <c r="E15" s="3" t="s">
        <v>55</v>
      </c>
      <c r="F15" s="74" t="s">
        <v>6</v>
      </c>
      <c r="G15" s="74" t="s">
        <v>7</v>
      </c>
      <c r="H15" s="74" t="s">
        <v>8</v>
      </c>
      <c r="I15" s="74" t="s">
        <v>31</v>
      </c>
      <c r="K15" s="3" t="s">
        <v>3</v>
      </c>
      <c r="L15" s="3" t="s">
        <v>4</v>
      </c>
      <c r="M15" s="3" t="s">
        <v>55</v>
      </c>
      <c r="N15" s="20" t="s">
        <v>6</v>
      </c>
      <c r="O15" s="20" t="s">
        <v>7</v>
      </c>
      <c r="P15" s="20" t="s">
        <v>8</v>
      </c>
      <c r="Q15" s="21" t="s">
        <v>31</v>
      </c>
    </row>
    <row r="16" spans="1:23" x14ac:dyDescent="0.3">
      <c r="B16" s="77"/>
      <c r="C16" s="213" t="s">
        <v>53</v>
      </c>
      <c r="D16" s="18">
        <v>0</v>
      </c>
      <c r="E16" s="43">
        <v>2.0499999999999998</v>
      </c>
      <c r="F16" s="43">
        <v>5450</v>
      </c>
      <c r="G16" s="43">
        <v>8800</v>
      </c>
      <c r="H16" s="43">
        <v>29500</v>
      </c>
      <c r="I16" s="43">
        <v>1250</v>
      </c>
      <c r="K16" s="214" t="s">
        <v>53</v>
      </c>
      <c r="L16" s="18">
        <v>0</v>
      </c>
      <c r="M16" s="64">
        <v>4.0999999999999996</v>
      </c>
      <c r="N16" s="64">
        <v>4500</v>
      </c>
      <c r="O16" s="64">
        <v>8600</v>
      </c>
      <c r="P16" s="64">
        <v>30000</v>
      </c>
      <c r="Q16" s="64">
        <v>900</v>
      </c>
    </row>
    <row r="17" spans="2:18" ht="15" customHeight="1" x14ac:dyDescent="0.3">
      <c r="B17" s="91" t="s">
        <v>13</v>
      </c>
      <c r="C17" s="213"/>
      <c r="D17" s="18">
        <v>1</v>
      </c>
      <c r="E17" s="43">
        <v>1.75</v>
      </c>
      <c r="F17" s="43">
        <v>4300</v>
      </c>
      <c r="G17" s="43">
        <v>9200</v>
      </c>
      <c r="H17" s="43">
        <v>43000</v>
      </c>
      <c r="I17" s="43">
        <v>2000</v>
      </c>
      <c r="K17" s="214"/>
      <c r="L17" s="18">
        <v>1</v>
      </c>
      <c r="M17" s="64">
        <v>3.68</v>
      </c>
      <c r="N17" s="64">
        <v>4500</v>
      </c>
      <c r="O17" s="64">
        <v>7600</v>
      </c>
      <c r="P17" s="64">
        <v>31000</v>
      </c>
      <c r="Q17" s="64">
        <v>1200</v>
      </c>
    </row>
    <row r="18" spans="2:18" x14ac:dyDescent="0.3">
      <c r="B18" s="77"/>
      <c r="C18" s="213"/>
      <c r="D18" s="18">
        <v>3</v>
      </c>
      <c r="E18" s="43">
        <v>1.72</v>
      </c>
      <c r="F18" s="43">
        <v>5000</v>
      </c>
      <c r="G18" s="43">
        <v>10000</v>
      </c>
      <c r="H18" s="43">
        <v>30000</v>
      </c>
      <c r="I18" s="43">
        <v>1800</v>
      </c>
      <c r="K18" s="214"/>
      <c r="L18" s="18">
        <v>3</v>
      </c>
      <c r="M18" s="64">
        <v>3.58</v>
      </c>
      <c r="N18" s="64">
        <v>3200</v>
      </c>
      <c r="O18" s="64">
        <v>5850</v>
      </c>
      <c r="P18" s="64">
        <v>24000</v>
      </c>
      <c r="Q18" s="64">
        <v>1200</v>
      </c>
    </row>
    <row r="19" spans="2:18" ht="14.25" customHeight="1" x14ac:dyDescent="0.3">
      <c r="B19" s="77"/>
      <c r="C19" s="213"/>
      <c r="D19" s="18">
        <v>5</v>
      </c>
      <c r="E19" s="43">
        <v>1.68</v>
      </c>
      <c r="F19" s="43">
        <v>3400</v>
      </c>
      <c r="G19" s="43">
        <v>6400</v>
      </c>
      <c r="H19" s="43">
        <v>26000</v>
      </c>
      <c r="I19" s="43">
        <v>950</v>
      </c>
      <c r="K19" s="214"/>
      <c r="L19" s="18">
        <v>5</v>
      </c>
      <c r="M19" s="64">
        <v>3.53</v>
      </c>
      <c r="N19" s="64">
        <v>1050</v>
      </c>
      <c r="O19" s="64">
        <v>1950</v>
      </c>
      <c r="P19" s="64">
        <v>10500</v>
      </c>
      <c r="Q19" s="64">
        <v>700</v>
      </c>
    </row>
    <row r="20" spans="2:18" x14ac:dyDescent="0.3">
      <c r="B20" s="77"/>
      <c r="C20" s="213"/>
      <c r="D20" s="18">
        <v>10</v>
      </c>
      <c r="E20" s="43">
        <v>1.66</v>
      </c>
      <c r="F20" s="43">
        <v>900</v>
      </c>
      <c r="G20" s="43">
        <v>1700</v>
      </c>
      <c r="H20" s="43">
        <v>18000</v>
      </c>
      <c r="I20" s="43">
        <v>900</v>
      </c>
      <c r="K20" s="214"/>
      <c r="L20" s="18">
        <v>10</v>
      </c>
      <c r="M20" s="64">
        <v>3.56</v>
      </c>
      <c r="N20" s="64">
        <v>23</v>
      </c>
      <c r="O20" s="64">
        <v>170</v>
      </c>
      <c r="P20" s="64">
        <v>1400</v>
      </c>
      <c r="Q20" s="64">
        <v>312</v>
      </c>
    </row>
    <row r="21" spans="2:18" x14ac:dyDescent="0.3">
      <c r="B21" s="77"/>
      <c r="C21" s="213"/>
      <c r="D21" s="18">
        <v>30</v>
      </c>
      <c r="E21" s="43">
        <v>1.4</v>
      </c>
      <c r="F21" s="43">
        <v>5</v>
      </c>
      <c r="G21" s="43">
        <v>130</v>
      </c>
      <c r="H21" s="43">
        <v>860</v>
      </c>
      <c r="I21" s="43">
        <v>243</v>
      </c>
      <c r="K21" s="214"/>
      <c r="L21" s="18">
        <v>30</v>
      </c>
      <c r="M21" s="64">
        <v>3.31</v>
      </c>
      <c r="N21" s="64" t="s">
        <v>24</v>
      </c>
      <c r="O21" s="64">
        <v>5</v>
      </c>
      <c r="P21" s="64">
        <v>48</v>
      </c>
      <c r="Q21" s="64">
        <v>35</v>
      </c>
    </row>
    <row r="22" spans="2:18" x14ac:dyDescent="0.3">
      <c r="B22" s="77"/>
      <c r="C22" s="213"/>
      <c r="D22" s="5"/>
      <c r="E22" s="5"/>
      <c r="F22" s="4"/>
      <c r="G22" s="4"/>
      <c r="H22" s="4"/>
      <c r="I22" s="4"/>
      <c r="K22" s="214"/>
      <c r="L22" s="5"/>
      <c r="M22" s="5"/>
      <c r="N22" s="4"/>
      <c r="O22" s="4"/>
      <c r="P22" s="4"/>
      <c r="Q22" s="22"/>
    </row>
    <row r="23" spans="2:18" x14ac:dyDescent="0.3">
      <c r="B23" s="77"/>
      <c r="C23" s="11"/>
      <c r="D23" s="10"/>
      <c r="E23" s="10"/>
      <c r="F23" s="61"/>
      <c r="G23" s="61"/>
      <c r="H23" s="61"/>
      <c r="I23" s="61"/>
      <c r="K23" s="11"/>
      <c r="L23" s="10"/>
      <c r="M23" s="10"/>
      <c r="N23" s="61"/>
      <c r="O23" s="61"/>
      <c r="P23" s="61"/>
      <c r="Q23" s="23"/>
    </row>
    <row r="24" spans="2:18" ht="15" thickBot="1" x14ac:dyDescent="0.35">
      <c r="B24" s="78"/>
      <c r="C24" s="15"/>
      <c r="D24" s="15"/>
      <c r="E24" s="15"/>
      <c r="F24" s="15"/>
      <c r="G24" s="15"/>
      <c r="H24" s="15"/>
      <c r="I24" s="15"/>
      <c r="J24" s="13"/>
      <c r="K24" s="15"/>
      <c r="L24" s="15"/>
      <c r="M24" s="15"/>
      <c r="N24" s="15"/>
      <c r="O24" s="15"/>
      <c r="P24" s="15"/>
      <c r="Q24" s="94"/>
    </row>
    <row r="25" spans="2:18" x14ac:dyDescent="0.3">
      <c r="B25" s="58"/>
      <c r="C25" s="6"/>
      <c r="D25" s="6"/>
      <c r="E25" s="100"/>
      <c r="F25" s="100"/>
      <c r="G25" s="6"/>
      <c r="H25" s="6"/>
      <c r="I25" s="6"/>
      <c r="J25" s="6"/>
      <c r="K25" s="6"/>
      <c r="L25" s="6"/>
      <c r="M25" s="100"/>
      <c r="N25" s="100"/>
      <c r="O25" s="6"/>
      <c r="P25" s="6"/>
      <c r="Q25" s="8"/>
    </row>
    <row r="26" spans="2:18" ht="15" thickBot="1" x14ac:dyDescent="0.35">
      <c r="B26" s="77"/>
      <c r="C26" s="14"/>
      <c r="D26" s="15"/>
      <c r="E26" s="15"/>
      <c r="F26" s="15"/>
      <c r="G26" s="15"/>
      <c r="H26" s="15"/>
      <c r="I26" s="15"/>
      <c r="J26" s="13"/>
      <c r="K26" s="13"/>
      <c r="L26" s="15"/>
      <c r="M26" s="15"/>
      <c r="N26" s="13"/>
      <c r="O26" s="13"/>
      <c r="P26" s="13"/>
      <c r="Q26" s="16"/>
    </row>
    <row r="27" spans="2:18" ht="15" thickBot="1" x14ac:dyDescent="0.35">
      <c r="B27" s="77"/>
      <c r="C27" s="7" t="s">
        <v>42</v>
      </c>
      <c r="D27" s="6"/>
      <c r="E27" s="6" t="s">
        <v>48</v>
      </c>
      <c r="F27" s="6"/>
      <c r="G27" s="6"/>
      <c r="H27" s="6"/>
      <c r="I27" s="6"/>
      <c r="J27" s="6"/>
      <c r="K27" s="7" t="s">
        <v>42</v>
      </c>
      <c r="L27" s="6"/>
      <c r="M27" s="6" t="s">
        <v>48</v>
      </c>
      <c r="N27" s="6"/>
      <c r="O27" s="6"/>
      <c r="P27" s="6"/>
      <c r="Q27" s="8"/>
    </row>
    <row r="28" spans="2:18" x14ac:dyDescent="0.3">
      <c r="B28" s="77"/>
      <c r="C28" s="3" t="s">
        <v>3</v>
      </c>
      <c r="D28" s="3" t="s">
        <v>4</v>
      </c>
      <c r="E28" s="3" t="s">
        <v>49</v>
      </c>
      <c r="F28" s="74" t="s">
        <v>6</v>
      </c>
      <c r="G28" s="74" t="s">
        <v>7</v>
      </c>
      <c r="H28" s="74" t="s">
        <v>8</v>
      </c>
      <c r="I28" s="74" t="s">
        <v>31</v>
      </c>
      <c r="J28" s="74" t="s">
        <v>14</v>
      </c>
      <c r="K28" s="3" t="s">
        <v>3</v>
      </c>
      <c r="L28" s="3" t="s">
        <v>4</v>
      </c>
      <c r="M28" s="3" t="s">
        <v>49</v>
      </c>
      <c r="N28" s="20" t="s">
        <v>6</v>
      </c>
      <c r="O28" s="20" t="s">
        <v>7</v>
      </c>
      <c r="P28" s="20" t="s">
        <v>8</v>
      </c>
      <c r="Q28" s="110" t="s">
        <v>31</v>
      </c>
      <c r="R28" s="74" t="s">
        <v>14</v>
      </c>
    </row>
    <row r="29" spans="2:18" ht="14.25" customHeight="1" x14ac:dyDescent="0.3">
      <c r="B29" s="77"/>
      <c r="C29" s="213" t="s">
        <v>53</v>
      </c>
      <c r="D29" s="18">
        <v>0</v>
      </c>
      <c r="E29" s="43">
        <v>1.9</v>
      </c>
      <c r="F29" s="43">
        <v>4150</v>
      </c>
      <c r="G29" s="43">
        <v>6300</v>
      </c>
      <c r="H29" s="43">
        <v>47500</v>
      </c>
      <c r="I29" s="43">
        <v>850</v>
      </c>
      <c r="J29" s="112"/>
      <c r="K29" s="214" t="s">
        <v>53</v>
      </c>
      <c r="L29" s="18">
        <v>0</v>
      </c>
      <c r="M29" s="64">
        <v>3.98</v>
      </c>
      <c r="N29" s="64">
        <v>3800</v>
      </c>
      <c r="O29" s="64">
        <v>5000</v>
      </c>
      <c r="P29" s="64">
        <v>42000</v>
      </c>
      <c r="Q29" s="72">
        <v>600</v>
      </c>
      <c r="R29" s="112"/>
    </row>
    <row r="30" spans="2:18" x14ac:dyDescent="0.3">
      <c r="B30" s="77"/>
      <c r="C30" s="213"/>
      <c r="D30" s="18">
        <v>1</v>
      </c>
      <c r="E30" s="43">
        <v>0.84</v>
      </c>
      <c r="F30" s="43">
        <v>190</v>
      </c>
      <c r="G30" s="43">
        <v>420</v>
      </c>
      <c r="H30" s="43">
        <v>3100</v>
      </c>
      <c r="I30" s="43">
        <v>290</v>
      </c>
      <c r="J30" s="112"/>
      <c r="K30" s="214"/>
      <c r="L30" s="18">
        <v>1</v>
      </c>
      <c r="M30" s="64">
        <v>1.94</v>
      </c>
      <c r="N30" s="64" t="s">
        <v>22</v>
      </c>
      <c r="O30" s="64">
        <v>12</v>
      </c>
      <c r="P30" s="64">
        <v>72</v>
      </c>
      <c r="Q30" s="72">
        <v>4</v>
      </c>
      <c r="R30" s="112"/>
    </row>
    <row r="31" spans="2:18" ht="14.25" customHeight="1" x14ac:dyDescent="0.3">
      <c r="B31" s="91" t="s">
        <v>15</v>
      </c>
      <c r="C31" s="213"/>
      <c r="D31" s="18">
        <v>3</v>
      </c>
      <c r="E31" s="43">
        <v>0.81</v>
      </c>
      <c r="F31" s="43">
        <v>16</v>
      </c>
      <c r="G31" s="43">
        <v>120</v>
      </c>
      <c r="H31" s="43">
        <v>1900</v>
      </c>
      <c r="I31" s="43">
        <v>180</v>
      </c>
      <c r="J31" s="112"/>
      <c r="K31" s="214"/>
      <c r="L31" s="18">
        <v>3</v>
      </c>
      <c r="M31" s="64">
        <v>1.8</v>
      </c>
      <c r="N31" s="64" t="s">
        <v>22</v>
      </c>
      <c r="O31" s="64" t="s">
        <v>22</v>
      </c>
      <c r="P31" s="64">
        <v>16</v>
      </c>
      <c r="Q31" s="72" t="s">
        <v>22</v>
      </c>
      <c r="R31" s="112"/>
    </row>
    <row r="32" spans="2:18" x14ac:dyDescent="0.3">
      <c r="B32" s="77"/>
      <c r="C32" s="213"/>
      <c r="D32" s="18">
        <v>5</v>
      </c>
      <c r="E32" s="43">
        <v>0.78</v>
      </c>
      <c r="F32" s="43" t="s">
        <v>22</v>
      </c>
      <c r="G32" s="43">
        <v>20</v>
      </c>
      <c r="H32" s="43">
        <v>1200</v>
      </c>
      <c r="I32" s="43">
        <v>160</v>
      </c>
      <c r="J32" s="112"/>
      <c r="K32" s="214"/>
      <c r="L32" s="18">
        <v>5</v>
      </c>
      <c r="M32" s="64">
        <v>1.58</v>
      </c>
      <c r="N32" s="64" t="s">
        <v>22</v>
      </c>
      <c r="O32" s="64" t="s">
        <v>22</v>
      </c>
      <c r="P32" s="64">
        <v>4</v>
      </c>
      <c r="Q32" s="72" t="s">
        <v>22</v>
      </c>
      <c r="R32" s="112"/>
    </row>
    <row r="33" spans="2:18" x14ac:dyDescent="0.3">
      <c r="B33" s="77"/>
      <c r="C33" s="213"/>
      <c r="D33" s="18">
        <v>10</v>
      </c>
      <c r="E33" s="43">
        <v>0.74</v>
      </c>
      <c r="F33" s="43">
        <v>2</v>
      </c>
      <c r="G33" s="43">
        <v>11</v>
      </c>
      <c r="H33" s="43">
        <v>290</v>
      </c>
      <c r="I33" s="43">
        <v>79</v>
      </c>
      <c r="J33" s="115">
        <v>0.151</v>
      </c>
      <c r="K33" s="214"/>
      <c r="L33" s="18">
        <v>10</v>
      </c>
      <c r="M33" s="64">
        <v>1.56</v>
      </c>
      <c r="N33" s="64">
        <v>1</v>
      </c>
      <c r="O33" s="64">
        <v>1</v>
      </c>
      <c r="P33" s="64" t="s">
        <v>24</v>
      </c>
      <c r="Q33" s="72">
        <v>1</v>
      </c>
      <c r="R33" s="119">
        <v>0.222</v>
      </c>
    </row>
    <row r="34" spans="2:18" ht="15" thickBot="1" x14ac:dyDescent="0.35">
      <c r="B34" s="77"/>
      <c r="C34" s="213"/>
      <c r="D34" s="18">
        <v>30</v>
      </c>
      <c r="E34" s="43">
        <v>0.69</v>
      </c>
      <c r="F34" s="43" t="s">
        <v>24</v>
      </c>
      <c r="G34" s="43" t="s">
        <v>24</v>
      </c>
      <c r="H34" s="43">
        <v>28</v>
      </c>
      <c r="I34" s="43">
        <v>37</v>
      </c>
      <c r="J34" s="115">
        <v>0.14599999999999999</v>
      </c>
      <c r="K34" s="214"/>
      <c r="L34" s="18">
        <v>30</v>
      </c>
      <c r="M34" s="76">
        <v>1.47</v>
      </c>
      <c r="N34" s="76" t="s">
        <v>24</v>
      </c>
      <c r="O34" s="76" t="s">
        <v>24</v>
      </c>
      <c r="P34" s="76">
        <v>1</v>
      </c>
      <c r="Q34" s="116" t="s">
        <v>24</v>
      </c>
      <c r="R34" s="119">
        <v>0.24399999999999999</v>
      </c>
    </row>
    <row r="35" spans="2:18" x14ac:dyDescent="0.3">
      <c r="B35" s="77"/>
      <c r="C35" s="213"/>
      <c r="D35" s="5"/>
      <c r="E35" s="5"/>
      <c r="F35" s="4"/>
      <c r="G35" s="4"/>
      <c r="H35" s="4"/>
      <c r="I35" s="4"/>
      <c r="J35" s="117"/>
      <c r="K35" s="214"/>
      <c r="L35" s="5"/>
      <c r="M35" s="5"/>
      <c r="N35" s="4"/>
      <c r="O35" s="4"/>
      <c r="P35" s="4"/>
      <c r="Q35" s="118"/>
      <c r="R35" s="117"/>
    </row>
    <row r="36" spans="2:18" ht="15" customHeight="1" x14ac:dyDescent="0.3">
      <c r="B36" s="77"/>
      <c r="C36" s="11"/>
      <c r="D36" s="10"/>
      <c r="E36" s="10"/>
      <c r="F36" s="61"/>
      <c r="G36" s="61"/>
      <c r="H36" s="61"/>
      <c r="I36" s="61"/>
      <c r="K36" s="11"/>
      <c r="L36" s="10"/>
      <c r="M36" s="10"/>
      <c r="N36" s="61"/>
      <c r="O36" s="61"/>
      <c r="P36" s="61"/>
      <c r="Q36" s="23"/>
    </row>
    <row r="37" spans="2:18" ht="15" thickBot="1" x14ac:dyDescent="0.35">
      <c r="B37" s="78"/>
      <c r="C37" s="15"/>
      <c r="D37" s="15"/>
      <c r="E37" s="15"/>
      <c r="F37" s="15"/>
      <c r="G37" s="15"/>
      <c r="H37" s="15"/>
      <c r="I37" s="15"/>
      <c r="J37" s="13"/>
      <c r="K37" s="15"/>
      <c r="L37" s="15"/>
      <c r="M37" s="15"/>
      <c r="N37" s="15"/>
      <c r="O37" s="15"/>
      <c r="P37" s="15"/>
      <c r="Q37" s="94"/>
    </row>
    <row r="38" spans="2:18" x14ac:dyDescent="0.3">
      <c r="B38" s="77"/>
      <c r="E38" s="11"/>
      <c r="F38" s="11"/>
      <c r="M38" s="11"/>
      <c r="N38" s="11"/>
      <c r="Q38" s="9"/>
    </row>
    <row r="39" spans="2:18" ht="15" customHeight="1" thickBot="1" x14ac:dyDescent="0.35">
      <c r="B39" s="77"/>
      <c r="C39" s="14"/>
      <c r="D39" s="15"/>
      <c r="E39" s="15"/>
      <c r="F39" s="15"/>
      <c r="G39" s="15"/>
      <c r="H39" s="15"/>
      <c r="I39" s="15"/>
      <c r="J39" s="13"/>
      <c r="K39" s="13"/>
      <c r="L39" s="15"/>
      <c r="M39" s="15"/>
      <c r="N39" s="13"/>
      <c r="O39" s="13"/>
      <c r="P39" s="13"/>
      <c r="Q39" s="16"/>
    </row>
    <row r="40" spans="2:18" ht="15" thickBot="1" x14ac:dyDescent="0.35">
      <c r="B40" s="77"/>
      <c r="C40" s="7" t="s">
        <v>42</v>
      </c>
      <c r="D40" s="6"/>
      <c r="E40" s="6" t="s">
        <v>48</v>
      </c>
      <c r="F40" s="6"/>
      <c r="G40" s="6"/>
      <c r="H40" s="6"/>
      <c r="I40" s="6"/>
      <c r="J40" s="6"/>
      <c r="K40" s="7" t="s">
        <v>42</v>
      </c>
      <c r="L40" s="6"/>
      <c r="M40" s="6" t="s">
        <v>48</v>
      </c>
      <c r="N40" s="6"/>
      <c r="O40" s="6"/>
      <c r="P40" s="6"/>
      <c r="Q40" s="8"/>
    </row>
    <row r="41" spans="2:18" x14ac:dyDescent="0.3">
      <c r="B41" s="77"/>
      <c r="C41" s="3" t="s">
        <v>3</v>
      </c>
      <c r="D41" s="3" t="s">
        <v>4</v>
      </c>
      <c r="E41" s="3" t="s">
        <v>49</v>
      </c>
      <c r="F41" s="74" t="s">
        <v>6</v>
      </c>
      <c r="G41" s="74" t="s">
        <v>7</v>
      </c>
      <c r="H41" s="74" t="s">
        <v>8</v>
      </c>
      <c r="I41" s="74" t="s">
        <v>31</v>
      </c>
      <c r="K41" s="3" t="s">
        <v>3</v>
      </c>
      <c r="L41" s="3" t="s">
        <v>4</v>
      </c>
      <c r="M41" s="3" t="s">
        <v>49</v>
      </c>
      <c r="N41" s="20" t="s">
        <v>6</v>
      </c>
      <c r="O41" s="20" t="s">
        <v>7</v>
      </c>
      <c r="P41" s="20" t="s">
        <v>8</v>
      </c>
      <c r="Q41" s="21" t="s">
        <v>31</v>
      </c>
    </row>
    <row r="42" spans="2:18" ht="14.25" customHeight="1" x14ac:dyDescent="0.3">
      <c r="B42" s="77"/>
      <c r="C42" s="213" t="s">
        <v>53</v>
      </c>
      <c r="D42" s="18">
        <v>0</v>
      </c>
      <c r="E42" s="43">
        <v>1.9</v>
      </c>
      <c r="F42" s="43">
        <v>4150</v>
      </c>
      <c r="G42" s="43">
        <v>6300</v>
      </c>
      <c r="H42" s="43">
        <v>47500</v>
      </c>
      <c r="I42" s="43">
        <v>850</v>
      </c>
      <c r="K42" s="214" t="s">
        <v>53</v>
      </c>
      <c r="L42" s="18">
        <v>0</v>
      </c>
      <c r="M42" s="89">
        <v>3.98</v>
      </c>
      <c r="N42" s="64">
        <v>3800</v>
      </c>
      <c r="O42" s="64">
        <v>5000</v>
      </c>
      <c r="P42" s="64">
        <v>42000</v>
      </c>
      <c r="Q42" s="64">
        <v>600</v>
      </c>
    </row>
    <row r="43" spans="2:18" x14ac:dyDescent="0.3">
      <c r="B43" s="77"/>
      <c r="C43" s="213"/>
      <c r="D43" s="18">
        <v>1</v>
      </c>
      <c r="E43" s="43">
        <v>0.12</v>
      </c>
      <c r="F43" s="43">
        <v>190</v>
      </c>
      <c r="G43" s="43">
        <v>420</v>
      </c>
      <c r="H43" s="43">
        <v>3100</v>
      </c>
      <c r="I43" s="43">
        <v>290</v>
      </c>
      <c r="K43" s="214"/>
      <c r="L43" s="18">
        <v>1</v>
      </c>
      <c r="M43" s="89">
        <v>0.56999999999999995</v>
      </c>
      <c r="N43" s="64" t="s">
        <v>22</v>
      </c>
      <c r="O43" s="64">
        <v>12</v>
      </c>
      <c r="P43" s="64">
        <v>72</v>
      </c>
      <c r="Q43" s="64">
        <v>4</v>
      </c>
    </row>
    <row r="44" spans="2:18" ht="14.25" customHeight="1" x14ac:dyDescent="0.3">
      <c r="B44" s="91" t="s">
        <v>17</v>
      </c>
      <c r="C44" s="213"/>
      <c r="D44" s="18">
        <v>3</v>
      </c>
      <c r="E44" s="43">
        <v>0.08</v>
      </c>
      <c r="F44" s="43">
        <v>16</v>
      </c>
      <c r="G44" s="43">
        <v>120</v>
      </c>
      <c r="H44" s="43">
        <v>1900</v>
      </c>
      <c r="I44" s="43">
        <v>180</v>
      </c>
      <c r="K44" s="214"/>
      <c r="L44" s="18">
        <v>3</v>
      </c>
      <c r="M44" s="89">
        <v>0.28000000000000003</v>
      </c>
      <c r="N44" s="64" t="s">
        <v>22</v>
      </c>
      <c r="O44" s="64" t="s">
        <v>22</v>
      </c>
      <c r="P44" s="64">
        <v>16</v>
      </c>
      <c r="Q44" s="64" t="s">
        <v>22</v>
      </c>
    </row>
    <row r="45" spans="2:18" x14ac:dyDescent="0.3">
      <c r="B45" s="77"/>
      <c r="C45" s="213"/>
      <c r="D45" s="18">
        <v>5</v>
      </c>
      <c r="E45" s="43">
        <v>0.08</v>
      </c>
      <c r="F45" s="43" t="s">
        <v>22</v>
      </c>
      <c r="G45" s="43">
        <v>20</v>
      </c>
      <c r="H45" s="43">
        <v>1200</v>
      </c>
      <c r="I45" s="43">
        <v>160</v>
      </c>
      <c r="K45" s="214"/>
      <c r="L45" s="18">
        <v>5</v>
      </c>
      <c r="M45" s="89">
        <v>0.28000000000000003</v>
      </c>
      <c r="N45" s="64" t="s">
        <v>22</v>
      </c>
      <c r="O45" s="64" t="s">
        <v>22</v>
      </c>
      <c r="P45" s="64">
        <v>4</v>
      </c>
      <c r="Q45" s="64" t="s">
        <v>22</v>
      </c>
    </row>
    <row r="46" spans="2:18" x14ac:dyDescent="0.3">
      <c r="B46" s="77"/>
      <c r="C46" s="213"/>
      <c r="D46" s="18">
        <v>10</v>
      </c>
      <c r="E46" s="43">
        <v>0.08</v>
      </c>
      <c r="F46" s="43">
        <v>2</v>
      </c>
      <c r="G46" s="43">
        <v>11</v>
      </c>
      <c r="H46" s="43">
        <v>290</v>
      </c>
      <c r="I46" s="43">
        <v>79</v>
      </c>
      <c r="K46" s="214"/>
      <c r="L46" s="18">
        <v>10</v>
      </c>
      <c r="M46" s="89">
        <v>0.24</v>
      </c>
      <c r="N46" s="64" t="s">
        <v>24</v>
      </c>
      <c r="O46" s="64" t="s">
        <v>24</v>
      </c>
      <c r="P46" s="64" t="s">
        <v>24</v>
      </c>
      <c r="Q46" s="64">
        <v>1</v>
      </c>
    </row>
    <row r="47" spans="2:18" ht="15" thickBot="1" x14ac:dyDescent="0.35">
      <c r="B47" s="77"/>
      <c r="C47" s="213"/>
      <c r="D47" s="18">
        <v>30</v>
      </c>
      <c r="E47" s="43">
        <v>7.0000000000000007E-2</v>
      </c>
      <c r="F47" s="43">
        <v>1</v>
      </c>
      <c r="G47" s="43">
        <v>1</v>
      </c>
      <c r="H47" s="43">
        <v>28</v>
      </c>
      <c r="I47" s="43">
        <v>37</v>
      </c>
      <c r="K47" s="214"/>
      <c r="L47" s="18">
        <v>30</v>
      </c>
      <c r="M47" s="95">
        <v>0.18</v>
      </c>
      <c r="N47" s="76" t="s">
        <v>24</v>
      </c>
      <c r="O47" s="76" t="s">
        <v>24</v>
      </c>
      <c r="P47" s="76">
        <v>1</v>
      </c>
      <c r="Q47" s="76" t="s">
        <v>24</v>
      </c>
    </row>
    <row r="48" spans="2:18" x14ac:dyDescent="0.3">
      <c r="B48" s="77"/>
      <c r="C48" s="213"/>
      <c r="D48" s="5"/>
      <c r="E48" s="5"/>
      <c r="F48" s="4"/>
      <c r="G48" s="4"/>
      <c r="H48" s="4"/>
      <c r="I48" s="4"/>
      <c r="K48" s="214"/>
      <c r="L48" s="5"/>
      <c r="M48" s="5"/>
      <c r="N48" s="4"/>
      <c r="O48" s="4"/>
      <c r="P48" s="4"/>
      <c r="Q48" s="22"/>
    </row>
    <row r="49" spans="2:17" x14ac:dyDescent="0.3">
      <c r="B49" s="77"/>
      <c r="C49" s="11"/>
      <c r="D49" s="10"/>
      <c r="E49" s="10"/>
      <c r="F49" s="61"/>
      <c r="G49" s="61"/>
      <c r="H49" s="61"/>
      <c r="I49" s="61"/>
      <c r="K49" s="11"/>
      <c r="L49" s="10"/>
      <c r="M49" s="10"/>
      <c r="N49" s="61"/>
      <c r="O49" s="61"/>
      <c r="P49" s="61"/>
      <c r="Q49" s="23"/>
    </row>
    <row r="50" spans="2:17" ht="15" thickBot="1" x14ac:dyDescent="0.35">
      <c r="B50" s="78"/>
      <c r="C50" s="15"/>
      <c r="D50" s="15"/>
      <c r="E50" s="15"/>
      <c r="F50" s="15"/>
      <c r="G50" s="15"/>
      <c r="H50" s="15"/>
      <c r="I50" s="15"/>
      <c r="J50" s="13"/>
      <c r="K50" s="15"/>
      <c r="L50" s="15"/>
      <c r="M50" s="15"/>
      <c r="N50" s="15"/>
      <c r="O50" s="15"/>
      <c r="P50" s="15"/>
      <c r="Q50" s="94"/>
    </row>
    <row r="52" spans="2:17" ht="15" customHeight="1" x14ac:dyDescent="0.3"/>
    <row r="55" spans="2:17" ht="14.25" customHeight="1" x14ac:dyDescent="0.3"/>
    <row r="57" spans="2:17" ht="15" customHeight="1" x14ac:dyDescent="0.3"/>
    <row r="107" spans="2:2" ht="15" thickBot="1" x14ac:dyDescent="0.35">
      <c r="B107" s="13"/>
    </row>
    <row r="108" spans="2:2" ht="14.25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25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:C10"/>
    <mergeCell ref="K4:K10"/>
    <mergeCell ref="C42:C48"/>
    <mergeCell ref="K42:K48"/>
    <mergeCell ref="C29:C35"/>
    <mergeCell ref="K29:K35"/>
    <mergeCell ref="C16:C22"/>
    <mergeCell ref="K16:K2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9684-CA7C-4207-8B20-9B5EB6A2F549}">
  <dimension ref="A1:W213"/>
  <sheetViews>
    <sheetView zoomScale="80" zoomScaleNormal="80" workbookViewId="0">
      <selection activeCell="AC46" sqref="AC46"/>
    </sheetView>
  </sheetViews>
  <sheetFormatPr defaultColWidth="9.109375" defaultRowHeight="14.4" x14ac:dyDescent="0.3"/>
  <cols>
    <col min="1" max="1" width="43" style="2" customWidth="1"/>
    <col min="2" max="2" width="25.44140625" style="2" bestFit="1" customWidth="1"/>
    <col min="3" max="3" width="10.6640625" style="2" bestFit="1" customWidth="1"/>
    <col min="4" max="4" width="8" style="2" customWidth="1"/>
    <col min="5" max="6" width="8.33203125" style="2" customWidth="1"/>
    <col min="7" max="7" width="8.109375" style="2" customWidth="1"/>
    <col min="8" max="8" width="9.33203125" style="2" customWidth="1"/>
    <col min="9" max="9" width="7.5546875" style="2" customWidth="1"/>
    <col min="10" max="10" width="9.33203125" style="2" customWidth="1"/>
    <col min="11" max="11" width="9.109375" style="2"/>
    <col min="12" max="12" width="6.109375" style="2" customWidth="1"/>
    <col min="13" max="13" width="6.88671875" style="2" customWidth="1"/>
    <col min="14" max="14" width="8" style="2" customWidth="1"/>
    <col min="15" max="15" width="10.109375" style="2" customWidth="1"/>
    <col min="16" max="16" width="10.88671875" style="2" customWidth="1"/>
    <col min="17" max="17" width="7.33203125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50</v>
      </c>
    </row>
    <row r="2" spans="1:23" ht="26.4" thickBot="1" x14ac:dyDescent="0.55000000000000004">
      <c r="A2" s="51" t="s">
        <v>51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5.8" x14ac:dyDescent="0.5">
      <c r="A3" s="51" t="s">
        <v>52</v>
      </c>
      <c r="B3" s="77"/>
      <c r="C3" s="3" t="s">
        <v>3</v>
      </c>
      <c r="D3" s="3" t="s">
        <v>4</v>
      </c>
      <c r="E3" s="3" t="s">
        <v>44</v>
      </c>
      <c r="F3" s="74" t="s">
        <v>6</v>
      </c>
      <c r="G3" s="74" t="s">
        <v>7</v>
      </c>
      <c r="H3" s="74" t="s">
        <v>8</v>
      </c>
      <c r="I3" s="79" t="s">
        <v>9</v>
      </c>
      <c r="K3" s="3" t="s">
        <v>3</v>
      </c>
      <c r="L3" s="3" t="s">
        <v>4</v>
      </c>
      <c r="M3" s="3" t="s">
        <v>44</v>
      </c>
      <c r="N3" s="20" t="s">
        <v>6</v>
      </c>
      <c r="O3" s="20" t="s">
        <v>7</v>
      </c>
      <c r="P3" s="20" t="s">
        <v>8</v>
      </c>
      <c r="Q3" s="21" t="s">
        <v>31</v>
      </c>
      <c r="S3" s="1"/>
      <c r="U3" s="1"/>
      <c r="W3" s="1"/>
    </row>
    <row r="4" spans="1:23" ht="25.8" x14ac:dyDescent="0.5">
      <c r="A4" s="52">
        <v>45327</v>
      </c>
      <c r="B4" s="77"/>
      <c r="C4" s="213" t="s">
        <v>53</v>
      </c>
      <c r="D4" s="18">
        <v>0</v>
      </c>
      <c r="E4" s="43">
        <v>0.91</v>
      </c>
      <c r="F4" s="43">
        <v>2200</v>
      </c>
      <c r="G4" s="43">
        <v>4400</v>
      </c>
      <c r="H4" s="43">
        <v>35000</v>
      </c>
      <c r="I4" s="43">
        <v>1100</v>
      </c>
      <c r="K4" s="214" t="s">
        <v>53</v>
      </c>
      <c r="L4" s="18">
        <v>0</v>
      </c>
      <c r="M4" s="64">
        <v>2</v>
      </c>
      <c r="N4" s="64">
        <v>3100</v>
      </c>
      <c r="O4" s="64">
        <v>3800</v>
      </c>
      <c r="P4" s="64">
        <v>33000</v>
      </c>
      <c r="Q4" s="64">
        <v>900</v>
      </c>
      <c r="S4" s="1"/>
      <c r="U4" s="1"/>
    </row>
    <row r="5" spans="1:23" x14ac:dyDescent="0.3">
      <c r="B5" s="77"/>
      <c r="C5" s="213"/>
      <c r="D5" s="18">
        <v>1</v>
      </c>
      <c r="E5" s="43">
        <v>0.63</v>
      </c>
      <c r="F5" s="43">
        <v>2600</v>
      </c>
      <c r="G5" s="43">
        <v>3900</v>
      </c>
      <c r="H5" s="43">
        <v>19000</v>
      </c>
      <c r="I5" s="43">
        <v>900</v>
      </c>
      <c r="K5" s="214"/>
      <c r="L5" s="18">
        <v>1</v>
      </c>
      <c r="M5" s="64">
        <v>1.94</v>
      </c>
      <c r="N5" s="64">
        <v>290</v>
      </c>
      <c r="O5" s="64">
        <v>650</v>
      </c>
      <c r="P5" s="64">
        <v>3000</v>
      </c>
      <c r="Q5" s="64">
        <v>450</v>
      </c>
    </row>
    <row r="6" spans="1:23" ht="25.8" x14ac:dyDescent="0.5">
      <c r="A6" s="51" t="s">
        <v>54</v>
      </c>
      <c r="B6" s="91" t="s">
        <v>12</v>
      </c>
      <c r="C6" s="213"/>
      <c r="D6" s="18">
        <v>3</v>
      </c>
      <c r="E6" s="43">
        <v>0.57999999999999996</v>
      </c>
      <c r="F6" s="43">
        <v>570</v>
      </c>
      <c r="G6" s="43">
        <v>1500</v>
      </c>
      <c r="H6" s="43">
        <v>6800</v>
      </c>
      <c r="I6" s="43">
        <v>710</v>
      </c>
      <c r="K6" s="214"/>
      <c r="L6" s="18">
        <v>3</v>
      </c>
      <c r="M6" s="64">
        <v>1.9</v>
      </c>
      <c r="N6" s="64" t="s">
        <v>22</v>
      </c>
      <c r="O6" s="64" t="s">
        <v>22</v>
      </c>
      <c r="P6" s="64">
        <v>4</v>
      </c>
      <c r="Q6" s="64">
        <v>80</v>
      </c>
    </row>
    <row r="7" spans="1:23" x14ac:dyDescent="0.3">
      <c r="B7" s="77"/>
      <c r="C7" s="213"/>
      <c r="D7" s="18">
        <v>5</v>
      </c>
      <c r="E7" s="43">
        <v>0.56999999999999995</v>
      </c>
      <c r="F7" s="43">
        <v>30</v>
      </c>
      <c r="G7" s="43">
        <v>260</v>
      </c>
      <c r="H7" s="43">
        <v>1600</v>
      </c>
      <c r="I7" s="43">
        <v>445</v>
      </c>
      <c r="K7" s="214"/>
      <c r="L7" s="18">
        <v>5</v>
      </c>
      <c r="M7" s="64">
        <v>1.72</v>
      </c>
      <c r="N7" s="64" t="s">
        <v>22</v>
      </c>
      <c r="O7" s="64" t="s">
        <v>22</v>
      </c>
      <c r="P7" s="64" t="s">
        <v>22</v>
      </c>
      <c r="Q7" s="64">
        <v>8</v>
      </c>
    </row>
    <row r="8" spans="1:23" x14ac:dyDescent="0.3">
      <c r="B8" s="77"/>
      <c r="C8" s="213"/>
      <c r="D8" s="18">
        <v>10</v>
      </c>
      <c r="E8" s="43">
        <v>0.49</v>
      </c>
      <c r="F8" s="43">
        <v>1</v>
      </c>
      <c r="G8" s="43">
        <v>1</v>
      </c>
      <c r="H8" s="43">
        <v>4</v>
      </c>
      <c r="I8" s="43">
        <v>140</v>
      </c>
      <c r="K8" s="214"/>
      <c r="L8" s="18">
        <v>10</v>
      </c>
      <c r="M8" s="64">
        <v>1.61</v>
      </c>
      <c r="N8" s="64" t="s">
        <v>24</v>
      </c>
      <c r="O8" s="64" t="s">
        <v>24</v>
      </c>
      <c r="P8" s="64"/>
      <c r="Q8" s="64">
        <v>1</v>
      </c>
    </row>
    <row r="9" spans="1:23" x14ac:dyDescent="0.3">
      <c r="B9" s="77"/>
      <c r="C9" s="213"/>
      <c r="D9" s="18">
        <v>30</v>
      </c>
      <c r="E9" s="43">
        <v>0.27</v>
      </c>
      <c r="F9" s="43" t="s">
        <v>24</v>
      </c>
      <c r="G9" s="43" t="s">
        <v>24</v>
      </c>
      <c r="H9" s="43">
        <v>2</v>
      </c>
      <c r="I9" s="43">
        <v>7</v>
      </c>
      <c r="K9" s="214"/>
      <c r="L9" s="18">
        <v>30</v>
      </c>
      <c r="M9" s="64">
        <v>1.17</v>
      </c>
      <c r="N9" s="64" t="s">
        <v>24</v>
      </c>
      <c r="O9" s="64" t="s">
        <v>24</v>
      </c>
      <c r="P9" s="64">
        <v>1</v>
      </c>
      <c r="Q9" s="64" t="s">
        <v>24</v>
      </c>
    </row>
    <row r="10" spans="1:23" x14ac:dyDescent="0.3">
      <c r="B10" s="77"/>
      <c r="C10" s="213"/>
      <c r="D10" s="5"/>
      <c r="E10" s="5"/>
      <c r="F10" s="4"/>
      <c r="G10" s="4"/>
      <c r="H10" s="4"/>
      <c r="I10" s="4"/>
      <c r="K10" s="214"/>
      <c r="L10" s="5"/>
      <c r="M10" s="5"/>
      <c r="N10" s="4"/>
      <c r="O10" s="4"/>
      <c r="P10" s="4"/>
      <c r="Q10" s="22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ht="15" thickBot="1" x14ac:dyDescent="0.35">
      <c r="B13" s="58"/>
      <c r="C13" s="96"/>
      <c r="D13" s="97"/>
      <c r="E13" s="97"/>
      <c r="F13" s="97"/>
      <c r="G13" s="97"/>
      <c r="H13" s="97"/>
      <c r="I13" s="97"/>
      <c r="J13" s="98"/>
      <c r="K13" s="98"/>
      <c r="L13" s="97"/>
      <c r="M13" s="97"/>
      <c r="N13" s="98"/>
      <c r="O13" s="98"/>
      <c r="P13" s="98"/>
      <c r="Q13" s="99"/>
    </row>
    <row r="14" spans="1:23" ht="15" thickBot="1" x14ac:dyDescent="0.35">
      <c r="B14" s="77"/>
      <c r="C14" s="7" t="s">
        <v>42</v>
      </c>
      <c r="D14" s="6"/>
      <c r="E14" s="6" t="s">
        <v>47</v>
      </c>
      <c r="F14" s="6"/>
      <c r="G14" s="6"/>
      <c r="H14" s="6"/>
      <c r="I14" s="6"/>
      <c r="J14" s="6"/>
      <c r="K14" s="7" t="s">
        <v>42</v>
      </c>
      <c r="L14" s="6"/>
      <c r="M14" s="6" t="s">
        <v>47</v>
      </c>
      <c r="N14" s="6"/>
      <c r="O14" s="6"/>
      <c r="P14" s="6"/>
      <c r="Q14" s="8"/>
    </row>
    <row r="15" spans="1:23" x14ac:dyDescent="0.3">
      <c r="B15" s="77"/>
      <c r="C15" s="3" t="s">
        <v>3</v>
      </c>
      <c r="D15" s="3" t="s">
        <v>4</v>
      </c>
      <c r="E15" s="3" t="s">
        <v>55</v>
      </c>
      <c r="F15" s="74" t="s">
        <v>6</v>
      </c>
      <c r="G15" s="74" t="s">
        <v>7</v>
      </c>
      <c r="H15" s="74" t="s">
        <v>8</v>
      </c>
      <c r="I15" s="74" t="s">
        <v>31</v>
      </c>
      <c r="K15" s="3" t="s">
        <v>3</v>
      </c>
      <c r="L15" s="3" t="s">
        <v>4</v>
      </c>
      <c r="M15" s="3" t="s">
        <v>55</v>
      </c>
      <c r="N15" s="20" t="s">
        <v>6</v>
      </c>
      <c r="O15" s="20" t="s">
        <v>7</v>
      </c>
      <c r="P15" s="20" t="s">
        <v>8</v>
      </c>
      <c r="Q15" s="21" t="s">
        <v>31</v>
      </c>
    </row>
    <row r="16" spans="1:23" x14ac:dyDescent="0.3">
      <c r="B16" s="77"/>
      <c r="C16" s="213" t="s">
        <v>53</v>
      </c>
      <c r="D16" s="18">
        <v>0</v>
      </c>
      <c r="E16" s="43">
        <v>2.0499999999999998</v>
      </c>
      <c r="F16" s="43">
        <v>5450</v>
      </c>
      <c r="G16" s="43">
        <v>8800</v>
      </c>
      <c r="H16" s="43">
        <v>29500</v>
      </c>
      <c r="I16" s="43">
        <v>1250</v>
      </c>
      <c r="K16" s="214" t="s">
        <v>53</v>
      </c>
      <c r="L16" s="18">
        <v>0</v>
      </c>
      <c r="M16" s="64">
        <v>4.0999999999999996</v>
      </c>
      <c r="N16" s="64">
        <v>4500</v>
      </c>
      <c r="O16" s="64">
        <v>8600</v>
      </c>
      <c r="P16" s="64">
        <v>30000</v>
      </c>
      <c r="Q16" s="64">
        <v>900</v>
      </c>
    </row>
    <row r="17" spans="2:18" ht="15" customHeight="1" x14ac:dyDescent="0.3">
      <c r="B17" s="91" t="s">
        <v>13</v>
      </c>
      <c r="C17" s="213"/>
      <c r="D17" s="18">
        <v>1</v>
      </c>
      <c r="E17" s="43">
        <v>1.75</v>
      </c>
      <c r="F17" s="43">
        <v>4300</v>
      </c>
      <c r="G17" s="43">
        <v>9200</v>
      </c>
      <c r="H17" s="43">
        <v>43000</v>
      </c>
      <c r="I17" s="43">
        <v>2000</v>
      </c>
      <c r="K17" s="214"/>
      <c r="L17" s="18">
        <v>1</v>
      </c>
      <c r="M17" s="64">
        <v>3.68</v>
      </c>
      <c r="N17" s="64">
        <v>4500</v>
      </c>
      <c r="O17" s="64">
        <v>7600</v>
      </c>
      <c r="P17" s="64">
        <v>31000</v>
      </c>
      <c r="Q17" s="64">
        <v>1200</v>
      </c>
    </row>
    <row r="18" spans="2:18" x14ac:dyDescent="0.3">
      <c r="B18" s="77"/>
      <c r="C18" s="213"/>
      <c r="D18" s="18">
        <v>3</v>
      </c>
      <c r="E18" s="43">
        <v>1.72</v>
      </c>
      <c r="F18" s="43">
        <v>5000</v>
      </c>
      <c r="G18" s="43">
        <v>10000</v>
      </c>
      <c r="H18" s="43">
        <v>30000</v>
      </c>
      <c r="I18" s="43">
        <v>1800</v>
      </c>
      <c r="K18" s="214"/>
      <c r="L18" s="18">
        <v>3</v>
      </c>
      <c r="M18" s="64">
        <v>3.58</v>
      </c>
      <c r="N18" s="64">
        <v>3200</v>
      </c>
      <c r="O18" s="64">
        <v>5850</v>
      </c>
      <c r="P18" s="64">
        <v>24000</v>
      </c>
      <c r="Q18" s="64">
        <v>1200</v>
      </c>
    </row>
    <row r="19" spans="2:18" ht="14.25" customHeight="1" x14ac:dyDescent="0.3">
      <c r="B19" s="77"/>
      <c r="C19" s="213"/>
      <c r="D19" s="18">
        <v>5</v>
      </c>
      <c r="E19" s="43">
        <v>1.68</v>
      </c>
      <c r="F19" s="43">
        <v>3400</v>
      </c>
      <c r="G19" s="43">
        <v>6400</v>
      </c>
      <c r="H19" s="43">
        <v>26000</v>
      </c>
      <c r="I19" s="43">
        <v>950</v>
      </c>
      <c r="K19" s="214"/>
      <c r="L19" s="18">
        <v>5</v>
      </c>
      <c r="M19" s="64">
        <v>3.53</v>
      </c>
      <c r="N19" s="64">
        <v>1050</v>
      </c>
      <c r="O19" s="64">
        <v>1950</v>
      </c>
      <c r="P19" s="64">
        <v>10500</v>
      </c>
      <c r="Q19" s="64">
        <v>700</v>
      </c>
    </row>
    <row r="20" spans="2:18" x14ac:dyDescent="0.3">
      <c r="B20" s="77"/>
      <c r="C20" s="213"/>
      <c r="D20" s="18">
        <v>10</v>
      </c>
      <c r="E20" s="43">
        <v>1.66</v>
      </c>
      <c r="F20" s="43">
        <v>900</v>
      </c>
      <c r="G20" s="43">
        <v>1700</v>
      </c>
      <c r="H20" s="43">
        <v>18000</v>
      </c>
      <c r="I20" s="43">
        <v>900</v>
      </c>
      <c r="K20" s="214"/>
      <c r="L20" s="18">
        <v>10</v>
      </c>
      <c r="M20" s="64">
        <v>3.56</v>
      </c>
      <c r="N20" s="64">
        <v>23</v>
      </c>
      <c r="O20" s="64">
        <v>170</v>
      </c>
      <c r="P20" s="64">
        <v>1400</v>
      </c>
      <c r="Q20" s="64">
        <v>312</v>
      </c>
    </row>
    <row r="21" spans="2:18" x14ac:dyDescent="0.3">
      <c r="B21" s="77"/>
      <c r="C21" s="213"/>
      <c r="D21" s="18">
        <v>30</v>
      </c>
      <c r="E21" s="43">
        <v>1.4</v>
      </c>
      <c r="F21" s="43">
        <v>5</v>
      </c>
      <c r="G21" s="43">
        <v>130</v>
      </c>
      <c r="H21" s="43">
        <v>860</v>
      </c>
      <c r="I21" s="43">
        <v>243</v>
      </c>
      <c r="K21" s="214"/>
      <c r="L21" s="18">
        <v>30</v>
      </c>
      <c r="M21" s="64">
        <v>3.31</v>
      </c>
      <c r="N21" s="64" t="s">
        <v>24</v>
      </c>
      <c r="O21" s="64">
        <v>5</v>
      </c>
      <c r="P21" s="64">
        <v>48</v>
      </c>
      <c r="Q21" s="64">
        <v>35</v>
      </c>
    </row>
    <row r="22" spans="2:18" x14ac:dyDescent="0.3">
      <c r="B22" s="77"/>
      <c r="C22" s="213"/>
      <c r="D22" s="5"/>
      <c r="E22" s="5"/>
      <c r="F22" s="4"/>
      <c r="G22" s="4"/>
      <c r="H22" s="4"/>
      <c r="I22" s="4"/>
      <c r="K22" s="214"/>
      <c r="L22" s="5"/>
      <c r="M22" s="5"/>
      <c r="N22" s="4"/>
      <c r="O22" s="4"/>
      <c r="P22" s="4"/>
      <c r="Q22" s="22"/>
    </row>
    <row r="23" spans="2:18" x14ac:dyDescent="0.3">
      <c r="B23" s="77"/>
      <c r="C23" s="11"/>
      <c r="D23" s="10"/>
      <c r="E23" s="10"/>
      <c r="F23" s="61"/>
      <c r="G23" s="61"/>
      <c r="H23" s="61"/>
      <c r="I23" s="61"/>
      <c r="K23" s="11"/>
      <c r="L23" s="10"/>
      <c r="M23" s="10"/>
      <c r="N23" s="61"/>
      <c r="O23" s="61"/>
      <c r="P23" s="61"/>
      <c r="Q23" s="23"/>
    </row>
    <row r="24" spans="2:18" ht="15" thickBot="1" x14ac:dyDescent="0.35">
      <c r="B24" s="78"/>
      <c r="C24" s="15"/>
      <c r="D24" s="15"/>
      <c r="E24" s="15"/>
      <c r="F24" s="15"/>
      <c r="G24" s="15"/>
      <c r="H24" s="15"/>
      <c r="I24" s="15"/>
      <c r="J24" s="13"/>
      <c r="K24" s="15"/>
      <c r="L24" s="15"/>
      <c r="M24" s="15"/>
      <c r="N24" s="15"/>
      <c r="O24" s="15"/>
      <c r="P24" s="15"/>
      <c r="Q24" s="94"/>
    </row>
    <row r="25" spans="2:18" x14ac:dyDescent="0.3">
      <c r="B25" s="58"/>
      <c r="C25" s="6"/>
      <c r="D25" s="6"/>
      <c r="E25" s="100"/>
      <c r="F25" s="100"/>
      <c r="G25" s="6"/>
      <c r="H25" s="6"/>
      <c r="I25" s="6"/>
      <c r="J25" s="6"/>
      <c r="K25" s="6"/>
      <c r="L25" s="6"/>
      <c r="M25" s="100"/>
      <c r="N25" s="100"/>
      <c r="O25" s="6"/>
      <c r="P25" s="6"/>
      <c r="Q25" s="8"/>
    </row>
    <row r="26" spans="2:18" ht="15" thickBot="1" x14ac:dyDescent="0.35">
      <c r="B26" s="77"/>
      <c r="C26" s="14"/>
      <c r="D26" s="15"/>
      <c r="E26" s="15"/>
      <c r="F26" s="15"/>
      <c r="G26" s="15"/>
      <c r="H26" s="15"/>
      <c r="I26" s="15"/>
      <c r="J26" s="13"/>
      <c r="K26" s="13"/>
      <c r="L26" s="15"/>
      <c r="M26" s="15"/>
      <c r="N26" s="13"/>
      <c r="O26" s="13"/>
      <c r="P26" s="13"/>
      <c r="Q26" s="16"/>
    </row>
    <row r="27" spans="2:18" ht="15" thickBot="1" x14ac:dyDescent="0.35">
      <c r="B27" s="77"/>
      <c r="C27" s="7" t="s">
        <v>42</v>
      </c>
      <c r="D27" s="6"/>
      <c r="E27" s="6" t="s">
        <v>48</v>
      </c>
      <c r="F27" s="6"/>
      <c r="G27" s="6"/>
      <c r="H27" s="6"/>
      <c r="I27" s="6"/>
      <c r="J27" s="6"/>
      <c r="K27" s="7" t="s">
        <v>42</v>
      </c>
      <c r="L27" s="6"/>
      <c r="M27" s="6" t="s">
        <v>48</v>
      </c>
      <c r="N27" s="6"/>
      <c r="O27" s="6"/>
      <c r="P27" s="6"/>
      <c r="Q27" s="8"/>
    </row>
    <row r="28" spans="2:18" x14ac:dyDescent="0.3">
      <c r="B28" s="77"/>
      <c r="C28" s="3" t="s">
        <v>3</v>
      </c>
      <c r="D28" s="3" t="s">
        <v>4</v>
      </c>
      <c r="E28" s="3" t="s">
        <v>49</v>
      </c>
      <c r="F28" s="74" t="s">
        <v>6</v>
      </c>
      <c r="G28" s="74" t="s">
        <v>7</v>
      </c>
      <c r="H28" s="74" t="s">
        <v>8</v>
      </c>
      <c r="I28" s="74" t="s">
        <v>31</v>
      </c>
      <c r="J28" s="74" t="s">
        <v>14</v>
      </c>
      <c r="K28" s="3" t="s">
        <v>3</v>
      </c>
      <c r="L28" s="3" t="s">
        <v>4</v>
      </c>
      <c r="M28" s="3" t="s">
        <v>49</v>
      </c>
      <c r="N28" s="20" t="s">
        <v>6</v>
      </c>
      <c r="O28" s="20" t="s">
        <v>7</v>
      </c>
      <c r="P28" s="20" t="s">
        <v>8</v>
      </c>
      <c r="Q28" s="110" t="s">
        <v>31</v>
      </c>
      <c r="R28" s="74" t="s">
        <v>14</v>
      </c>
    </row>
    <row r="29" spans="2:18" ht="14.25" customHeight="1" x14ac:dyDescent="0.3">
      <c r="B29" s="77"/>
      <c r="C29" s="213" t="s">
        <v>53</v>
      </c>
      <c r="D29" s="18">
        <v>0</v>
      </c>
      <c r="E29" s="43">
        <v>1.9</v>
      </c>
      <c r="F29" s="43">
        <v>4150</v>
      </c>
      <c r="G29" s="43">
        <v>6300</v>
      </c>
      <c r="H29" s="43">
        <v>47500</v>
      </c>
      <c r="I29" s="43">
        <v>850</v>
      </c>
      <c r="J29" s="112"/>
      <c r="K29" s="214" t="s">
        <v>53</v>
      </c>
      <c r="L29" s="18">
        <v>0</v>
      </c>
      <c r="M29" s="64">
        <v>3.98</v>
      </c>
      <c r="N29" s="64">
        <v>3800</v>
      </c>
      <c r="O29" s="64">
        <v>5000</v>
      </c>
      <c r="P29" s="64">
        <v>42000</v>
      </c>
      <c r="Q29" s="72">
        <v>600</v>
      </c>
      <c r="R29" s="112"/>
    </row>
    <row r="30" spans="2:18" x14ac:dyDescent="0.3">
      <c r="B30" s="77"/>
      <c r="C30" s="213"/>
      <c r="D30" s="18">
        <v>1</v>
      </c>
      <c r="E30" s="43">
        <v>0.84</v>
      </c>
      <c r="F30" s="43">
        <v>190</v>
      </c>
      <c r="G30" s="43">
        <v>420</v>
      </c>
      <c r="H30" s="43">
        <v>3100</v>
      </c>
      <c r="I30" s="43">
        <v>290</v>
      </c>
      <c r="J30" s="112"/>
      <c r="K30" s="214"/>
      <c r="L30" s="18">
        <v>1</v>
      </c>
      <c r="M30" s="64">
        <v>1.94</v>
      </c>
      <c r="N30" s="64" t="s">
        <v>22</v>
      </c>
      <c r="O30" s="64">
        <v>12</v>
      </c>
      <c r="P30" s="64">
        <v>72</v>
      </c>
      <c r="Q30" s="72">
        <v>4</v>
      </c>
      <c r="R30" s="112"/>
    </row>
    <row r="31" spans="2:18" ht="14.25" customHeight="1" x14ac:dyDescent="0.3">
      <c r="B31" s="91" t="s">
        <v>15</v>
      </c>
      <c r="C31" s="213"/>
      <c r="D31" s="18">
        <v>3</v>
      </c>
      <c r="E31" s="43">
        <v>0.81</v>
      </c>
      <c r="F31" s="43">
        <v>16</v>
      </c>
      <c r="G31" s="43">
        <v>120</v>
      </c>
      <c r="H31" s="43">
        <v>1900</v>
      </c>
      <c r="I31" s="43">
        <v>180</v>
      </c>
      <c r="J31" s="112"/>
      <c r="K31" s="214"/>
      <c r="L31" s="18">
        <v>3</v>
      </c>
      <c r="M31" s="64">
        <v>1.8</v>
      </c>
      <c r="N31" s="64" t="s">
        <v>22</v>
      </c>
      <c r="O31" s="64" t="s">
        <v>22</v>
      </c>
      <c r="P31" s="64">
        <v>16</v>
      </c>
      <c r="Q31" s="72" t="s">
        <v>22</v>
      </c>
      <c r="R31" s="112"/>
    </row>
    <row r="32" spans="2:18" x14ac:dyDescent="0.3">
      <c r="B32" s="77"/>
      <c r="C32" s="213"/>
      <c r="D32" s="18">
        <v>5</v>
      </c>
      <c r="E32" s="43">
        <v>0.78</v>
      </c>
      <c r="F32" s="43" t="s">
        <v>22</v>
      </c>
      <c r="G32" s="43">
        <v>20</v>
      </c>
      <c r="H32" s="43">
        <v>1200</v>
      </c>
      <c r="I32" s="43">
        <v>160</v>
      </c>
      <c r="J32" s="112"/>
      <c r="K32" s="214"/>
      <c r="L32" s="18">
        <v>5</v>
      </c>
      <c r="M32" s="64">
        <v>1.58</v>
      </c>
      <c r="N32" s="64" t="s">
        <v>22</v>
      </c>
      <c r="O32" s="64" t="s">
        <v>22</v>
      </c>
      <c r="P32" s="64">
        <v>4</v>
      </c>
      <c r="Q32" s="72" t="s">
        <v>22</v>
      </c>
      <c r="R32" s="112"/>
    </row>
    <row r="33" spans="2:18" x14ac:dyDescent="0.3">
      <c r="B33" s="77"/>
      <c r="C33" s="213"/>
      <c r="D33" s="18">
        <v>10</v>
      </c>
      <c r="E33" s="43">
        <v>0.74</v>
      </c>
      <c r="F33" s="43">
        <v>2</v>
      </c>
      <c r="G33" s="43">
        <v>11</v>
      </c>
      <c r="H33" s="43">
        <v>290</v>
      </c>
      <c r="I33" s="43">
        <v>79</v>
      </c>
      <c r="J33" s="115">
        <v>0.151</v>
      </c>
      <c r="K33" s="214"/>
      <c r="L33" s="18">
        <v>10</v>
      </c>
      <c r="M33" s="64">
        <v>1.56</v>
      </c>
      <c r="N33" s="64">
        <v>1</v>
      </c>
      <c r="O33" s="64">
        <v>1</v>
      </c>
      <c r="P33" s="64" t="s">
        <v>24</v>
      </c>
      <c r="Q33" s="72">
        <v>1</v>
      </c>
      <c r="R33" s="119">
        <v>0.222</v>
      </c>
    </row>
    <row r="34" spans="2:18" ht="15" thickBot="1" x14ac:dyDescent="0.35">
      <c r="B34" s="77"/>
      <c r="C34" s="213"/>
      <c r="D34" s="18">
        <v>30</v>
      </c>
      <c r="E34" s="43">
        <v>0.69</v>
      </c>
      <c r="F34" s="43" t="s">
        <v>24</v>
      </c>
      <c r="G34" s="43" t="s">
        <v>24</v>
      </c>
      <c r="H34" s="43">
        <v>28</v>
      </c>
      <c r="I34" s="43">
        <v>37</v>
      </c>
      <c r="J34" s="115">
        <v>0.14599999999999999</v>
      </c>
      <c r="K34" s="214"/>
      <c r="L34" s="18">
        <v>30</v>
      </c>
      <c r="M34" s="76">
        <v>1.47</v>
      </c>
      <c r="N34" s="76" t="s">
        <v>24</v>
      </c>
      <c r="O34" s="76" t="s">
        <v>24</v>
      </c>
      <c r="P34" s="76">
        <v>1</v>
      </c>
      <c r="Q34" s="116" t="s">
        <v>24</v>
      </c>
      <c r="R34" s="119">
        <v>0.24399999999999999</v>
      </c>
    </row>
    <row r="35" spans="2:18" x14ac:dyDescent="0.3">
      <c r="B35" s="77"/>
      <c r="C35" s="213"/>
      <c r="D35" s="5"/>
      <c r="E35" s="5"/>
      <c r="F35" s="4"/>
      <c r="G35" s="4"/>
      <c r="H35" s="4"/>
      <c r="I35" s="4"/>
      <c r="J35" s="117"/>
      <c r="K35" s="214"/>
      <c r="L35" s="5"/>
      <c r="M35" s="5"/>
      <c r="N35" s="4"/>
      <c r="O35" s="4"/>
      <c r="P35" s="4"/>
      <c r="Q35" s="118"/>
      <c r="R35" s="117"/>
    </row>
    <row r="36" spans="2:18" ht="15" customHeight="1" x14ac:dyDescent="0.3">
      <c r="B36" s="77"/>
      <c r="C36" s="11"/>
      <c r="D36" s="10"/>
      <c r="E36" s="10"/>
      <c r="F36" s="61"/>
      <c r="G36" s="61"/>
      <c r="H36" s="61"/>
      <c r="I36" s="61"/>
      <c r="K36" s="11"/>
      <c r="L36" s="10"/>
      <c r="M36" s="10"/>
      <c r="N36" s="61"/>
      <c r="O36" s="61"/>
      <c r="P36" s="61"/>
      <c r="Q36" s="23"/>
    </row>
    <row r="37" spans="2:18" ht="15" thickBot="1" x14ac:dyDescent="0.35">
      <c r="B37" s="78"/>
      <c r="C37" s="15"/>
      <c r="D37" s="15"/>
      <c r="E37" s="15"/>
      <c r="F37" s="15"/>
      <c r="G37" s="15"/>
      <c r="H37" s="15"/>
      <c r="I37" s="15"/>
      <c r="J37" s="13"/>
      <c r="K37" s="15"/>
      <c r="L37" s="15"/>
      <c r="M37" s="15"/>
      <c r="N37" s="15"/>
      <c r="O37" s="15"/>
      <c r="P37" s="15"/>
      <c r="Q37" s="94"/>
    </row>
    <row r="38" spans="2:18" x14ac:dyDescent="0.3">
      <c r="B38" s="77"/>
      <c r="E38" s="11"/>
      <c r="F38" s="11"/>
      <c r="M38" s="11"/>
      <c r="N38" s="11"/>
      <c r="Q38" s="9"/>
    </row>
    <row r="39" spans="2:18" ht="15" customHeight="1" thickBot="1" x14ac:dyDescent="0.35">
      <c r="B39" s="77"/>
      <c r="C39" s="14"/>
      <c r="D39" s="15"/>
      <c r="E39" s="15"/>
      <c r="F39" s="15"/>
      <c r="G39" s="15"/>
      <c r="H39" s="15"/>
      <c r="I39" s="15"/>
      <c r="J39" s="13"/>
      <c r="K39" s="13"/>
      <c r="L39" s="15"/>
      <c r="M39" s="15"/>
      <c r="N39" s="13"/>
      <c r="O39" s="13"/>
      <c r="P39" s="13"/>
      <c r="Q39" s="16"/>
    </row>
    <row r="40" spans="2:18" ht="15" thickBot="1" x14ac:dyDescent="0.35">
      <c r="B40" s="77"/>
      <c r="C40" s="7" t="s">
        <v>42</v>
      </c>
      <c r="D40" s="6"/>
      <c r="E40" s="6" t="s">
        <v>48</v>
      </c>
      <c r="F40" s="6"/>
      <c r="G40" s="6"/>
      <c r="H40" s="6"/>
      <c r="I40" s="6"/>
      <c r="J40" s="6"/>
      <c r="K40" s="7" t="s">
        <v>42</v>
      </c>
      <c r="L40" s="6"/>
      <c r="M40" s="6" t="s">
        <v>48</v>
      </c>
      <c r="N40" s="6"/>
      <c r="O40" s="6"/>
      <c r="P40" s="6"/>
      <c r="Q40" s="8"/>
    </row>
    <row r="41" spans="2:18" x14ac:dyDescent="0.3">
      <c r="B41" s="77"/>
      <c r="C41" s="3" t="s">
        <v>3</v>
      </c>
      <c r="D41" s="3" t="s">
        <v>4</v>
      </c>
      <c r="E41" s="3" t="s">
        <v>49</v>
      </c>
      <c r="F41" s="74" t="s">
        <v>6</v>
      </c>
      <c r="G41" s="74" t="s">
        <v>7</v>
      </c>
      <c r="H41" s="74" t="s">
        <v>8</v>
      </c>
      <c r="I41" s="74" t="s">
        <v>31</v>
      </c>
      <c r="K41" s="3" t="s">
        <v>3</v>
      </c>
      <c r="L41" s="3" t="s">
        <v>4</v>
      </c>
      <c r="M41" s="3" t="s">
        <v>49</v>
      </c>
      <c r="N41" s="20" t="s">
        <v>6</v>
      </c>
      <c r="O41" s="20" t="s">
        <v>7</v>
      </c>
      <c r="P41" s="20" t="s">
        <v>8</v>
      </c>
      <c r="Q41" s="21" t="s">
        <v>31</v>
      </c>
    </row>
    <row r="42" spans="2:18" ht="14.25" customHeight="1" x14ac:dyDescent="0.3">
      <c r="B42" s="77"/>
      <c r="C42" s="213" t="s">
        <v>53</v>
      </c>
      <c r="D42" s="18">
        <v>0</v>
      </c>
      <c r="E42" s="43">
        <v>1.9</v>
      </c>
      <c r="F42" s="43">
        <v>4150</v>
      </c>
      <c r="G42" s="43">
        <v>6300</v>
      </c>
      <c r="H42" s="43">
        <v>47500</v>
      </c>
      <c r="I42" s="43">
        <v>850</v>
      </c>
      <c r="K42" s="214" t="s">
        <v>53</v>
      </c>
      <c r="L42" s="18">
        <v>0</v>
      </c>
      <c r="M42" s="89">
        <v>3.98</v>
      </c>
      <c r="N42" s="64">
        <v>3800</v>
      </c>
      <c r="O42" s="64">
        <v>5000</v>
      </c>
      <c r="P42" s="64">
        <v>42000</v>
      </c>
      <c r="Q42" s="64">
        <v>600</v>
      </c>
    </row>
    <row r="43" spans="2:18" x14ac:dyDescent="0.3">
      <c r="B43" s="77"/>
      <c r="C43" s="213"/>
      <c r="D43" s="18">
        <v>1</v>
      </c>
      <c r="E43" s="43">
        <v>0.12</v>
      </c>
      <c r="F43" s="43">
        <v>190</v>
      </c>
      <c r="G43" s="43">
        <v>420</v>
      </c>
      <c r="H43" s="43">
        <v>3100</v>
      </c>
      <c r="I43" s="43">
        <v>290</v>
      </c>
      <c r="K43" s="214"/>
      <c r="L43" s="18">
        <v>1</v>
      </c>
      <c r="M43" s="89">
        <v>0.56999999999999995</v>
      </c>
      <c r="N43" s="64" t="s">
        <v>22</v>
      </c>
      <c r="O43" s="64">
        <v>12</v>
      </c>
      <c r="P43" s="64">
        <v>72</v>
      </c>
      <c r="Q43" s="64">
        <v>4</v>
      </c>
    </row>
    <row r="44" spans="2:18" ht="14.25" customHeight="1" x14ac:dyDescent="0.3">
      <c r="B44" s="91" t="s">
        <v>17</v>
      </c>
      <c r="C44" s="213"/>
      <c r="D44" s="18">
        <v>3</v>
      </c>
      <c r="E44" s="43">
        <v>0.08</v>
      </c>
      <c r="F44" s="43">
        <v>16</v>
      </c>
      <c r="G44" s="43">
        <v>120</v>
      </c>
      <c r="H44" s="43">
        <v>1900</v>
      </c>
      <c r="I44" s="43">
        <v>180</v>
      </c>
      <c r="K44" s="214"/>
      <c r="L44" s="18">
        <v>3</v>
      </c>
      <c r="M44" s="89">
        <v>0.28000000000000003</v>
      </c>
      <c r="N44" s="64" t="s">
        <v>22</v>
      </c>
      <c r="O44" s="64" t="s">
        <v>22</v>
      </c>
      <c r="P44" s="64">
        <v>16</v>
      </c>
      <c r="Q44" s="64" t="s">
        <v>22</v>
      </c>
    </row>
    <row r="45" spans="2:18" x14ac:dyDescent="0.3">
      <c r="B45" s="77"/>
      <c r="C45" s="213"/>
      <c r="D45" s="18">
        <v>5</v>
      </c>
      <c r="E45" s="43">
        <v>0.08</v>
      </c>
      <c r="F45" s="43" t="s">
        <v>22</v>
      </c>
      <c r="G45" s="43">
        <v>20</v>
      </c>
      <c r="H45" s="43">
        <v>1200</v>
      </c>
      <c r="I45" s="43">
        <v>160</v>
      </c>
      <c r="K45" s="214"/>
      <c r="L45" s="18">
        <v>5</v>
      </c>
      <c r="M45" s="89">
        <v>0.28000000000000003</v>
      </c>
      <c r="N45" s="64" t="s">
        <v>22</v>
      </c>
      <c r="O45" s="64" t="s">
        <v>22</v>
      </c>
      <c r="P45" s="64">
        <v>4</v>
      </c>
      <c r="Q45" s="64" t="s">
        <v>22</v>
      </c>
    </row>
    <row r="46" spans="2:18" x14ac:dyDescent="0.3">
      <c r="B46" s="77"/>
      <c r="C46" s="213"/>
      <c r="D46" s="18">
        <v>10</v>
      </c>
      <c r="E46" s="43">
        <v>0.08</v>
      </c>
      <c r="F46" s="43">
        <v>2</v>
      </c>
      <c r="G46" s="43">
        <v>11</v>
      </c>
      <c r="H46" s="43">
        <v>290</v>
      </c>
      <c r="I46" s="43">
        <v>79</v>
      </c>
      <c r="K46" s="214"/>
      <c r="L46" s="18">
        <v>10</v>
      </c>
      <c r="M46" s="89">
        <v>0.24</v>
      </c>
      <c r="N46" s="64" t="s">
        <v>24</v>
      </c>
      <c r="O46" s="64" t="s">
        <v>24</v>
      </c>
      <c r="P46" s="64" t="s">
        <v>24</v>
      </c>
      <c r="Q46" s="64">
        <v>1</v>
      </c>
    </row>
    <row r="47" spans="2:18" ht="15" thickBot="1" x14ac:dyDescent="0.35">
      <c r="B47" s="77"/>
      <c r="C47" s="213"/>
      <c r="D47" s="18">
        <v>30</v>
      </c>
      <c r="E47" s="43">
        <v>7.0000000000000007E-2</v>
      </c>
      <c r="F47" s="43">
        <v>1</v>
      </c>
      <c r="G47" s="43">
        <v>1</v>
      </c>
      <c r="H47" s="43">
        <v>28</v>
      </c>
      <c r="I47" s="43">
        <v>37</v>
      </c>
      <c r="K47" s="214"/>
      <c r="L47" s="18">
        <v>30</v>
      </c>
      <c r="M47" s="95">
        <v>0.18</v>
      </c>
      <c r="N47" s="76" t="s">
        <v>24</v>
      </c>
      <c r="O47" s="76" t="s">
        <v>24</v>
      </c>
      <c r="P47" s="76">
        <v>1</v>
      </c>
      <c r="Q47" s="76" t="s">
        <v>24</v>
      </c>
    </row>
    <row r="48" spans="2:18" x14ac:dyDescent="0.3">
      <c r="B48" s="77"/>
      <c r="C48" s="213"/>
      <c r="D48" s="5"/>
      <c r="E48" s="5"/>
      <c r="F48" s="4"/>
      <c r="G48" s="4"/>
      <c r="H48" s="4"/>
      <c r="I48" s="4"/>
      <c r="K48" s="214"/>
      <c r="L48" s="5"/>
      <c r="M48" s="5"/>
      <c r="N48" s="4"/>
      <c r="O48" s="4"/>
      <c r="P48" s="4"/>
      <c r="Q48" s="22"/>
    </row>
    <row r="49" spans="2:17" x14ac:dyDescent="0.3">
      <c r="B49" s="77"/>
      <c r="C49" s="11"/>
      <c r="D49" s="10"/>
      <c r="E49" s="10"/>
      <c r="F49" s="61"/>
      <c r="G49" s="61"/>
      <c r="H49" s="61"/>
      <c r="I49" s="61"/>
      <c r="K49" s="11"/>
      <c r="L49" s="10"/>
      <c r="M49" s="10"/>
      <c r="N49" s="61"/>
      <c r="O49" s="61"/>
      <c r="P49" s="61"/>
      <c r="Q49" s="23"/>
    </row>
    <row r="50" spans="2:17" ht="15" thickBot="1" x14ac:dyDescent="0.35">
      <c r="B50" s="78"/>
      <c r="C50" s="15"/>
      <c r="D50" s="15"/>
      <c r="E50" s="15"/>
      <c r="F50" s="15"/>
      <c r="G50" s="15"/>
      <c r="H50" s="15"/>
      <c r="I50" s="15"/>
      <c r="J50" s="13"/>
      <c r="K50" s="15"/>
      <c r="L50" s="15"/>
      <c r="M50" s="15"/>
      <c r="N50" s="15"/>
      <c r="O50" s="15"/>
      <c r="P50" s="15"/>
      <c r="Q50" s="94"/>
    </row>
    <row r="52" spans="2:17" ht="15" customHeight="1" x14ac:dyDescent="0.3"/>
    <row r="55" spans="2:17" ht="14.25" customHeight="1" x14ac:dyDescent="0.3"/>
    <row r="57" spans="2:17" ht="15" customHeight="1" x14ac:dyDescent="0.3"/>
    <row r="107" spans="2:2" ht="15" thickBot="1" x14ac:dyDescent="0.35">
      <c r="B107" s="13"/>
    </row>
    <row r="108" spans="2:2" ht="14.25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25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2:C48"/>
    <mergeCell ref="K42:K48"/>
    <mergeCell ref="C4:C10"/>
    <mergeCell ref="K4:K10"/>
    <mergeCell ref="C16:C22"/>
    <mergeCell ref="K16:K22"/>
    <mergeCell ref="C29:C35"/>
    <mergeCell ref="K29:K35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13"/>
  <sheetViews>
    <sheetView zoomScale="90" zoomScaleNormal="90" workbookViewId="0">
      <selection activeCell="S3" sqref="S3"/>
    </sheetView>
  </sheetViews>
  <sheetFormatPr defaultColWidth="9.109375" defaultRowHeight="14.4" x14ac:dyDescent="0.3"/>
  <cols>
    <col min="1" max="1" width="39" style="2" bestFit="1" customWidth="1"/>
    <col min="2" max="2" width="25.44140625" style="2" bestFit="1" customWidth="1"/>
    <col min="3" max="3" width="10.6640625" style="2" bestFit="1" customWidth="1"/>
    <col min="4" max="4" width="7.33203125" style="2" customWidth="1"/>
    <col min="5" max="5" width="8.88671875" style="2" customWidth="1"/>
    <col min="6" max="6" width="9.5546875" style="2" customWidth="1"/>
    <col min="7" max="7" width="9" style="2" customWidth="1"/>
    <col min="8" max="8" width="10.88671875" style="2" customWidth="1"/>
    <col min="9" max="9" width="7.44140625" style="2" customWidth="1"/>
    <col min="10" max="10" width="8.33203125" style="2" customWidth="1"/>
    <col min="11" max="11" width="9.109375" style="2"/>
    <col min="12" max="12" width="7.109375" style="2" customWidth="1"/>
    <col min="13" max="13" width="8.44140625" style="2" customWidth="1"/>
    <col min="14" max="14" width="9.109375" style="2" customWidth="1"/>
    <col min="15" max="15" width="10.109375" style="2" customWidth="1"/>
    <col min="16" max="16" width="8" style="2" customWidth="1"/>
    <col min="17" max="17" width="7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56</v>
      </c>
    </row>
    <row r="2" spans="1:23" ht="25.8" x14ac:dyDescent="0.5">
      <c r="A2" s="51" t="s">
        <v>57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5.8" x14ac:dyDescent="0.5">
      <c r="A3" s="52">
        <v>45334</v>
      </c>
      <c r="B3" s="77"/>
      <c r="C3" s="3" t="s">
        <v>3</v>
      </c>
      <c r="D3" s="3" t="s">
        <v>4</v>
      </c>
      <c r="E3" s="3" t="s">
        <v>44</v>
      </c>
      <c r="F3" s="74" t="s">
        <v>6</v>
      </c>
      <c r="G3" s="74" t="s">
        <v>7</v>
      </c>
      <c r="H3" s="74" t="s">
        <v>8</v>
      </c>
      <c r="I3" s="79" t="s">
        <v>9</v>
      </c>
      <c r="K3" s="3" t="s">
        <v>3</v>
      </c>
      <c r="L3" s="3" t="s">
        <v>4</v>
      </c>
      <c r="M3" s="3" t="s">
        <v>44</v>
      </c>
      <c r="N3" s="74" t="s">
        <v>6</v>
      </c>
      <c r="O3" s="74" t="s">
        <v>7</v>
      </c>
      <c r="P3" s="74" t="s">
        <v>8</v>
      </c>
      <c r="Q3" s="74" t="s">
        <v>31</v>
      </c>
      <c r="S3" s="1"/>
      <c r="U3" s="1"/>
      <c r="W3" s="1"/>
    </row>
    <row r="4" spans="1:23" ht="15" customHeight="1" x14ac:dyDescent="0.3">
      <c r="B4" s="77"/>
      <c r="C4" s="213" t="s">
        <v>58</v>
      </c>
      <c r="D4" s="18">
        <v>0</v>
      </c>
      <c r="E4" s="43">
        <v>1.04</v>
      </c>
      <c r="F4" s="43">
        <v>700</v>
      </c>
      <c r="G4" s="43">
        <v>1800</v>
      </c>
      <c r="H4" s="43">
        <v>23000</v>
      </c>
      <c r="I4" s="43">
        <v>540</v>
      </c>
      <c r="K4" s="213" t="s">
        <v>58</v>
      </c>
      <c r="L4" s="18">
        <v>0</v>
      </c>
      <c r="M4" s="75">
        <v>2</v>
      </c>
      <c r="N4" s="43">
        <v>1000</v>
      </c>
      <c r="O4" s="43">
        <v>1300</v>
      </c>
      <c r="P4" s="43">
        <v>25000</v>
      </c>
      <c r="Q4" s="43">
        <v>640</v>
      </c>
      <c r="S4" s="1"/>
      <c r="U4" s="1"/>
    </row>
    <row r="5" spans="1:23" x14ac:dyDescent="0.3">
      <c r="B5" s="77"/>
      <c r="C5" s="213"/>
      <c r="D5" s="18">
        <v>1</v>
      </c>
      <c r="E5" s="43">
        <v>0.65</v>
      </c>
      <c r="F5" s="43">
        <v>330</v>
      </c>
      <c r="G5" s="43">
        <v>570</v>
      </c>
      <c r="H5" s="43">
        <v>23000</v>
      </c>
      <c r="I5" s="43">
        <v>440</v>
      </c>
      <c r="K5" s="213"/>
      <c r="L5" s="18">
        <v>1</v>
      </c>
      <c r="M5" s="75">
        <v>1.64</v>
      </c>
      <c r="N5" s="43">
        <v>110</v>
      </c>
      <c r="O5" s="43">
        <v>180</v>
      </c>
      <c r="P5" s="43">
        <v>3000</v>
      </c>
      <c r="Q5" s="43">
        <v>320</v>
      </c>
    </row>
    <row r="6" spans="1:23" ht="25.8" x14ac:dyDescent="0.5">
      <c r="A6" s="51" t="s">
        <v>59</v>
      </c>
      <c r="B6" s="91" t="s">
        <v>12</v>
      </c>
      <c r="C6" s="213"/>
      <c r="D6" s="18">
        <v>3</v>
      </c>
      <c r="E6" s="43">
        <v>0.62</v>
      </c>
      <c r="F6" s="43">
        <v>16</v>
      </c>
      <c r="G6" s="43">
        <v>64</v>
      </c>
      <c r="H6" s="43">
        <v>3500</v>
      </c>
      <c r="I6" s="43">
        <v>340</v>
      </c>
      <c r="K6" s="213"/>
      <c r="L6" s="18">
        <v>3</v>
      </c>
      <c r="M6" s="75">
        <v>1.54</v>
      </c>
      <c r="N6" s="43" t="s">
        <v>22</v>
      </c>
      <c r="O6" s="43">
        <v>8</v>
      </c>
      <c r="P6" s="43">
        <v>16</v>
      </c>
      <c r="Q6" s="43">
        <v>76</v>
      </c>
    </row>
    <row r="7" spans="1:23" x14ac:dyDescent="0.3">
      <c r="B7" s="77"/>
      <c r="C7" s="213"/>
      <c r="D7" s="18">
        <v>5</v>
      </c>
      <c r="E7" s="43">
        <v>0.57999999999999996</v>
      </c>
      <c r="F7" s="43">
        <v>8</v>
      </c>
      <c r="G7" s="43">
        <v>8</v>
      </c>
      <c r="H7" s="43">
        <v>205</v>
      </c>
      <c r="I7" s="43">
        <v>215</v>
      </c>
      <c r="K7" s="213"/>
      <c r="L7" s="18">
        <v>5</v>
      </c>
      <c r="M7" s="75">
        <v>1.44</v>
      </c>
      <c r="N7" s="43" t="s">
        <v>22</v>
      </c>
      <c r="O7" s="43" t="s">
        <v>22</v>
      </c>
      <c r="P7" s="43">
        <v>28</v>
      </c>
      <c r="Q7" s="43">
        <v>20</v>
      </c>
    </row>
    <row r="8" spans="1:23" x14ac:dyDescent="0.3">
      <c r="B8" s="77"/>
      <c r="C8" s="213"/>
      <c r="D8" s="18">
        <v>10</v>
      </c>
      <c r="E8" s="43">
        <v>0.51</v>
      </c>
      <c r="F8" s="43">
        <v>1</v>
      </c>
      <c r="G8" s="43">
        <v>3</v>
      </c>
      <c r="H8" s="43">
        <v>13</v>
      </c>
      <c r="I8" s="43">
        <v>34</v>
      </c>
      <c r="K8" s="213"/>
      <c r="L8" s="18">
        <v>10</v>
      </c>
      <c r="M8" s="75">
        <v>1.32</v>
      </c>
      <c r="N8" s="43">
        <v>1</v>
      </c>
      <c r="O8" s="43">
        <v>1</v>
      </c>
      <c r="P8" s="43">
        <v>15</v>
      </c>
      <c r="Q8" s="43" t="s">
        <v>24</v>
      </c>
    </row>
    <row r="9" spans="1:23" x14ac:dyDescent="0.3">
      <c r="B9" s="77"/>
      <c r="C9" s="213"/>
      <c r="D9" s="18">
        <v>30</v>
      </c>
      <c r="E9" s="43">
        <v>0.26</v>
      </c>
      <c r="F9" s="43">
        <v>1</v>
      </c>
      <c r="G9" s="43">
        <v>4</v>
      </c>
      <c r="H9" s="43">
        <v>19</v>
      </c>
      <c r="I9" s="43">
        <v>1</v>
      </c>
      <c r="K9" s="213"/>
      <c r="L9" s="18">
        <v>30</v>
      </c>
      <c r="M9" s="75">
        <v>0.9</v>
      </c>
      <c r="N9" s="43">
        <v>1</v>
      </c>
      <c r="O9" s="43">
        <v>2</v>
      </c>
      <c r="P9" s="43">
        <v>11</v>
      </c>
      <c r="Q9" s="43" t="s">
        <v>24</v>
      </c>
    </row>
    <row r="10" spans="1:23" x14ac:dyDescent="0.3">
      <c r="B10" s="77"/>
      <c r="C10" s="213"/>
      <c r="D10" s="5"/>
      <c r="E10" s="5"/>
      <c r="F10" s="4"/>
      <c r="G10" s="4"/>
      <c r="H10" s="4"/>
      <c r="I10" s="4"/>
      <c r="K10" s="213"/>
      <c r="L10" s="5"/>
      <c r="M10" s="5"/>
      <c r="N10" s="4"/>
      <c r="O10" s="4"/>
      <c r="P10" s="4"/>
      <c r="Q10" s="4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x14ac:dyDescent="0.3">
      <c r="B13" s="58"/>
      <c r="C13" s="6"/>
      <c r="D13" s="6"/>
      <c r="E13" s="100"/>
      <c r="F13" s="100"/>
      <c r="G13" s="6"/>
      <c r="H13" s="6"/>
      <c r="I13" s="6"/>
      <c r="J13" s="6"/>
      <c r="K13" s="6"/>
      <c r="L13" s="6"/>
      <c r="M13" s="100"/>
      <c r="N13" s="100"/>
      <c r="O13" s="6"/>
      <c r="P13" s="6"/>
      <c r="Q13" s="8"/>
    </row>
    <row r="14" spans="1:23" x14ac:dyDescent="0.3">
      <c r="B14" s="77"/>
      <c r="C14" s="12"/>
      <c r="D14" s="11"/>
      <c r="E14" s="11"/>
      <c r="F14" s="11"/>
      <c r="G14" s="11"/>
      <c r="H14" s="11"/>
      <c r="I14" s="11"/>
      <c r="L14" s="10"/>
      <c r="M14" s="17"/>
      <c r="Q14" s="9"/>
    </row>
    <row r="15" spans="1:23" ht="15" thickBot="1" x14ac:dyDescent="0.35">
      <c r="B15" s="77"/>
      <c r="C15" s="14"/>
      <c r="D15" s="15"/>
      <c r="E15" s="15"/>
      <c r="F15" s="15"/>
      <c r="G15" s="15"/>
      <c r="H15" s="15"/>
      <c r="I15" s="15"/>
      <c r="J15" s="13"/>
      <c r="K15" s="13"/>
      <c r="L15" s="15"/>
      <c r="M15" s="15"/>
      <c r="N15" s="13"/>
      <c r="O15" s="13"/>
      <c r="P15" s="13"/>
      <c r="Q15" s="16"/>
    </row>
    <row r="16" spans="1:23" ht="15" thickBot="1" x14ac:dyDescent="0.35">
      <c r="B16" s="77"/>
      <c r="C16" s="7" t="s">
        <v>42</v>
      </c>
      <c r="D16" s="6"/>
      <c r="E16" s="6" t="s">
        <v>47</v>
      </c>
      <c r="F16" s="6"/>
      <c r="G16" s="6"/>
      <c r="H16" s="6"/>
      <c r="I16" s="6"/>
      <c r="J16" s="6"/>
      <c r="K16" s="7" t="s">
        <v>42</v>
      </c>
      <c r="L16" s="6"/>
      <c r="M16" s="6" t="s">
        <v>47</v>
      </c>
      <c r="N16" s="6"/>
      <c r="O16" s="6"/>
      <c r="P16" s="6"/>
      <c r="Q16" s="8"/>
    </row>
    <row r="17" spans="2:18" ht="15" customHeight="1" x14ac:dyDescent="0.3">
      <c r="B17" s="77"/>
      <c r="C17" s="3" t="s">
        <v>3</v>
      </c>
      <c r="D17" s="3" t="s">
        <v>4</v>
      </c>
      <c r="E17" s="3" t="s">
        <v>55</v>
      </c>
      <c r="F17" s="74" t="s">
        <v>6</v>
      </c>
      <c r="G17" s="74" t="s">
        <v>7</v>
      </c>
      <c r="H17" s="74" t="s">
        <v>8</v>
      </c>
      <c r="I17" s="74" t="s">
        <v>31</v>
      </c>
      <c r="K17" s="3" t="s">
        <v>3</v>
      </c>
      <c r="L17" s="3" t="s">
        <v>4</v>
      </c>
      <c r="M17" s="3" t="s">
        <v>55</v>
      </c>
      <c r="N17" s="20" t="s">
        <v>6</v>
      </c>
      <c r="O17" s="20" t="s">
        <v>7</v>
      </c>
      <c r="P17" s="20" t="s">
        <v>8</v>
      </c>
      <c r="Q17" s="21" t="s">
        <v>31</v>
      </c>
    </row>
    <row r="18" spans="2:18" x14ac:dyDescent="0.3">
      <c r="B18" s="77"/>
      <c r="C18" s="213" t="s">
        <v>58</v>
      </c>
      <c r="D18" s="18">
        <v>0</v>
      </c>
      <c r="E18" s="43">
        <v>2.02</v>
      </c>
      <c r="F18" s="43">
        <v>1050</v>
      </c>
      <c r="G18" s="43">
        <v>1650</v>
      </c>
      <c r="H18" s="43">
        <v>37000</v>
      </c>
      <c r="I18" s="43">
        <v>700</v>
      </c>
      <c r="K18" s="214" t="s">
        <v>58</v>
      </c>
      <c r="L18" s="18">
        <v>0</v>
      </c>
      <c r="M18" s="64">
        <v>3.95</v>
      </c>
      <c r="N18" s="101">
        <v>840</v>
      </c>
      <c r="O18" s="43">
        <v>1300</v>
      </c>
      <c r="P18" s="43">
        <v>22000</v>
      </c>
      <c r="Q18" s="59">
        <v>460</v>
      </c>
    </row>
    <row r="19" spans="2:18" ht="14.25" customHeight="1" x14ac:dyDescent="0.3">
      <c r="B19" s="91" t="s">
        <v>13</v>
      </c>
      <c r="C19" s="213"/>
      <c r="D19" s="18">
        <v>1</v>
      </c>
      <c r="E19" s="43">
        <v>1.62</v>
      </c>
      <c r="F19" s="43">
        <v>660</v>
      </c>
      <c r="G19" s="43">
        <v>1300</v>
      </c>
      <c r="H19" s="43">
        <v>42000</v>
      </c>
      <c r="I19" s="43">
        <v>720</v>
      </c>
      <c r="K19" s="214"/>
      <c r="L19" s="18">
        <v>1</v>
      </c>
      <c r="M19" s="64">
        <v>3.42</v>
      </c>
      <c r="N19" s="101">
        <v>540</v>
      </c>
      <c r="O19" s="43">
        <v>1000</v>
      </c>
      <c r="P19" s="43">
        <v>33000</v>
      </c>
      <c r="Q19" s="59">
        <v>700</v>
      </c>
    </row>
    <row r="20" spans="2:18" x14ac:dyDescent="0.3">
      <c r="B20" s="77"/>
      <c r="C20" s="213"/>
      <c r="D20" s="18">
        <v>3</v>
      </c>
      <c r="E20" s="43">
        <v>1.61</v>
      </c>
      <c r="F20" s="43">
        <v>940</v>
      </c>
      <c r="G20" s="43">
        <v>1200</v>
      </c>
      <c r="H20" s="43">
        <v>37000</v>
      </c>
      <c r="I20" s="43">
        <v>680</v>
      </c>
      <c r="K20" s="214"/>
      <c r="L20" s="18">
        <v>3</v>
      </c>
      <c r="M20" s="64">
        <v>3.35</v>
      </c>
      <c r="N20" s="101">
        <v>320</v>
      </c>
      <c r="O20" s="43">
        <v>670</v>
      </c>
      <c r="P20" s="43">
        <v>29000</v>
      </c>
      <c r="Q20" s="59">
        <v>580</v>
      </c>
    </row>
    <row r="21" spans="2:18" x14ac:dyDescent="0.3">
      <c r="B21" s="77"/>
      <c r="C21" s="213"/>
      <c r="D21" s="18">
        <v>5</v>
      </c>
      <c r="E21" s="43">
        <v>1.57</v>
      </c>
      <c r="F21" s="43">
        <v>840</v>
      </c>
      <c r="G21" s="43">
        <v>840</v>
      </c>
      <c r="H21" s="43">
        <v>20000</v>
      </c>
      <c r="I21" s="43">
        <v>420</v>
      </c>
      <c r="K21" s="214"/>
      <c r="L21" s="18">
        <v>5</v>
      </c>
      <c r="M21" s="64">
        <v>3.36</v>
      </c>
      <c r="N21" s="101">
        <v>36</v>
      </c>
      <c r="O21" s="43">
        <v>145</v>
      </c>
      <c r="P21" s="43">
        <v>21000</v>
      </c>
      <c r="Q21" s="59">
        <v>365</v>
      </c>
    </row>
    <row r="22" spans="2:18" x14ac:dyDescent="0.3">
      <c r="B22" s="77"/>
      <c r="C22" s="213"/>
      <c r="D22" s="18">
        <v>10</v>
      </c>
      <c r="E22" s="43">
        <v>1.53</v>
      </c>
      <c r="F22" s="43">
        <v>140</v>
      </c>
      <c r="G22" s="43">
        <v>480</v>
      </c>
      <c r="H22" s="43">
        <v>19000</v>
      </c>
      <c r="I22" s="43">
        <v>510</v>
      </c>
      <c r="K22" s="214"/>
      <c r="L22" s="18">
        <v>10</v>
      </c>
      <c r="M22" s="64">
        <v>3.29</v>
      </c>
      <c r="N22" s="101">
        <v>4</v>
      </c>
      <c r="O22" s="43">
        <v>41</v>
      </c>
      <c r="P22" s="43">
        <v>1100</v>
      </c>
      <c r="Q22" s="59">
        <v>200</v>
      </c>
    </row>
    <row r="23" spans="2:18" x14ac:dyDescent="0.3">
      <c r="B23" s="77"/>
      <c r="C23" s="213"/>
      <c r="D23" s="18">
        <v>30</v>
      </c>
      <c r="E23" s="43">
        <v>1.37</v>
      </c>
      <c r="F23" s="43">
        <v>2</v>
      </c>
      <c r="G23" s="43">
        <v>29</v>
      </c>
      <c r="H23" s="43">
        <v>740</v>
      </c>
      <c r="I23" s="43">
        <v>140</v>
      </c>
      <c r="K23" s="214"/>
      <c r="L23" s="18">
        <v>30</v>
      </c>
      <c r="M23" s="64">
        <v>2.89</v>
      </c>
      <c r="N23" s="101">
        <v>5</v>
      </c>
      <c r="O23" s="43">
        <v>12</v>
      </c>
      <c r="P23" s="43">
        <v>92</v>
      </c>
      <c r="Q23" s="59">
        <v>15</v>
      </c>
    </row>
    <row r="24" spans="2:18" x14ac:dyDescent="0.3">
      <c r="B24" s="77"/>
      <c r="C24" s="213"/>
      <c r="D24" s="5"/>
      <c r="E24" s="5"/>
      <c r="F24" s="4"/>
      <c r="G24" s="4"/>
      <c r="H24" s="4"/>
      <c r="I24" s="4"/>
      <c r="K24" s="214"/>
      <c r="L24" s="5"/>
      <c r="M24" s="5"/>
      <c r="N24" s="4"/>
      <c r="O24" s="4"/>
      <c r="P24" s="4"/>
      <c r="Q24" s="22"/>
    </row>
    <row r="25" spans="2:18" x14ac:dyDescent="0.3">
      <c r="B25" s="77"/>
      <c r="C25" s="11"/>
      <c r="D25" s="10"/>
      <c r="E25" s="10"/>
      <c r="F25" s="61"/>
      <c r="G25" s="61"/>
      <c r="H25" s="61"/>
      <c r="I25" s="61"/>
      <c r="K25" s="11"/>
      <c r="L25" s="10"/>
      <c r="M25" s="10"/>
      <c r="N25" s="61"/>
      <c r="O25" s="61"/>
      <c r="P25" s="61"/>
      <c r="Q25" s="23"/>
    </row>
    <row r="26" spans="2:18" ht="15" thickBot="1" x14ac:dyDescent="0.35">
      <c r="B26" s="78"/>
      <c r="C26" s="15"/>
      <c r="D26" s="15"/>
      <c r="E26" s="15"/>
      <c r="F26" s="15"/>
      <c r="G26" s="15"/>
      <c r="H26" s="15"/>
      <c r="I26" s="15"/>
      <c r="J26" s="13"/>
      <c r="K26" s="15"/>
      <c r="L26" s="15"/>
      <c r="M26" s="15"/>
      <c r="N26" s="15"/>
      <c r="O26" s="15"/>
      <c r="P26" s="15"/>
      <c r="Q26" s="94"/>
    </row>
    <row r="27" spans="2:18" x14ac:dyDescent="0.3">
      <c r="B27" s="58"/>
      <c r="C27" s="6"/>
      <c r="D27" s="6"/>
      <c r="E27" s="100"/>
      <c r="F27" s="100"/>
      <c r="G27" s="6"/>
      <c r="H27" s="6"/>
      <c r="I27" s="6"/>
      <c r="J27" s="6"/>
      <c r="K27" s="6"/>
      <c r="L27" s="6"/>
      <c r="M27" s="100"/>
      <c r="N27" s="100"/>
      <c r="O27" s="6"/>
      <c r="P27" s="6"/>
      <c r="Q27" s="8"/>
    </row>
    <row r="28" spans="2:18" x14ac:dyDescent="0.3">
      <c r="B28" s="77"/>
      <c r="C28" s="12"/>
      <c r="D28" s="11"/>
      <c r="E28" s="11"/>
      <c r="F28" s="11"/>
      <c r="G28" s="11"/>
      <c r="H28" s="11"/>
      <c r="I28" s="11"/>
      <c r="L28" s="10"/>
      <c r="M28" s="17"/>
      <c r="Q28" s="9"/>
    </row>
    <row r="29" spans="2:18" ht="15" thickBot="1" x14ac:dyDescent="0.35">
      <c r="B29" s="77"/>
      <c r="C29" s="14"/>
      <c r="D29" s="15"/>
      <c r="E29" s="15"/>
      <c r="F29" s="15"/>
      <c r="G29" s="15"/>
      <c r="H29" s="15"/>
      <c r="I29" s="15"/>
      <c r="J29" s="13"/>
      <c r="K29" s="13"/>
      <c r="L29" s="15"/>
      <c r="M29" s="15"/>
      <c r="N29" s="13"/>
      <c r="O29" s="13"/>
      <c r="P29" s="13"/>
      <c r="Q29" s="16"/>
    </row>
    <row r="30" spans="2:18" ht="15" thickBot="1" x14ac:dyDescent="0.35">
      <c r="B30" s="77"/>
      <c r="C30" s="7" t="s">
        <v>42</v>
      </c>
      <c r="D30" s="6"/>
      <c r="E30" s="6" t="s">
        <v>48</v>
      </c>
      <c r="F30" s="6"/>
      <c r="G30" s="6"/>
      <c r="H30" s="6"/>
      <c r="I30" s="6"/>
      <c r="J30" s="6"/>
      <c r="K30" s="7" t="s">
        <v>42</v>
      </c>
      <c r="L30" s="6"/>
      <c r="M30" s="6" t="s">
        <v>48</v>
      </c>
      <c r="N30" s="6"/>
      <c r="O30" s="6"/>
      <c r="P30" s="6"/>
      <c r="Q30" s="8"/>
    </row>
    <row r="31" spans="2:18" ht="14.25" customHeight="1" x14ac:dyDescent="0.3">
      <c r="B31" s="77"/>
      <c r="C31" s="3" t="s">
        <v>3</v>
      </c>
      <c r="D31" s="3" t="s">
        <v>4</v>
      </c>
      <c r="E31" s="3" t="s">
        <v>49</v>
      </c>
      <c r="F31" s="74" t="s">
        <v>6</v>
      </c>
      <c r="G31" s="74" t="s">
        <v>7</v>
      </c>
      <c r="H31" s="74" t="s">
        <v>8</v>
      </c>
      <c r="I31" s="74" t="s">
        <v>31</v>
      </c>
      <c r="J31" s="74" t="s">
        <v>14</v>
      </c>
      <c r="K31" s="3" t="s">
        <v>3</v>
      </c>
      <c r="L31" s="3" t="s">
        <v>4</v>
      </c>
      <c r="M31" s="3" t="s">
        <v>49</v>
      </c>
      <c r="N31" s="20" t="s">
        <v>6</v>
      </c>
      <c r="O31" s="20" t="s">
        <v>7</v>
      </c>
      <c r="P31" s="20" t="s">
        <v>8</v>
      </c>
      <c r="Q31" s="21" t="s">
        <v>31</v>
      </c>
      <c r="R31" s="74" t="s">
        <v>14</v>
      </c>
    </row>
    <row r="32" spans="2:18" x14ac:dyDescent="0.3">
      <c r="B32" s="77"/>
      <c r="C32" s="213" t="s">
        <v>58</v>
      </c>
      <c r="D32" s="18">
        <v>0</v>
      </c>
      <c r="E32" s="43">
        <v>2.0499999999999998</v>
      </c>
      <c r="F32" s="43">
        <v>1000</v>
      </c>
      <c r="G32" s="43">
        <v>1300</v>
      </c>
      <c r="H32" s="43">
        <v>20000</v>
      </c>
      <c r="I32" s="43">
        <v>700</v>
      </c>
      <c r="J32" s="112"/>
      <c r="K32" s="214" t="s">
        <v>58</v>
      </c>
      <c r="L32" s="18">
        <v>0</v>
      </c>
      <c r="M32" s="81">
        <v>4</v>
      </c>
      <c r="N32" s="101">
        <v>1050</v>
      </c>
      <c r="O32" s="43">
        <v>1550</v>
      </c>
      <c r="P32" s="43">
        <v>25500</v>
      </c>
      <c r="Q32" s="59">
        <v>630</v>
      </c>
      <c r="R32" s="112"/>
    </row>
    <row r="33" spans="2:18" ht="14.25" customHeight="1" x14ac:dyDescent="0.3">
      <c r="B33" s="77"/>
      <c r="C33" s="213"/>
      <c r="D33" s="18">
        <v>1</v>
      </c>
      <c r="E33" s="43">
        <v>0.69</v>
      </c>
      <c r="F33" s="43">
        <v>16</v>
      </c>
      <c r="G33" s="43">
        <v>48</v>
      </c>
      <c r="H33" s="43">
        <v>1700</v>
      </c>
      <c r="I33" s="43">
        <v>52</v>
      </c>
      <c r="J33" s="112"/>
      <c r="K33" s="214"/>
      <c r="L33" s="18">
        <v>1</v>
      </c>
      <c r="M33" s="81">
        <v>1.68</v>
      </c>
      <c r="N33" s="101" t="s">
        <v>22</v>
      </c>
      <c r="O33" s="43" t="s">
        <v>22</v>
      </c>
      <c r="P33" s="43">
        <v>28</v>
      </c>
      <c r="Q33" s="59" t="s">
        <v>22</v>
      </c>
      <c r="R33" s="112"/>
    </row>
    <row r="34" spans="2:18" x14ac:dyDescent="0.3">
      <c r="B34" s="91" t="s">
        <v>15</v>
      </c>
      <c r="C34" s="213"/>
      <c r="D34" s="18">
        <v>3</v>
      </c>
      <c r="E34" s="43">
        <v>0.64</v>
      </c>
      <c r="F34" s="43">
        <v>12</v>
      </c>
      <c r="G34" s="43">
        <v>24</v>
      </c>
      <c r="H34" s="43">
        <v>260</v>
      </c>
      <c r="I34" s="43">
        <v>60</v>
      </c>
      <c r="J34" s="112"/>
      <c r="K34" s="214"/>
      <c r="L34" s="18">
        <v>3</v>
      </c>
      <c r="M34" s="81">
        <v>1.4</v>
      </c>
      <c r="N34" s="101">
        <v>4</v>
      </c>
      <c r="O34" s="43">
        <v>4</v>
      </c>
      <c r="P34" s="43">
        <v>40</v>
      </c>
      <c r="Q34" s="59">
        <v>4</v>
      </c>
      <c r="R34" s="112"/>
    </row>
    <row r="35" spans="2:18" x14ac:dyDescent="0.3">
      <c r="B35" s="77"/>
      <c r="C35" s="213"/>
      <c r="D35" s="18">
        <v>5</v>
      </c>
      <c r="E35" s="43">
        <v>0.66</v>
      </c>
      <c r="F35" s="43">
        <v>4</v>
      </c>
      <c r="G35" s="43">
        <v>32</v>
      </c>
      <c r="H35" s="43">
        <v>410</v>
      </c>
      <c r="I35" s="43">
        <v>32</v>
      </c>
      <c r="J35" s="112"/>
      <c r="K35" s="214"/>
      <c r="L35" s="18">
        <v>5</v>
      </c>
      <c r="M35" s="81">
        <v>1.32</v>
      </c>
      <c r="N35" s="101" t="s">
        <v>22</v>
      </c>
      <c r="O35" s="43" t="s">
        <v>22</v>
      </c>
      <c r="P35" s="43">
        <v>76</v>
      </c>
      <c r="Q35" s="59">
        <v>4</v>
      </c>
      <c r="R35" s="112"/>
    </row>
    <row r="36" spans="2:18" ht="15" customHeight="1" x14ac:dyDescent="0.3">
      <c r="B36" s="77"/>
      <c r="C36" s="213"/>
      <c r="D36" s="18">
        <v>10</v>
      </c>
      <c r="E36" s="43">
        <v>0.59</v>
      </c>
      <c r="F36" s="43">
        <v>7</v>
      </c>
      <c r="G36" s="43">
        <v>19</v>
      </c>
      <c r="H36" s="43">
        <v>190</v>
      </c>
      <c r="I36" s="43">
        <v>30</v>
      </c>
      <c r="J36" s="115">
        <v>9.8000000000000004E-2</v>
      </c>
      <c r="K36" s="214"/>
      <c r="L36" s="18">
        <v>10</v>
      </c>
      <c r="M36" s="81">
        <v>1.3</v>
      </c>
      <c r="N36" s="101">
        <v>1</v>
      </c>
      <c r="O36" s="43">
        <v>5</v>
      </c>
      <c r="P36" s="43">
        <v>19</v>
      </c>
      <c r="Q36" s="120">
        <v>1</v>
      </c>
      <c r="R36" s="119">
        <v>0.121</v>
      </c>
    </row>
    <row r="37" spans="2:18" ht="15" thickBot="1" x14ac:dyDescent="0.35">
      <c r="B37" s="77"/>
      <c r="C37" s="213"/>
      <c r="D37" s="18">
        <v>30</v>
      </c>
      <c r="E37" s="43">
        <v>0.57999999999999996</v>
      </c>
      <c r="F37" s="43">
        <v>1</v>
      </c>
      <c r="G37" s="43">
        <v>4</v>
      </c>
      <c r="H37" s="43">
        <v>72</v>
      </c>
      <c r="I37" s="43">
        <v>15</v>
      </c>
      <c r="J37" s="115">
        <v>0.53700000000000003</v>
      </c>
      <c r="K37" s="214"/>
      <c r="L37" s="18">
        <v>30</v>
      </c>
      <c r="M37" s="102">
        <v>1.22</v>
      </c>
      <c r="N37" s="103" t="s">
        <v>24</v>
      </c>
      <c r="O37" s="45" t="s">
        <v>24</v>
      </c>
      <c r="P37" s="45">
        <v>10</v>
      </c>
      <c r="Q37" s="121" t="s">
        <v>24</v>
      </c>
      <c r="R37" s="119">
        <v>0.127</v>
      </c>
    </row>
    <row r="38" spans="2:18" x14ac:dyDescent="0.3">
      <c r="B38" s="77"/>
      <c r="C38" s="213"/>
      <c r="D38" s="5"/>
      <c r="E38" s="5"/>
      <c r="F38" s="4"/>
      <c r="G38" s="4"/>
      <c r="H38" s="4"/>
      <c r="I38" s="4"/>
      <c r="J38" s="117"/>
      <c r="K38" s="214"/>
      <c r="L38" s="5"/>
      <c r="M38" s="5"/>
      <c r="N38" s="4"/>
      <c r="O38" s="4"/>
      <c r="P38" s="4"/>
      <c r="Q38" s="22"/>
      <c r="R38" s="117"/>
    </row>
    <row r="39" spans="2:18" ht="15" customHeight="1" x14ac:dyDescent="0.3">
      <c r="B39" s="77"/>
      <c r="C39" s="11"/>
      <c r="D39" s="10"/>
      <c r="E39" s="10"/>
      <c r="F39" s="61"/>
      <c r="G39" s="61"/>
      <c r="H39" s="61"/>
      <c r="I39" s="61"/>
      <c r="K39" s="11"/>
      <c r="L39" s="10"/>
      <c r="M39" s="10"/>
      <c r="N39" s="61"/>
      <c r="O39" s="61"/>
      <c r="P39" s="61"/>
      <c r="Q39" s="23"/>
    </row>
    <row r="40" spans="2:18" ht="15" thickBot="1" x14ac:dyDescent="0.35">
      <c r="B40" s="78"/>
      <c r="C40" s="15"/>
      <c r="D40" s="15"/>
      <c r="E40" s="15"/>
      <c r="F40" s="15"/>
      <c r="G40" s="15"/>
      <c r="H40" s="15"/>
      <c r="I40" s="15"/>
      <c r="J40" s="13"/>
      <c r="K40" s="15"/>
      <c r="L40" s="15"/>
      <c r="M40" s="15"/>
      <c r="N40" s="15"/>
      <c r="O40" s="15"/>
      <c r="P40" s="15"/>
      <c r="Q40" s="94"/>
    </row>
    <row r="41" spans="2:18" x14ac:dyDescent="0.3">
      <c r="B41" s="58"/>
      <c r="C41" s="6"/>
      <c r="D41" s="6"/>
      <c r="E41" s="100"/>
      <c r="F41" s="100"/>
      <c r="G41" s="6"/>
      <c r="H41" s="6"/>
      <c r="I41" s="6"/>
      <c r="J41" s="6"/>
      <c r="K41" s="6"/>
      <c r="L41" s="6"/>
      <c r="M41" s="100"/>
      <c r="N41" s="100"/>
      <c r="O41" s="6"/>
      <c r="P41" s="6"/>
      <c r="Q41" s="8"/>
    </row>
    <row r="42" spans="2:18" x14ac:dyDescent="0.3">
      <c r="B42" s="77"/>
      <c r="C42" s="12"/>
      <c r="D42" s="11"/>
      <c r="E42" s="11"/>
      <c r="F42" s="11"/>
      <c r="G42" s="11"/>
      <c r="H42" s="11"/>
      <c r="I42" s="11"/>
      <c r="L42" s="10"/>
      <c r="M42" s="17"/>
      <c r="Q42" s="9"/>
    </row>
    <row r="43" spans="2:18" ht="15" thickBot="1" x14ac:dyDescent="0.35">
      <c r="B43" s="77"/>
      <c r="C43" s="14"/>
      <c r="D43" s="15"/>
      <c r="E43" s="15"/>
      <c r="F43" s="15"/>
      <c r="G43" s="15"/>
      <c r="H43" s="15"/>
      <c r="I43" s="15"/>
      <c r="J43" s="13"/>
      <c r="K43" s="13"/>
      <c r="L43" s="15"/>
      <c r="M43" s="15"/>
      <c r="N43" s="13"/>
      <c r="O43" s="13"/>
      <c r="P43" s="13"/>
      <c r="Q43" s="16"/>
    </row>
    <row r="44" spans="2:18" ht="15" thickBot="1" x14ac:dyDescent="0.35">
      <c r="B44" s="77"/>
      <c r="C44" s="7" t="s">
        <v>42</v>
      </c>
      <c r="D44" s="6"/>
      <c r="E44" s="6" t="s">
        <v>48</v>
      </c>
      <c r="F44" s="6"/>
      <c r="G44" s="6"/>
      <c r="H44" s="6"/>
      <c r="I44" s="6"/>
      <c r="J44" s="6"/>
      <c r="K44" s="7" t="s">
        <v>42</v>
      </c>
      <c r="L44" s="6"/>
      <c r="M44" s="6" t="s">
        <v>48</v>
      </c>
      <c r="N44" s="6"/>
      <c r="O44" s="6"/>
      <c r="P44" s="6"/>
      <c r="Q44" s="8"/>
    </row>
    <row r="45" spans="2:18" ht="14.25" customHeight="1" x14ac:dyDescent="0.3">
      <c r="B45" s="77"/>
      <c r="C45" s="3" t="s">
        <v>3</v>
      </c>
      <c r="D45" s="3" t="s">
        <v>4</v>
      </c>
      <c r="E45" s="3" t="s">
        <v>49</v>
      </c>
      <c r="F45" s="74" t="s">
        <v>6</v>
      </c>
      <c r="G45" s="74" t="s">
        <v>7</v>
      </c>
      <c r="H45" s="74" t="s">
        <v>8</v>
      </c>
      <c r="I45" s="74" t="s">
        <v>31</v>
      </c>
      <c r="K45" s="3" t="s">
        <v>3</v>
      </c>
      <c r="L45" s="3" t="s">
        <v>4</v>
      </c>
      <c r="M45" s="3" t="s">
        <v>49</v>
      </c>
      <c r="N45" s="20" t="s">
        <v>6</v>
      </c>
      <c r="O45" s="20" t="s">
        <v>7</v>
      </c>
      <c r="P45" s="20" t="s">
        <v>8</v>
      </c>
      <c r="Q45" s="21" t="s">
        <v>31</v>
      </c>
    </row>
    <row r="46" spans="2:18" x14ac:dyDescent="0.3">
      <c r="B46" s="77"/>
      <c r="C46" s="213" t="s">
        <v>58</v>
      </c>
      <c r="D46" s="18">
        <v>0</v>
      </c>
      <c r="E46" s="43">
        <v>2.0499999999999998</v>
      </c>
      <c r="F46" s="43">
        <v>1000</v>
      </c>
      <c r="G46" s="43">
        <v>1300</v>
      </c>
      <c r="H46" s="43">
        <v>20000</v>
      </c>
      <c r="I46" s="43">
        <v>700</v>
      </c>
      <c r="K46" s="214" t="s">
        <v>58</v>
      </c>
      <c r="L46" s="18">
        <v>0</v>
      </c>
      <c r="M46" s="88">
        <v>4</v>
      </c>
      <c r="N46" s="101">
        <v>1050</v>
      </c>
      <c r="O46" s="43">
        <v>1550</v>
      </c>
      <c r="P46" s="43">
        <v>25500</v>
      </c>
      <c r="Q46" s="59">
        <v>630</v>
      </c>
    </row>
    <row r="47" spans="2:18" ht="14.25" customHeight="1" x14ac:dyDescent="0.3">
      <c r="B47" s="77"/>
      <c r="C47" s="213"/>
      <c r="D47" s="18">
        <v>1</v>
      </c>
      <c r="E47" s="43">
        <v>7.0000000000000007E-2</v>
      </c>
      <c r="F47" s="43">
        <v>16</v>
      </c>
      <c r="G47" s="43">
        <v>48</v>
      </c>
      <c r="H47" s="43">
        <v>1700</v>
      </c>
      <c r="I47" s="43">
        <v>52</v>
      </c>
      <c r="K47" s="214"/>
      <c r="L47" s="18">
        <v>1</v>
      </c>
      <c r="M47" s="88">
        <v>0.54</v>
      </c>
      <c r="N47" s="101" t="s">
        <v>22</v>
      </c>
      <c r="O47" s="43" t="s">
        <v>22</v>
      </c>
      <c r="P47" s="43">
        <v>28</v>
      </c>
      <c r="Q47" s="59" t="s">
        <v>22</v>
      </c>
    </row>
    <row r="48" spans="2:18" x14ac:dyDescent="0.3">
      <c r="B48" s="91" t="s">
        <v>17</v>
      </c>
      <c r="C48" s="213"/>
      <c r="D48" s="18">
        <v>3</v>
      </c>
      <c r="E48" s="43">
        <v>7.0000000000000007E-2</v>
      </c>
      <c r="F48" s="43">
        <v>12</v>
      </c>
      <c r="G48" s="43">
        <v>24</v>
      </c>
      <c r="H48" s="43">
        <v>260</v>
      </c>
      <c r="I48" s="43">
        <v>60</v>
      </c>
      <c r="K48" s="214"/>
      <c r="L48" s="18">
        <v>3</v>
      </c>
      <c r="M48" s="88">
        <v>0.25</v>
      </c>
      <c r="N48" s="101">
        <v>4</v>
      </c>
      <c r="O48" s="43">
        <v>4</v>
      </c>
      <c r="P48" s="43">
        <v>40</v>
      </c>
      <c r="Q48" s="59">
        <v>4</v>
      </c>
    </row>
    <row r="49" spans="2:17" x14ac:dyDescent="0.3">
      <c r="B49" s="77"/>
      <c r="C49" s="213"/>
      <c r="D49" s="18">
        <v>5</v>
      </c>
      <c r="E49" s="43">
        <v>0.06</v>
      </c>
      <c r="F49" s="43">
        <v>4</v>
      </c>
      <c r="G49" s="43">
        <v>32</v>
      </c>
      <c r="H49" s="43">
        <v>410</v>
      </c>
      <c r="I49" s="43">
        <v>32</v>
      </c>
      <c r="K49" s="214"/>
      <c r="L49" s="18">
        <v>5</v>
      </c>
      <c r="M49" s="88">
        <v>0.27</v>
      </c>
      <c r="N49" s="101" t="s">
        <v>22</v>
      </c>
      <c r="O49" s="43" t="s">
        <v>22</v>
      </c>
      <c r="P49" s="43">
        <v>76</v>
      </c>
      <c r="Q49" s="59">
        <v>4</v>
      </c>
    </row>
    <row r="50" spans="2:17" x14ac:dyDescent="0.3">
      <c r="B50" s="77"/>
      <c r="C50" s="213"/>
      <c r="D50" s="18">
        <v>10</v>
      </c>
      <c r="E50" s="43">
        <v>0.08</v>
      </c>
      <c r="F50" s="43">
        <v>7</v>
      </c>
      <c r="G50" s="43">
        <v>19</v>
      </c>
      <c r="H50" s="43">
        <v>190</v>
      </c>
      <c r="I50" s="43">
        <v>30</v>
      </c>
      <c r="K50" s="214"/>
      <c r="L50" s="18">
        <v>10</v>
      </c>
      <c r="M50" s="88">
        <v>0.11</v>
      </c>
      <c r="N50" s="101">
        <v>1</v>
      </c>
      <c r="O50" s="43">
        <v>5</v>
      </c>
      <c r="P50" s="43">
        <v>19</v>
      </c>
      <c r="Q50" s="59">
        <v>1</v>
      </c>
    </row>
    <row r="51" spans="2:17" ht="15" thickBot="1" x14ac:dyDescent="0.35">
      <c r="B51" s="77"/>
      <c r="C51" s="213"/>
      <c r="D51" s="18">
        <v>30</v>
      </c>
      <c r="E51" s="43">
        <v>0.04</v>
      </c>
      <c r="F51" s="43">
        <v>1</v>
      </c>
      <c r="G51" s="43">
        <v>4</v>
      </c>
      <c r="H51" s="43">
        <v>72</v>
      </c>
      <c r="I51" s="43">
        <v>15</v>
      </c>
      <c r="K51" s="214"/>
      <c r="L51" s="18">
        <v>30</v>
      </c>
      <c r="M51" s="90">
        <v>0.11</v>
      </c>
      <c r="N51" s="103" t="s">
        <v>24</v>
      </c>
      <c r="O51" s="45">
        <v>1</v>
      </c>
      <c r="P51" s="45">
        <v>10</v>
      </c>
      <c r="Q51" s="104" t="s">
        <v>24</v>
      </c>
    </row>
    <row r="52" spans="2:17" ht="15" customHeight="1" x14ac:dyDescent="0.3">
      <c r="B52" s="77"/>
      <c r="C52" s="213"/>
      <c r="D52" s="5"/>
      <c r="E52" s="5"/>
      <c r="F52" s="4"/>
      <c r="G52" s="4"/>
      <c r="H52" s="4"/>
      <c r="I52" s="4"/>
      <c r="K52" s="214"/>
      <c r="L52" s="5"/>
      <c r="M52" s="5"/>
      <c r="N52" s="4"/>
      <c r="O52" s="4"/>
      <c r="P52" s="4"/>
      <c r="Q52" s="22"/>
    </row>
    <row r="53" spans="2:17" x14ac:dyDescent="0.3">
      <c r="B53" s="77"/>
      <c r="C53" s="11"/>
      <c r="D53" s="10"/>
      <c r="E53" s="10"/>
      <c r="F53" s="61"/>
      <c r="G53" s="61"/>
      <c r="H53" s="61"/>
      <c r="I53" s="61"/>
      <c r="K53" s="11"/>
      <c r="L53" s="10"/>
      <c r="M53" s="10"/>
      <c r="N53" s="61"/>
      <c r="O53" s="61"/>
      <c r="P53" s="61"/>
      <c r="Q53" s="23"/>
    </row>
    <row r="54" spans="2:17" x14ac:dyDescent="0.3">
      <c r="B54" s="77"/>
      <c r="C54" s="11"/>
      <c r="D54" s="11"/>
      <c r="E54" s="11"/>
      <c r="F54" s="11"/>
      <c r="G54" s="11"/>
      <c r="H54" s="11"/>
      <c r="I54" s="11"/>
      <c r="K54" s="11"/>
      <c r="L54" s="11"/>
      <c r="M54" s="11"/>
      <c r="N54" s="11"/>
      <c r="O54" s="11"/>
      <c r="P54" s="11"/>
      <c r="Q54" s="84"/>
    </row>
    <row r="55" spans="2:17" ht="14.25" customHeight="1" x14ac:dyDescent="0.3">
      <c r="B55" s="77"/>
      <c r="E55" s="11"/>
      <c r="F55" s="11"/>
      <c r="M55" s="11"/>
      <c r="N55" s="11"/>
      <c r="Q55" s="9"/>
    </row>
    <row r="56" spans="2:17" x14ac:dyDescent="0.3">
      <c r="B56" s="77"/>
      <c r="C56" s="12"/>
      <c r="D56" s="11"/>
      <c r="E56" s="11"/>
      <c r="F56" s="11"/>
      <c r="G56" s="11"/>
      <c r="H56" s="11"/>
      <c r="I56" s="11"/>
      <c r="L56" s="10"/>
      <c r="M56" s="17"/>
      <c r="Q56" s="9"/>
    </row>
    <row r="57" spans="2:17" ht="15" customHeight="1" thickBot="1" x14ac:dyDescent="0.35">
      <c r="B57" s="78"/>
      <c r="C57" s="14"/>
      <c r="D57" s="15"/>
      <c r="E57" s="15"/>
      <c r="F57" s="15"/>
      <c r="G57" s="15"/>
      <c r="H57" s="15"/>
      <c r="I57" s="15"/>
      <c r="J57" s="13"/>
      <c r="K57" s="13"/>
      <c r="L57" s="15"/>
      <c r="M57" s="15"/>
      <c r="N57" s="13"/>
      <c r="O57" s="13"/>
      <c r="P57" s="13"/>
      <c r="Q57" s="16"/>
    </row>
    <row r="59" spans="2:17" ht="14.25" customHeight="1" x14ac:dyDescent="0.3"/>
    <row r="61" spans="2:17" ht="14.25" customHeight="1" x14ac:dyDescent="0.3"/>
    <row r="107" spans="2:2" ht="15" thickBot="1" x14ac:dyDescent="0.35">
      <c r="B107" s="13"/>
    </row>
    <row r="108" spans="2:2" ht="14.25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25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:C10"/>
    <mergeCell ref="K4:K10"/>
    <mergeCell ref="C46:C52"/>
    <mergeCell ref="K46:K52"/>
    <mergeCell ref="C32:C38"/>
    <mergeCell ref="K32:K38"/>
    <mergeCell ref="C18:C24"/>
    <mergeCell ref="K18:K24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9BA3-04C7-400F-ABDE-D12AE7425A96}">
  <dimension ref="A1:W213"/>
  <sheetViews>
    <sheetView topLeftCell="A21" zoomScale="80" zoomScaleNormal="80" workbookViewId="0">
      <selection activeCell="AC45" sqref="AC45"/>
    </sheetView>
  </sheetViews>
  <sheetFormatPr defaultColWidth="9.109375" defaultRowHeight="14.4" x14ac:dyDescent="0.3"/>
  <cols>
    <col min="1" max="1" width="39" style="2" bestFit="1" customWidth="1"/>
    <col min="2" max="2" width="25.44140625" style="2" bestFit="1" customWidth="1"/>
    <col min="3" max="3" width="10.6640625" style="2" bestFit="1" customWidth="1"/>
    <col min="4" max="4" width="7.33203125" style="2" customWidth="1"/>
    <col min="5" max="5" width="8.88671875" style="2" customWidth="1"/>
    <col min="6" max="6" width="9.5546875" style="2" customWidth="1"/>
    <col min="7" max="7" width="9" style="2" customWidth="1"/>
    <col min="8" max="8" width="10.88671875" style="2" customWidth="1"/>
    <col min="9" max="9" width="7.44140625" style="2" customWidth="1"/>
    <col min="10" max="10" width="8.33203125" style="2" customWidth="1"/>
    <col min="11" max="11" width="9.109375" style="2"/>
    <col min="12" max="12" width="7.109375" style="2" customWidth="1"/>
    <col min="13" max="13" width="8.44140625" style="2" customWidth="1"/>
    <col min="14" max="14" width="9.109375" style="2" customWidth="1"/>
    <col min="15" max="15" width="10.109375" style="2" customWidth="1"/>
    <col min="16" max="16" width="8" style="2" customWidth="1"/>
    <col min="17" max="17" width="7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56</v>
      </c>
    </row>
    <row r="2" spans="1:23" ht="25.8" x14ac:dyDescent="0.5">
      <c r="A2" s="51" t="s">
        <v>57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5.8" x14ac:dyDescent="0.5">
      <c r="A3" s="52">
        <v>45334</v>
      </c>
      <c r="B3" s="77"/>
      <c r="C3" s="3" t="s">
        <v>3</v>
      </c>
      <c r="D3" s="3" t="s">
        <v>4</v>
      </c>
      <c r="E3" s="3" t="s">
        <v>44</v>
      </c>
      <c r="F3" s="74" t="s">
        <v>6</v>
      </c>
      <c r="G3" s="74" t="s">
        <v>7</v>
      </c>
      <c r="H3" s="74" t="s">
        <v>8</v>
      </c>
      <c r="I3" s="79" t="s">
        <v>9</v>
      </c>
      <c r="K3" s="3" t="s">
        <v>3</v>
      </c>
      <c r="L3" s="3" t="s">
        <v>4</v>
      </c>
      <c r="M3" s="3" t="s">
        <v>44</v>
      </c>
      <c r="N3" s="74" t="s">
        <v>6</v>
      </c>
      <c r="O3" s="74" t="s">
        <v>7</v>
      </c>
      <c r="P3" s="74" t="s">
        <v>8</v>
      </c>
      <c r="Q3" s="74" t="s">
        <v>31</v>
      </c>
      <c r="S3" s="1"/>
      <c r="U3" s="1"/>
      <c r="W3" s="1"/>
    </row>
    <row r="4" spans="1:23" ht="15" customHeight="1" x14ac:dyDescent="0.3">
      <c r="B4" s="77"/>
      <c r="C4" s="213" t="s">
        <v>58</v>
      </c>
      <c r="D4" s="18">
        <v>0</v>
      </c>
      <c r="E4" s="43">
        <v>1.04</v>
      </c>
      <c r="F4" s="43">
        <v>700</v>
      </c>
      <c r="G4" s="43">
        <v>1800</v>
      </c>
      <c r="H4" s="43">
        <v>23000</v>
      </c>
      <c r="I4" s="43">
        <v>540</v>
      </c>
      <c r="K4" s="213" t="s">
        <v>58</v>
      </c>
      <c r="L4" s="18">
        <v>0</v>
      </c>
      <c r="M4" s="75">
        <v>2</v>
      </c>
      <c r="N4" s="43">
        <v>1000</v>
      </c>
      <c r="O4" s="43">
        <v>1300</v>
      </c>
      <c r="P4" s="43">
        <v>25000</v>
      </c>
      <c r="Q4" s="43">
        <v>640</v>
      </c>
      <c r="S4" s="1"/>
      <c r="U4" s="1"/>
    </row>
    <row r="5" spans="1:23" x14ac:dyDescent="0.3">
      <c r="B5" s="77"/>
      <c r="C5" s="213"/>
      <c r="D5" s="18">
        <v>1</v>
      </c>
      <c r="E5" s="43">
        <v>0.65</v>
      </c>
      <c r="F5" s="43">
        <v>330</v>
      </c>
      <c r="G5" s="43">
        <v>570</v>
      </c>
      <c r="H5" s="43">
        <v>23000</v>
      </c>
      <c r="I5" s="43">
        <v>440</v>
      </c>
      <c r="K5" s="213"/>
      <c r="L5" s="18">
        <v>1</v>
      </c>
      <c r="M5" s="75">
        <v>1.64</v>
      </c>
      <c r="N5" s="43">
        <v>110</v>
      </c>
      <c r="O5" s="43">
        <v>180</v>
      </c>
      <c r="P5" s="43">
        <v>3000</v>
      </c>
      <c r="Q5" s="43">
        <v>320</v>
      </c>
    </row>
    <row r="6" spans="1:23" ht="25.8" x14ac:dyDescent="0.5">
      <c r="A6" s="51" t="s">
        <v>59</v>
      </c>
      <c r="B6" s="91" t="s">
        <v>12</v>
      </c>
      <c r="C6" s="213"/>
      <c r="D6" s="18">
        <v>3</v>
      </c>
      <c r="E6" s="43">
        <v>0.62</v>
      </c>
      <c r="F6" s="43">
        <v>16</v>
      </c>
      <c r="G6" s="43">
        <v>64</v>
      </c>
      <c r="H6" s="43">
        <v>3500</v>
      </c>
      <c r="I6" s="43">
        <v>340</v>
      </c>
      <c r="K6" s="213"/>
      <c r="L6" s="18">
        <v>3</v>
      </c>
      <c r="M6" s="75">
        <v>1.54</v>
      </c>
      <c r="N6" s="43" t="s">
        <v>22</v>
      </c>
      <c r="O6" s="43">
        <v>8</v>
      </c>
      <c r="P6" s="43">
        <v>16</v>
      </c>
      <c r="Q6" s="43">
        <v>76</v>
      </c>
    </row>
    <row r="7" spans="1:23" x14ac:dyDescent="0.3">
      <c r="B7" s="77"/>
      <c r="C7" s="213"/>
      <c r="D7" s="18">
        <v>5</v>
      </c>
      <c r="E7" s="43">
        <v>0.57999999999999996</v>
      </c>
      <c r="F7" s="43">
        <v>8</v>
      </c>
      <c r="G7" s="43">
        <v>8</v>
      </c>
      <c r="H7" s="43">
        <v>205</v>
      </c>
      <c r="I7" s="43">
        <v>215</v>
      </c>
      <c r="K7" s="213"/>
      <c r="L7" s="18">
        <v>5</v>
      </c>
      <c r="M7" s="75">
        <v>1.44</v>
      </c>
      <c r="N7" s="43" t="s">
        <v>22</v>
      </c>
      <c r="O7" s="43" t="s">
        <v>22</v>
      </c>
      <c r="P7" s="43">
        <v>28</v>
      </c>
      <c r="Q7" s="43">
        <v>20</v>
      </c>
    </row>
    <row r="8" spans="1:23" x14ac:dyDescent="0.3">
      <c r="B8" s="77"/>
      <c r="C8" s="213"/>
      <c r="D8" s="18">
        <v>10</v>
      </c>
      <c r="E8" s="43">
        <v>0.51</v>
      </c>
      <c r="F8" s="43">
        <v>1</v>
      </c>
      <c r="G8" s="43">
        <v>3</v>
      </c>
      <c r="H8" s="43">
        <v>13</v>
      </c>
      <c r="I8" s="43">
        <v>34</v>
      </c>
      <c r="K8" s="213"/>
      <c r="L8" s="18">
        <v>10</v>
      </c>
      <c r="M8" s="75">
        <v>1.32</v>
      </c>
      <c r="N8" s="43">
        <v>1</v>
      </c>
      <c r="O8" s="43">
        <v>1</v>
      </c>
      <c r="P8" s="43">
        <v>15</v>
      </c>
      <c r="Q8" s="43" t="s">
        <v>24</v>
      </c>
    </row>
    <row r="9" spans="1:23" x14ac:dyDescent="0.3">
      <c r="B9" s="77"/>
      <c r="C9" s="213"/>
      <c r="D9" s="18">
        <v>30</v>
      </c>
      <c r="E9" s="43">
        <v>0.26</v>
      </c>
      <c r="F9" s="43">
        <v>1</v>
      </c>
      <c r="G9" s="43">
        <v>4</v>
      </c>
      <c r="H9" s="43">
        <v>19</v>
      </c>
      <c r="I9" s="43">
        <v>1</v>
      </c>
      <c r="K9" s="213"/>
      <c r="L9" s="18">
        <v>30</v>
      </c>
      <c r="M9" s="75">
        <v>0.9</v>
      </c>
      <c r="N9" s="43">
        <v>1</v>
      </c>
      <c r="O9" s="43">
        <v>2</v>
      </c>
      <c r="P9" s="43">
        <v>11</v>
      </c>
      <c r="Q9" s="43" t="s">
        <v>24</v>
      </c>
    </row>
    <row r="10" spans="1:23" x14ac:dyDescent="0.3">
      <c r="B10" s="77"/>
      <c r="C10" s="213"/>
      <c r="D10" s="5"/>
      <c r="E10" s="5"/>
      <c r="F10" s="4"/>
      <c r="G10" s="4"/>
      <c r="H10" s="4"/>
      <c r="I10" s="4"/>
      <c r="K10" s="213"/>
      <c r="L10" s="5"/>
      <c r="M10" s="5"/>
      <c r="N10" s="4"/>
      <c r="O10" s="4"/>
      <c r="P10" s="4"/>
      <c r="Q10" s="4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x14ac:dyDescent="0.3">
      <c r="B13" s="58"/>
      <c r="C13" s="6"/>
      <c r="D13" s="6"/>
      <c r="E13" s="100"/>
      <c r="F13" s="100"/>
      <c r="G13" s="6"/>
      <c r="H13" s="6"/>
      <c r="I13" s="6"/>
      <c r="J13" s="6"/>
      <c r="K13" s="6"/>
      <c r="L13" s="6"/>
      <c r="M13" s="100"/>
      <c r="N13" s="100"/>
      <c r="O13" s="6"/>
      <c r="P13" s="6"/>
      <c r="Q13" s="8"/>
    </row>
    <row r="14" spans="1:23" x14ac:dyDescent="0.3">
      <c r="B14" s="77"/>
      <c r="C14" s="12"/>
      <c r="D14" s="11"/>
      <c r="E14" s="11"/>
      <c r="F14" s="11"/>
      <c r="G14" s="11"/>
      <c r="H14" s="11"/>
      <c r="I14" s="11"/>
      <c r="L14" s="10"/>
      <c r="M14" s="17"/>
      <c r="Q14" s="9"/>
    </row>
    <row r="15" spans="1:23" ht="15" thickBot="1" x14ac:dyDescent="0.35">
      <c r="B15" s="77"/>
      <c r="C15" s="14"/>
      <c r="D15" s="15"/>
      <c r="E15" s="15"/>
      <c r="F15" s="15"/>
      <c r="G15" s="15"/>
      <c r="H15" s="15"/>
      <c r="I15" s="15"/>
      <c r="J15" s="13"/>
      <c r="K15" s="13"/>
      <c r="L15" s="15"/>
      <c r="M15" s="15"/>
      <c r="N15" s="13"/>
      <c r="O15" s="13"/>
      <c r="P15" s="13"/>
      <c r="Q15" s="16"/>
    </row>
    <row r="16" spans="1:23" ht="15" thickBot="1" x14ac:dyDescent="0.35">
      <c r="B16" s="77"/>
      <c r="C16" s="7" t="s">
        <v>42</v>
      </c>
      <c r="D16" s="6"/>
      <c r="E16" s="6" t="s">
        <v>47</v>
      </c>
      <c r="F16" s="6"/>
      <c r="G16" s="6"/>
      <c r="H16" s="6"/>
      <c r="I16" s="6"/>
      <c r="J16" s="6"/>
      <c r="K16" s="7" t="s">
        <v>42</v>
      </c>
      <c r="L16" s="6"/>
      <c r="M16" s="6" t="s">
        <v>47</v>
      </c>
      <c r="N16" s="6"/>
      <c r="O16" s="6"/>
      <c r="P16" s="6"/>
      <c r="Q16" s="8"/>
    </row>
    <row r="17" spans="2:18" ht="15" customHeight="1" x14ac:dyDescent="0.3">
      <c r="B17" s="77"/>
      <c r="C17" s="3" t="s">
        <v>3</v>
      </c>
      <c r="D17" s="3" t="s">
        <v>4</v>
      </c>
      <c r="E17" s="3" t="s">
        <v>55</v>
      </c>
      <c r="F17" s="74" t="s">
        <v>6</v>
      </c>
      <c r="G17" s="74" t="s">
        <v>7</v>
      </c>
      <c r="H17" s="74" t="s">
        <v>8</v>
      </c>
      <c r="I17" s="74" t="s">
        <v>31</v>
      </c>
      <c r="K17" s="3" t="s">
        <v>3</v>
      </c>
      <c r="L17" s="3" t="s">
        <v>4</v>
      </c>
      <c r="M17" s="3" t="s">
        <v>55</v>
      </c>
      <c r="N17" s="20" t="s">
        <v>6</v>
      </c>
      <c r="O17" s="20" t="s">
        <v>7</v>
      </c>
      <c r="P17" s="20" t="s">
        <v>8</v>
      </c>
      <c r="Q17" s="21" t="s">
        <v>31</v>
      </c>
    </row>
    <row r="18" spans="2:18" x14ac:dyDescent="0.3">
      <c r="B18" s="77"/>
      <c r="C18" s="213" t="s">
        <v>58</v>
      </c>
      <c r="D18" s="18">
        <v>0</v>
      </c>
      <c r="E18" s="43">
        <v>2.02</v>
      </c>
      <c r="F18" s="43">
        <v>1050</v>
      </c>
      <c r="G18" s="43">
        <v>1650</v>
      </c>
      <c r="H18" s="43">
        <v>37000</v>
      </c>
      <c r="I18" s="43">
        <v>700</v>
      </c>
      <c r="K18" s="214" t="s">
        <v>58</v>
      </c>
      <c r="L18" s="18">
        <v>0</v>
      </c>
      <c r="M18" s="64">
        <v>3.95</v>
      </c>
      <c r="N18" s="101">
        <v>840</v>
      </c>
      <c r="O18" s="43">
        <v>1300</v>
      </c>
      <c r="P18" s="43">
        <v>22000</v>
      </c>
      <c r="Q18" s="59">
        <v>460</v>
      </c>
    </row>
    <row r="19" spans="2:18" ht="14.25" customHeight="1" x14ac:dyDescent="0.3">
      <c r="B19" s="91" t="s">
        <v>13</v>
      </c>
      <c r="C19" s="213"/>
      <c r="D19" s="18">
        <v>1</v>
      </c>
      <c r="E19" s="43">
        <v>1.62</v>
      </c>
      <c r="F19" s="43">
        <v>660</v>
      </c>
      <c r="G19" s="43">
        <v>1300</v>
      </c>
      <c r="H19" s="43">
        <v>42000</v>
      </c>
      <c r="I19" s="43">
        <v>720</v>
      </c>
      <c r="K19" s="214"/>
      <c r="L19" s="18">
        <v>1</v>
      </c>
      <c r="M19" s="64">
        <v>3.42</v>
      </c>
      <c r="N19" s="101">
        <v>540</v>
      </c>
      <c r="O19" s="43">
        <v>1000</v>
      </c>
      <c r="P19" s="43">
        <v>33000</v>
      </c>
      <c r="Q19" s="59">
        <v>700</v>
      </c>
    </row>
    <row r="20" spans="2:18" x14ac:dyDescent="0.3">
      <c r="B20" s="77"/>
      <c r="C20" s="213"/>
      <c r="D20" s="18">
        <v>3</v>
      </c>
      <c r="E20" s="43">
        <v>1.61</v>
      </c>
      <c r="F20" s="43">
        <v>940</v>
      </c>
      <c r="G20" s="43">
        <v>1200</v>
      </c>
      <c r="H20" s="43">
        <v>37000</v>
      </c>
      <c r="I20" s="43">
        <v>680</v>
      </c>
      <c r="K20" s="214"/>
      <c r="L20" s="18">
        <v>3</v>
      </c>
      <c r="M20" s="64">
        <v>3.35</v>
      </c>
      <c r="N20" s="101">
        <v>320</v>
      </c>
      <c r="O20" s="43">
        <v>670</v>
      </c>
      <c r="P20" s="43">
        <v>29000</v>
      </c>
      <c r="Q20" s="59">
        <v>580</v>
      </c>
    </row>
    <row r="21" spans="2:18" x14ac:dyDescent="0.3">
      <c r="B21" s="77"/>
      <c r="C21" s="213"/>
      <c r="D21" s="18">
        <v>5</v>
      </c>
      <c r="E21" s="43">
        <v>1.57</v>
      </c>
      <c r="F21" s="43">
        <v>840</v>
      </c>
      <c r="G21" s="43">
        <v>840</v>
      </c>
      <c r="H21" s="43">
        <v>20000</v>
      </c>
      <c r="I21" s="43">
        <v>420</v>
      </c>
      <c r="K21" s="214"/>
      <c r="L21" s="18">
        <v>5</v>
      </c>
      <c r="M21" s="64">
        <v>3.36</v>
      </c>
      <c r="N21" s="101">
        <v>36</v>
      </c>
      <c r="O21" s="43">
        <v>145</v>
      </c>
      <c r="P21" s="43">
        <v>21000</v>
      </c>
      <c r="Q21" s="59">
        <v>365</v>
      </c>
    </row>
    <row r="22" spans="2:18" x14ac:dyDescent="0.3">
      <c r="B22" s="77"/>
      <c r="C22" s="213"/>
      <c r="D22" s="18">
        <v>10</v>
      </c>
      <c r="E22" s="43">
        <v>1.53</v>
      </c>
      <c r="F22" s="43">
        <v>140</v>
      </c>
      <c r="G22" s="43">
        <v>480</v>
      </c>
      <c r="H22" s="43">
        <v>19000</v>
      </c>
      <c r="I22" s="43">
        <v>510</v>
      </c>
      <c r="K22" s="214"/>
      <c r="L22" s="18">
        <v>10</v>
      </c>
      <c r="M22" s="64">
        <v>3.29</v>
      </c>
      <c r="N22" s="101">
        <v>4</v>
      </c>
      <c r="O22" s="43">
        <v>41</v>
      </c>
      <c r="P22" s="43">
        <v>1100</v>
      </c>
      <c r="Q22" s="59">
        <v>200</v>
      </c>
    </row>
    <row r="23" spans="2:18" x14ac:dyDescent="0.3">
      <c r="B23" s="77"/>
      <c r="C23" s="213"/>
      <c r="D23" s="18">
        <v>30</v>
      </c>
      <c r="E23" s="43">
        <v>1.37</v>
      </c>
      <c r="F23" s="43">
        <v>2</v>
      </c>
      <c r="G23" s="43">
        <v>29</v>
      </c>
      <c r="H23" s="43">
        <v>740</v>
      </c>
      <c r="I23" s="43">
        <v>140</v>
      </c>
      <c r="K23" s="214"/>
      <c r="L23" s="18">
        <v>30</v>
      </c>
      <c r="M23" s="64">
        <v>2.89</v>
      </c>
      <c r="N23" s="101">
        <v>5</v>
      </c>
      <c r="O23" s="43">
        <v>12</v>
      </c>
      <c r="P23" s="43">
        <v>92</v>
      </c>
      <c r="Q23" s="59">
        <v>15</v>
      </c>
    </row>
    <row r="24" spans="2:18" x14ac:dyDescent="0.3">
      <c r="B24" s="77"/>
      <c r="C24" s="213"/>
      <c r="D24" s="5"/>
      <c r="E24" s="5"/>
      <c r="F24" s="4"/>
      <c r="G24" s="4"/>
      <c r="H24" s="4"/>
      <c r="I24" s="4"/>
      <c r="K24" s="214"/>
      <c r="L24" s="5"/>
      <c r="M24" s="5"/>
      <c r="N24" s="4"/>
      <c r="O24" s="4"/>
      <c r="P24" s="4"/>
      <c r="Q24" s="22"/>
    </row>
    <row r="25" spans="2:18" x14ac:dyDescent="0.3">
      <c r="B25" s="77"/>
      <c r="C25" s="11"/>
      <c r="D25" s="10"/>
      <c r="E25" s="10"/>
      <c r="F25" s="61"/>
      <c r="G25" s="61"/>
      <c r="H25" s="61"/>
      <c r="I25" s="61"/>
      <c r="K25" s="11"/>
      <c r="L25" s="10"/>
      <c r="M25" s="10"/>
      <c r="N25" s="61"/>
      <c r="O25" s="61"/>
      <c r="P25" s="61"/>
      <c r="Q25" s="23"/>
    </row>
    <row r="26" spans="2:18" ht="15" thickBot="1" x14ac:dyDescent="0.35">
      <c r="B26" s="78"/>
      <c r="C26" s="15"/>
      <c r="D26" s="15"/>
      <c r="E26" s="15"/>
      <c r="F26" s="15"/>
      <c r="G26" s="15"/>
      <c r="H26" s="15"/>
      <c r="I26" s="15"/>
      <c r="J26" s="13"/>
      <c r="K26" s="15"/>
      <c r="L26" s="15"/>
      <c r="M26" s="15"/>
      <c r="N26" s="15"/>
      <c r="O26" s="15"/>
      <c r="P26" s="15"/>
      <c r="Q26" s="94"/>
    </row>
    <row r="27" spans="2:18" x14ac:dyDescent="0.3">
      <c r="B27" s="58"/>
      <c r="C27" s="6"/>
      <c r="D27" s="6"/>
      <c r="E27" s="100"/>
      <c r="F27" s="100"/>
      <c r="G27" s="6"/>
      <c r="H27" s="6"/>
      <c r="I27" s="6"/>
      <c r="J27" s="6"/>
      <c r="K27" s="6"/>
      <c r="L27" s="6"/>
      <c r="M27" s="100"/>
      <c r="N27" s="100"/>
      <c r="O27" s="6"/>
      <c r="P27" s="6"/>
      <c r="Q27" s="8"/>
    </row>
    <row r="28" spans="2:18" x14ac:dyDescent="0.3">
      <c r="B28" s="77"/>
      <c r="C28" s="12"/>
      <c r="D28" s="11"/>
      <c r="E28" s="11"/>
      <c r="F28" s="11"/>
      <c r="G28" s="11"/>
      <c r="H28" s="11"/>
      <c r="I28" s="11"/>
      <c r="L28" s="10"/>
      <c r="M28" s="17"/>
      <c r="Q28" s="9"/>
    </row>
    <row r="29" spans="2:18" ht="15" thickBot="1" x14ac:dyDescent="0.35">
      <c r="B29" s="77"/>
      <c r="C29" s="14"/>
      <c r="D29" s="15"/>
      <c r="E29" s="15"/>
      <c r="F29" s="15"/>
      <c r="G29" s="15"/>
      <c r="H29" s="15"/>
      <c r="I29" s="15"/>
      <c r="J29" s="13"/>
      <c r="K29" s="13"/>
      <c r="L29" s="15"/>
      <c r="M29" s="15"/>
      <c r="N29" s="13"/>
      <c r="O29" s="13"/>
      <c r="P29" s="13"/>
      <c r="Q29" s="16"/>
    </row>
    <row r="30" spans="2:18" ht="15" thickBot="1" x14ac:dyDescent="0.35">
      <c r="B30" s="77"/>
      <c r="C30" s="7" t="s">
        <v>42</v>
      </c>
      <c r="D30" s="6"/>
      <c r="E30" s="6" t="s">
        <v>48</v>
      </c>
      <c r="F30" s="6"/>
      <c r="G30" s="6"/>
      <c r="H30" s="6"/>
      <c r="I30" s="6"/>
      <c r="J30" s="6"/>
      <c r="K30" s="7" t="s">
        <v>42</v>
      </c>
      <c r="L30" s="6"/>
      <c r="M30" s="6" t="s">
        <v>48</v>
      </c>
      <c r="N30" s="6"/>
      <c r="O30" s="6"/>
      <c r="P30" s="6"/>
      <c r="Q30" s="8"/>
    </row>
    <row r="31" spans="2:18" ht="14.25" customHeight="1" x14ac:dyDescent="0.3">
      <c r="B31" s="77"/>
      <c r="C31" s="3" t="s">
        <v>3</v>
      </c>
      <c r="D31" s="3" t="s">
        <v>4</v>
      </c>
      <c r="E31" s="3" t="s">
        <v>49</v>
      </c>
      <c r="F31" s="74" t="s">
        <v>6</v>
      </c>
      <c r="G31" s="74" t="s">
        <v>7</v>
      </c>
      <c r="H31" s="74" t="s">
        <v>8</v>
      </c>
      <c r="I31" s="74" t="s">
        <v>31</v>
      </c>
      <c r="J31" s="74" t="s">
        <v>14</v>
      </c>
      <c r="K31" s="3" t="s">
        <v>3</v>
      </c>
      <c r="L31" s="3" t="s">
        <v>4</v>
      </c>
      <c r="M31" s="3" t="s">
        <v>49</v>
      </c>
      <c r="N31" s="20" t="s">
        <v>6</v>
      </c>
      <c r="O31" s="20" t="s">
        <v>7</v>
      </c>
      <c r="P31" s="20" t="s">
        <v>8</v>
      </c>
      <c r="Q31" s="21" t="s">
        <v>31</v>
      </c>
      <c r="R31" s="74" t="s">
        <v>14</v>
      </c>
    </row>
    <row r="32" spans="2:18" x14ac:dyDescent="0.3">
      <c r="B32" s="77"/>
      <c r="C32" s="213" t="s">
        <v>58</v>
      </c>
      <c r="D32" s="18">
        <v>0</v>
      </c>
      <c r="E32" s="43">
        <v>2.0499999999999998</v>
      </c>
      <c r="F32" s="43">
        <v>1000</v>
      </c>
      <c r="G32" s="43">
        <v>1300</v>
      </c>
      <c r="H32" s="43">
        <v>20000</v>
      </c>
      <c r="I32" s="43">
        <v>700</v>
      </c>
      <c r="J32" s="112"/>
      <c r="K32" s="214" t="s">
        <v>58</v>
      </c>
      <c r="L32" s="18">
        <v>0</v>
      </c>
      <c r="M32" s="81">
        <v>4</v>
      </c>
      <c r="N32" s="101">
        <v>1050</v>
      </c>
      <c r="O32" s="43">
        <v>1550</v>
      </c>
      <c r="P32" s="43">
        <v>25500</v>
      </c>
      <c r="Q32" s="59">
        <v>630</v>
      </c>
      <c r="R32" s="112"/>
    </row>
    <row r="33" spans="2:18" ht="14.25" customHeight="1" x14ac:dyDescent="0.3">
      <c r="B33" s="77"/>
      <c r="C33" s="213"/>
      <c r="D33" s="18">
        <v>1</v>
      </c>
      <c r="E33" s="43">
        <v>0.69</v>
      </c>
      <c r="F33" s="43">
        <v>16</v>
      </c>
      <c r="G33" s="43">
        <v>48</v>
      </c>
      <c r="H33" s="43">
        <v>1700</v>
      </c>
      <c r="I33" s="43">
        <v>52</v>
      </c>
      <c r="J33" s="112"/>
      <c r="K33" s="214"/>
      <c r="L33" s="18">
        <v>1</v>
      </c>
      <c r="M33" s="81">
        <v>1.68</v>
      </c>
      <c r="N33" s="101" t="s">
        <v>22</v>
      </c>
      <c r="O33" s="43" t="s">
        <v>22</v>
      </c>
      <c r="P33" s="43">
        <v>28</v>
      </c>
      <c r="Q33" s="59" t="s">
        <v>22</v>
      </c>
      <c r="R33" s="112"/>
    </row>
    <row r="34" spans="2:18" x14ac:dyDescent="0.3">
      <c r="B34" s="91" t="s">
        <v>15</v>
      </c>
      <c r="C34" s="213"/>
      <c r="D34" s="18">
        <v>3</v>
      </c>
      <c r="E34" s="43">
        <v>0.64</v>
      </c>
      <c r="F34" s="43">
        <v>12</v>
      </c>
      <c r="G34" s="43">
        <v>24</v>
      </c>
      <c r="H34" s="43">
        <v>260</v>
      </c>
      <c r="I34" s="43">
        <v>60</v>
      </c>
      <c r="J34" s="112"/>
      <c r="K34" s="214"/>
      <c r="L34" s="18">
        <v>3</v>
      </c>
      <c r="M34" s="81">
        <v>1.4</v>
      </c>
      <c r="N34" s="101">
        <v>4</v>
      </c>
      <c r="O34" s="43">
        <v>4</v>
      </c>
      <c r="P34" s="43">
        <v>40</v>
      </c>
      <c r="Q34" s="59">
        <v>4</v>
      </c>
      <c r="R34" s="112"/>
    </row>
    <row r="35" spans="2:18" x14ac:dyDescent="0.3">
      <c r="B35" s="77"/>
      <c r="C35" s="213"/>
      <c r="D35" s="18">
        <v>5</v>
      </c>
      <c r="E35" s="43">
        <v>0.66</v>
      </c>
      <c r="F35" s="43">
        <v>4</v>
      </c>
      <c r="G35" s="43">
        <v>32</v>
      </c>
      <c r="H35" s="43">
        <v>410</v>
      </c>
      <c r="I35" s="43">
        <v>32</v>
      </c>
      <c r="J35" s="112"/>
      <c r="K35" s="214"/>
      <c r="L35" s="18">
        <v>5</v>
      </c>
      <c r="M35" s="81">
        <v>1.32</v>
      </c>
      <c r="N35" s="101" t="s">
        <v>22</v>
      </c>
      <c r="O35" s="43" t="s">
        <v>22</v>
      </c>
      <c r="P35" s="43">
        <v>76</v>
      </c>
      <c r="Q35" s="59">
        <v>4</v>
      </c>
      <c r="R35" s="112"/>
    </row>
    <row r="36" spans="2:18" ht="15" customHeight="1" x14ac:dyDescent="0.3">
      <c r="B36" s="77"/>
      <c r="C36" s="213"/>
      <c r="D36" s="18">
        <v>10</v>
      </c>
      <c r="E36" s="43">
        <v>0.59</v>
      </c>
      <c r="F36" s="43">
        <v>7</v>
      </c>
      <c r="G36" s="43">
        <v>19</v>
      </c>
      <c r="H36" s="43">
        <v>190</v>
      </c>
      <c r="I36" s="43">
        <v>30</v>
      </c>
      <c r="J36" s="115">
        <v>9.8000000000000004E-2</v>
      </c>
      <c r="K36" s="214"/>
      <c r="L36" s="18">
        <v>10</v>
      </c>
      <c r="M36" s="81">
        <v>1.3</v>
      </c>
      <c r="N36" s="101">
        <v>1</v>
      </c>
      <c r="O36" s="43">
        <v>5</v>
      </c>
      <c r="P36" s="43">
        <v>19</v>
      </c>
      <c r="Q36" s="120">
        <v>1</v>
      </c>
      <c r="R36" s="119">
        <v>0.121</v>
      </c>
    </row>
    <row r="37" spans="2:18" ht="15" thickBot="1" x14ac:dyDescent="0.35">
      <c r="B37" s="77"/>
      <c r="C37" s="213"/>
      <c r="D37" s="18">
        <v>30</v>
      </c>
      <c r="E37" s="43">
        <v>0.57999999999999996</v>
      </c>
      <c r="F37" s="43">
        <v>1</v>
      </c>
      <c r="G37" s="43">
        <v>4</v>
      </c>
      <c r="H37" s="43">
        <v>72</v>
      </c>
      <c r="I37" s="43">
        <v>15</v>
      </c>
      <c r="J37" s="115">
        <v>0.53700000000000003</v>
      </c>
      <c r="K37" s="214"/>
      <c r="L37" s="18">
        <v>30</v>
      </c>
      <c r="M37" s="102">
        <v>1.22</v>
      </c>
      <c r="N37" s="103" t="s">
        <v>24</v>
      </c>
      <c r="O37" s="45" t="s">
        <v>24</v>
      </c>
      <c r="P37" s="45">
        <v>10</v>
      </c>
      <c r="Q37" s="121" t="s">
        <v>24</v>
      </c>
      <c r="R37" s="119">
        <v>0.127</v>
      </c>
    </row>
    <row r="38" spans="2:18" x14ac:dyDescent="0.3">
      <c r="B38" s="77"/>
      <c r="C38" s="213"/>
      <c r="D38" s="5"/>
      <c r="E38" s="5"/>
      <c r="F38" s="4"/>
      <c r="G38" s="4"/>
      <c r="H38" s="4"/>
      <c r="I38" s="4"/>
      <c r="J38" s="117"/>
      <c r="K38" s="214"/>
      <c r="L38" s="5"/>
      <c r="M38" s="5"/>
      <c r="N38" s="4"/>
      <c r="O38" s="4"/>
      <c r="P38" s="4"/>
      <c r="Q38" s="22"/>
      <c r="R38" s="117"/>
    </row>
    <row r="39" spans="2:18" ht="15" customHeight="1" x14ac:dyDescent="0.3">
      <c r="B39" s="77"/>
      <c r="C39" s="11"/>
      <c r="D39" s="10"/>
      <c r="E39" s="10"/>
      <c r="F39" s="61"/>
      <c r="G39" s="61"/>
      <c r="H39" s="61"/>
      <c r="I39" s="61"/>
      <c r="K39" s="11"/>
      <c r="L39" s="10"/>
      <c r="M39" s="10"/>
      <c r="N39" s="61"/>
      <c r="O39" s="61"/>
      <c r="P39" s="61"/>
      <c r="Q39" s="23"/>
    </row>
    <row r="40" spans="2:18" ht="15" thickBot="1" x14ac:dyDescent="0.35">
      <c r="B40" s="78"/>
      <c r="C40" s="15"/>
      <c r="D40" s="15"/>
      <c r="E40" s="15"/>
      <c r="F40" s="15"/>
      <c r="G40" s="15"/>
      <c r="H40" s="15"/>
      <c r="I40" s="15"/>
      <c r="J40" s="13"/>
      <c r="K40" s="15"/>
      <c r="L40" s="15"/>
      <c r="M40" s="15"/>
      <c r="N40" s="15"/>
      <c r="O40" s="15"/>
      <c r="P40" s="15"/>
      <c r="Q40" s="94"/>
    </row>
    <row r="41" spans="2:18" x14ac:dyDescent="0.3">
      <c r="B41" s="58"/>
      <c r="C41" s="6"/>
      <c r="D41" s="6"/>
      <c r="E41" s="100"/>
      <c r="F41" s="100"/>
      <c r="G41" s="6"/>
      <c r="H41" s="6"/>
      <c r="I41" s="6"/>
      <c r="J41" s="6"/>
      <c r="K41" s="6"/>
      <c r="L41" s="6"/>
      <c r="M41" s="100"/>
      <c r="N41" s="100"/>
      <c r="O41" s="6"/>
      <c r="P41" s="6"/>
      <c r="Q41" s="8"/>
    </row>
    <row r="42" spans="2:18" x14ac:dyDescent="0.3">
      <c r="B42" s="77"/>
      <c r="C42" s="12"/>
      <c r="D42" s="11"/>
      <c r="E42" s="11"/>
      <c r="F42" s="11"/>
      <c r="G42" s="11"/>
      <c r="H42" s="11"/>
      <c r="I42" s="11"/>
      <c r="L42" s="10"/>
      <c r="M42" s="17"/>
      <c r="Q42" s="9"/>
    </row>
    <row r="43" spans="2:18" ht="15" thickBot="1" x14ac:dyDescent="0.35">
      <c r="B43" s="77"/>
      <c r="C43" s="14"/>
      <c r="D43" s="15"/>
      <c r="E43" s="15"/>
      <c r="F43" s="15"/>
      <c r="G43" s="15"/>
      <c r="H43" s="15"/>
      <c r="I43" s="15"/>
      <c r="J43" s="13"/>
      <c r="K43" s="13"/>
      <c r="L43" s="15"/>
      <c r="M43" s="15"/>
      <c r="N43" s="13"/>
      <c r="O43" s="13"/>
      <c r="P43" s="13"/>
      <c r="Q43" s="16"/>
    </row>
    <row r="44" spans="2:18" ht="15" thickBot="1" x14ac:dyDescent="0.35">
      <c r="B44" s="77"/>
      <c r="C44" s="7" t="s">
        <v>42</v>
      </c>
      <c r="D44" s="6"/>
      <c r="E44" s="6" t="s">
        <v>48</v>
      </c>
      <c r="F44" s="6"/>
      <c r="G44" s="6"/>
      <c r="H44" s="6"/>
      <c r="I44" s="6"/>
      <c r="J44" s="6"/>
      <c r="K44" s="7" t="s">
        <v>42</v>
      </c>
      <c r="L44" s="6"/>
      <c r="M44" s="6" t="s">
        <v>48</v>
      </c>
      <c r="N44" s="6"/>
      <c r="O44" s="6"/>
      <c r="P44" s="6"/>
      <c r="Q44" s="8"/>
    </row>
    <row r="45" spans="2:18" ht="14.25" customHeight="1" x14ac:dyDescent="0.3">
      <c r="B45" s="77"/>
      <c r="C45" s="3" t="s">
        <v>3</v>
      </c>
      <c r="D45" s="3" t="s">
        <v>4</v>
      </c>
      <c r="E45" s="3" t="s">
        <v>49</v>
      </c>
      <c r="F45" s="74" t="s">
        <v>6</v>
      </c>
      <c r="G45" s="74" t="s">
        <v>7</v>
      </c>
      <c r="H45" s="74" t="s">
        <v>8</v>
      </c>
      <c r="I45" s="74" t="s">
        <v>31</v>
      </c>
      <c r="K45" s="3" t="s">
        <v>3</v>
      </c>
      <c r="L45" s="3" t="s">
        <v>4</v>
      </c>
      <c r="M45" s="3" t="s">
        <v>49</v>
      </c>
      <c r="N45" s="20" t="s">
        <v>6</v>
      </c>
      <c r="O45" s="20" t="s">
        <v>7</v>
      </c>
      <c r="P45" s="20" t="s">
        <v>8</v>
      </c>
      <c r="Q45" s="21" t="s">
        <v>31</v>
      </c>
    </row>
    <row r="46" spans="2:18" x14ac:dyDescent="0.3">
      <c r="B46" s="77"/>
      <c r="C46" s="213" t="s">
        <v>58</v>
      </c>
      <c r="D46" s="18">
        <v>0</v>
      </c>
      <c r="E46" s="43">
        <v>2.0499999999999998</v>
      </c>
      <c r="F46" s="43">
        <v>1000</v>
      </c>
      <c r="G46" s="43">
        <v>1300</v>
      </c>
      <c r="H46" s="43">
        <v>20000</v>
      </c>
      <c r="I46" s="43">
        <v>700</v>
      </c>
      <c r="K46" s="214" t="s">
        <v>58</v>
      </c>
      <c r="L46" s="18">
        <v>0</v>
      </c>
      <c r="M46" s="88">
        <v>4</v>
      </c>
      <c r="N46" s="101">
        <v>1050</v>
      </c>
      <c r="O46" s="43">
        <v>1550</v>
      </c>
      <c r="P46" s="43">
        <v>25500</v>
      </c>
      <c r="Q46" s="59">
        <v>630</v>
      </c>
    </row>
    <row r="47" spans="2:18" ht="14.25" customHeight="1" x14ac:dyDescent="0.3">
      <c r="B47" s="77"/>
      <c r="C47" s="213"/>
      <c r="D47" s="18">
        <v>1</v>
      </c>
      <c r="E47" s="43">
        <v>7.0000000000000007E-2</v>
      </c>
      <c r="F47" s="43">
        <v>16</v>
      </c>
      <c r="G47" s="43">
        <v>48</v>
      </c>
      <c r="H47" s="43">
        <v>1700</v>
      </c>
      <c r="I47" s="43">
        <v>52</v>
      </c>
      <c r="K47" s="214"/>
      <c r="L47" s="18">
        <v>1</v>
      </c>
      <c r="M47" s="88">
        <v>0.54</v>
      </c>
      <c r="N47" s="101" t="s">
        <v>22</v>
      </c>
      <c r="O47" s="43" t="s">
        <v>22</v>
      </c>
      <c r="P47" s="43">
        <v>28</v>
      </c>
      <c r="Q47" s="59" t="s">
        <v>22</v>
      </c>
    </row>
    <row r="48" spans="2:18" x14ac:dyDescent="0.3">
      <c r="B48" s="91" t="s">
        <v>17</v>
      </c>
      <c r="C48" s="213"/>
      <c r="D48" s="18">
        <v>3</v>
      </c>
      <c r="E48" s="43">
        <v>7.0000000000000007E-2</v>
      </c>
      <c r="F48" s="43">
        <v>12</v>
      </c>
      <c r="G48" s="43">
        <v>24</v>
      </c>
      <c r="H48" s="43">
        <v>260</v>
      </c>
      <c r="I48" s="43">
        <v>60</v>
      </c>
      <c r="K48" s="214"/>
      <c r="L48" s="18">
        <v>3</v>
      </c>
      <c r="M48" s="88">
        <v>0.25</v>
      </c>
      <c r="N48" s="101">
        <v>4</v>
      </c>
      <c r="O48" s="43">
        <v>4</v>
      </c>
      <c r="P48" s="43">
        <v>40</v>
      </c>
      <c r="Q48" s="59">
        <v>4</v>
      </c>
    </row>
    <row r="49" spans="2:17" x14ac:dyDescent="0.3">
      <c r="B49" s="77"/>
      <c r="C49" s="213"/>
      <c r="D49" s="18">
        <v>5</v>
      </c>
      <c r="E49" s="43">
        <v>0.06</v>
      </c>
      <c r="F49" s="43">
        <v>4</v>
      </c>
      <c r="G49" s="43">
        <v>32</v>
      </c>
      <c r="H49" s="43">
        <v>410</v>
      </c>
      <c r="I49" s="43">
        <v>32</v>
      </c>
      <c r="K49" s="214"/>
      <c r="L49" s="18">
        <v>5</v>
      </c>
      <c r="M49" s="88">
        <v>0.27</v>
      </c>
      <c r="N49" s="101" t="s">
        <v>22</v>
      </c>
      <c r="O49" s="43" t="s">
        <v>22</v>
      </c>
      <c r="P49" s="43">
        <v>76</v>
      </c>
      <c r="Q49" s="59">
        <v>4</v>
      </c>
    </row>
    <row r="50" spans="2:17" x14ac:dyDescent="0.3">
      <c r="B50" s="77"/>
      <c r="C50" s="213"/>
      <c r="D50" s="18">
        <v>10</v>
      </c>
      <c r="E50" s="43">
        <v>0.08</v>
      </c>
      <c r="F50" s="43">
        <v>7</v>
      </c>
      <c r="G50" s="43">
        <v>19</v>
      </c>
      <c r="H50" s="43">
        <v>190</v>
      </c>
      <c r="I50" s="43">
        <v>30</v>
      </c>
      <c r="K50" s="214"/>
      <c r="L50" s="18">
        <v>10</v>
      </c>
      <c r="M50" s="88">
        <v>0.11</v>
      </c>
      <c r="N50" s="101">
        <v>1</v>
      </c>
      <c r="O50" s="43">
        <v>5</v>
      </c>
      <c r="P50" s="43">
        <v>19</v>
      </c>
      <c r="Q50" s="59">
        <v>1</v>
      </c>
    </row>
    <row r="51" spans="2:17" ht="15" thickBot="1" x14ac:dyDescent="0.35">
      <c r="B51" s="77"/>
      <c r="C51" s="213"/>
      <c r="D51" s="18">
        <v>30</v>
      </c>
      <c r="E51" s="43">
        <v>0.04</v>
      </c>
      <c r="F51" s="43">
        <v>1</v>
      </c>
      <c r="G51" s="43">
        <v>4</v>
      </c>
      <c r="H51" s="43">
        <v>72</v>
      </c>
      <c r="I51" s="43">
        <v>15</v>
      </c>
      <c r="K51" s="214"/>
      <c r="L51" s="18">
        <v>30</v>
      </c>
      <c r="M51" s="90">
        <v>0.11</v>
      </c>
      <c r="N51" s="103" t="s">
        <v>24</v>
      </c>
      <c r="O51" s="45">
        <v>1</v>
      </c>
      <c r="P51" s="45">
        <v>10</v>
      </c>
      <c r="Q51" s="104" t="s">
        <v>24</v>
      </c>
    </row>
    <row r="52" spans="2:17" ht="15" customHeight="1" x14ac:dyDescent="0.3">
      <c r="B52" s="77"/>
      <c r="C52" s="213"/>
      <c r="D52" s="5"/>
      <c r="E52" s="5"/>
      <c r="F52" s="4"/>
      <c r="G52" s="4"/>
      <c r="H52" s="4"/>
      <c r="I52" s="4"/>
      <c r="K52" s="214"/>
      <c r="L52" s="5"/>
      <c r="M52" s="5"/>
      <c r="N52" s="4"/>
      <c r="O52" s="4"/>
      <c r="P52" s="4"/>
      <c r="Q52" s="22"/>
    </row>
    <row r="53" spans="2:17" x14ac:dyDescent="0.3">
      <c r="B53" s="77"/>
      <c r="C53" s="11"/>
      <c r="D53" s="10"/>
      <c r="E53" s="10"/>
      <c r="F53" s="61"/>
      <c r="G53" s="61"/>
      <c r="H53" s="61"/>
      <c r="I53" s="61"/>
      <c r="K53" s="11"/>
      <c r="L53" s="10"/>
      <c r="M53" s="10"/>
      <c r="N53" s="61"/>
      <c r="O53" s="61"/>
      <c r="P53" s="61"/>
      <c r="Q53" s="23"/>
    </row>
    <row r="54" spans="2:17" x14ac:dyDescent="0.3">
      <c r="B54" s="77"/>
      <c r="C54" s="11"/>
      <c r="D54" s="11"/>
      <c r="E54" s="11"/>
      <c r="F54" s="11"/>
      <c r="G54" s="11"/>
      <c r="H54" s="11"/>
      <c r="I54" s="11"/>
      <c r="K54" s="11"/>
      <c r="L54" s="11"/>
      <c r="M54" s="11"/>
      <c r="N54" s="11"/>
      <c r="O54" s="11"/>
      <c r="P54" s="11"/>
      <c r="Q54" s="84"/>
    </row>
    <row r="55" spans="2:17" ht="14.25" customHeight="1" x14ac:dyDescent="0.3">
      <c r="B55" s="77"/>
      <c r="E55" s="11"/>
      <c r="F55" s="11"/>
      <c r="M55" s="11"/>
      <c r="N55" s="11"/>
      <c r="Q55" s="9"/>
    </row>
    <row r="56" spans="2:17" x14ac:dyDescent="0.3">
      <c r="B56" s="77"/>
      <c r="C56" s="12"/>
      <c r="D56" s="11"/>
      <c r="E56" s="11"/>
      <c r="F56" s="11"/>
      <c r="G56" s="11"/>
      <c r="H56" s="11"/>
      <c r="I56" s="11"/>
      <c r="L56" s="10"/>
      <c r="M56" s="17"/>
      <c r="Q56" s="9"/>
    </row>
    <row r="57" spans="2:17" ht="15" customHeight="1" thickBot="1" x14ac:dyDescent="0.35">
      <c r="B57" s="78"/>
      <c r="C57" s="14"/>
      <c r="D57" s="15"/>
      <c r="E57" s="15"/>
      <c r="F57" s="15"/>
      <c r="G57" s="15"/>
      <c r="H57" s="15"/>
      <c r="I57" s="15"/>
      <c r="J57" s="13"/>
      <c r="K57" s="13"/>
      <c r="L57" s="15"/>
      <c r="M57" s="15"/>
      <c r="N57" s="13"/>
      <c r="O57" s="13"/>
      <c r="P57" s="13"/>
      <c r="Q57" s="16"/>
    </row>
    <row r="59" spans="2:17" ht="14.25" customHeight="1" x14ac:dyDescent="0.3"/>
    <row r="61" spans="2:17" ht="14.25" customHeight="1" x14ac:dyDescent="0.3"/>
    <row r="107" spans="2:2" ht="15" thickBot="1" x14ac:dyDescent="0.35">
      <c r="B107" s="13"/>
    </row>
    <row r="108" spans="2:2" ht="14.25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25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6:C52"/>
    <mergeCell ref="K46:K52"/>
    <mergeCell ref="C4:C10"/>
    <mergeCell ref="K4:K10"/>
    <mergeCell ref="C18:C24"/>
    <mergeCell ref="K18:K24"/>
    <mergeCell ref="C32:C38"/>
    <mergeCell ref="K32:K38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13"/>
  <sheetViews>
    <sheetView zoomScale="80" zoomScaleNormal="80" workbookViewId="0">
      <selection activeCell="S2" sqref="S2"/>
    </sheetView>
  </sheetViews>
  <sheetFormatPr defaultColWidth="9.109375" defaultRowHeight="14.4" x14ac:dyDescent="0.3"/>
  <cols>
    <col min="1" max="1" width="39.44140625" style="2" bestFit="1" customWidth="1"/>
    <col min="2" max="2" width="22.33203125" style="2" bestFit="1" customWidth="1"/>
    <col min="3" max="3" width="10.6640625" style="2" bestFit="1" customWidth="1"/>
    <col min="4" max="4" width="8.5546875" style="2" customWidth="1"/>
    <col min="5" max="5" width="7.44140625" style="2" customWidth="1"/>
    <col min="6" max="6" width="8.5546875" style="2" customWidth="1"/>
    <col min="7" max="7" width="7.5546875" style="2" customWidth="1"/>
    <col min="8" max="8" width="9.44140625" style="2" customWidth="1"/>
    <col min="9" max="9" width="5.5546875" style="2" customWidth="1"/>
    <col min="10" max="10" width="8.88671875" style="2" customWidth="1"/>
    <col min="11" max="11" width="9.109375" style="2"/>
    <col min="12" max="12" width="7.5546875" style="2" customWidth="1"/>
    <col min="13" max="13" width="9.44140625" style="2" customWidth="1"/>
    <col min="14" max="14" width="6.109375" style="2" customWidth="1"/>
    <col min="15" max="15" width="10" style="2" customWidth="1"/>
    <col min="16" max="16" width="8.88671875" style="2" customWidth="1"/>
    <col min="17" max="17" width="8.33203125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0</v>
      </c>
    </row>
    <row r="2" spans="1:23" ht="26.4" thickBot="1" x14ac:dyDescent="0.55000000000000004">
      <c r="A2" s="51" t="s">
        <v>19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5.8" x14ac:dyDescent="0.5">
      <c r="A3" s="51" t="s">
        <v>2</v>
      </c>
      <c r="B3" s="77"/>
      <c r="C3" s="3" t="s">
        <v>3</v>
      </c>
      <c r="D3" s="3" t="s">
        <v>4</v>
      </c>
      <c r="E3" s="3" t="s">
        <v>44</v>
      </c>
      <c r="F3" s="74" t="s">
        <v>6</v>
      </c>
      <c r="G3" s="74" t="s">
        <v>7</v>
      </c>
      <c r="H3" s="74" t="s">
        <v>8</v>
      </c>
      <c r="I3" s="79" t="s">
        <v>9</v>
      </c>
      <c r="K3" s="3" t="s">
        <v>3</v>
      </c>
      <c r="L3" s="3" t="s">
        <v>4</v>
      </c>
      <c r="M3" s="3" t="s">
        <v>44</v>
      </c>
      <c r="N3" s="20" t="s">
        <v>6</v>
      </c>
      <c r="O3" s="20" t="s">
        <v>7</v>
      </c>
      <c r="P3" s="20" t="s">
        <v>8</v>
      </c>
      <c r="Q3" s="21" t="s">
        <v>31</v>
      </c>
      <c r="S3" s="1"/>
      <c r="U3" s="1"/>
      <c r="W3" s="1"/>
    </row>
    <row r="4" spans="1:23" ht="25.8" x14ac:dyDescent="0.5">
      <c r="A4" s="52">
        <v>45348</v>
      </c>
      <c r="B4" s="77"/>
      <c r="C4" s="213" t="s">
        <v>60</v>
      </c>
      <c r="D4" s="18">
        <v>0</v>
      </c>
      <c r="E4" s="75">
        <v>0.96</v>
      </c>
      <c r="F4" s="43">
        <v>180</v>
      </c>
      <c r="G4" s="43">
        <v>288</v>
      </c>
      <c r="H4" s="43">
        <v>1600</v>
      </c>
      <c r="I4" s="43">
        <v>176</v>
      </c>
      <c r="K4" s="214" t="s">
        <v>60</v>
      </c>
      <c r="L4" s="18">
        <v>0</v>
      </c>
      <c r="M4" s="81">
        <v>2</v>
      </c>
      <c r="N4" s="101">
        <v>124</v>
      </c>
      <c r="O4" s="43">
        <v>272</v>
      </c>
      <c r="P4" s="43">
        <v>2000</v>
      </c>
      <c r="Q4" s="59">
        <v>192</v>
      </c>
      <c r="S4" s="1"/>
      <c r="U4" s="1"/>
    </row>
    <row r="5" spans="1:23" x14ac:dyDescent="0.3">
      <c r="B5" s="77"/>
      <c r="C5" s="213"/>
      <c r="D5" s="18">
        <v>1</v>
      </c>
      <c r="E5" s="75">
        <v>0.89</v>
      </c>
      <c r="F5" s="43">
        <v>112</v>
      </c>
      <c r="G5" s="43">
        <v>200</v>
      </c>
      <c r="H5" s="43">
        <v>1440</v>
      </c>
      <c r="I5" s="43">
        <v>168</v>
      </c>
      <c r="K5" s="214"/>
      <c r="L5" s="18">
        <v>1</v>
      </c>
      <c r="M5" s="81">
        <v>1.74</v>
      </c>
      <c r="N5" s="101">
        <v>14</v>
      </c>
      <c r="O5" s="43">
        <v>32</v>
      </c>
      <c r="P5" s="43">
        <v>280</v>
      </c>
      <c r="Q5" s="59">
        <v>102</v>
      </c>
    </row>
    <row r="6" spans="1:23" ht="25.8" x14ac:dyDescent="0.5">
      <c r="A6" s="51" t="s">
        <v>61</v>
      </c>
      <c r="B6" s="91" t="s">
        <v>12</v>
      </c>
      <c r="C6" s="213"/>
      <c r="D6" s="18">
        <v>3</v>
      </c>
      <c r="E6" s="75">
        <v>0.8</v>
      </c>
      <c r="F6" s="43">
        <v>4</v>
      </c>
      <c r="G6" s="43">
        <v>48</v>
      </c>
      <c r="H6" s="43">
        <v>276</v>
      </c>
      <c r="I6" s="43">
        <v>72</v>
      </c>
      <c r="K6" s="214"/>
      <c r="L6" s="18">
        <v>3</v>
      </c>
      <c r="M6" s="81">
        <v>1.7</v>
      </c>
      <c r="N6" s="101" t="s">
        <v>22</v>
      </c>
      <c r="O6" s="43" t="s">
        <v>22</v>
      </c>
      <c r="P6" s="43">
        <v>4</v>
      </c>
      <c r="Q6" s="59" t="s">
        <v>22</v>
      </c>
    </row>
    <row r="7" spans="1:23" x14ac:dyDescent="0.3">
      <c r="B7" s="77"/>
      <c r="C7" s="213"/>
      <c r="D7" s="18">
        <v>5</v>
      </c>
      <c r="E7" s="75">
        <v>0.76</v>
      </c>
      <c r="F7" s="43" t="s">
        <v>62</v>
      </c>
      <c r="G7" s="43">
        <v>6</v>
      </c>
      <c r="H7" s="43">
        <v>15</v>
      </c>
      <c r="I7" s="43">
        <v>26</v>
      </c>
      <c r="K7" s="214"/>
      <c r="L7" s="18">
        <v>5</v>
      </c>
      <c r="M7" s="81">
        <v>1.61</v>
      </c>
      <c r="N7" s="101" t="s">
        <v>62</v>
      </c>
      <c r="O7" s="43" t="s">
        <v>62</v>
      </c>
      <c r="P7" s="43">
        <v>2</v>
      </c>
      <c r="Q7" s="59" t="s">
        <v>62</v>
      </c>
    </row>
    <row r="8" spans="1:23" x14ac:dyDescent="0.3">
      <c r="B8" s="77"/>
      <c r="C8" s="213"/>
      <c r="D8" s="18">
        <v>10</v>
      </c>
      <c r="E8" s="75">
        <v>0.7</v>
      </c>
      <c r="F8" s="43">
        <v>1</v>
      </c>
      <c r="G8" s="43">
        <v>1</v>
      </c>
      <c r="H8" s="43">
        <v>1</v>
      </c>
      <c r="I8" s="43">
        <v>2</v>
      </c>
      <c r="K8" s="214"/>
      <c r="L8" s="18">
        <v>10</v>
      </c>
      <c r="M8" s="81">
        <v>1.51</v>
      </c>
      <c r="N8" s="101" t="s">
        <v>24</v>
      </c>
      <c r="O8" s="43" t="s">
        <v>24</v>
      </c>
      <c r="P8" s="43">
        <v>1</v>
      </c>
      <c r="Q8" s="59" t="s">
        <v>24</v>
      </c>
    </row>
    <row r="9" spans="1:23" x14ac:dyDescent="0.3">
      <c r="B9" s="77"/>
      <c r="C9" s="213"/>
      <c r="D9" s="18">
        <v>30</v>
      </c>
      <c r="E9" s="75">
        <v>0.5</v>
      </c>
      <c r="F9" s="43" t="s">
        <v>24</v>
      </c>
      <c r="G9" s="43" t="s">
        <v>24</v>
      </c>
      <c r="H9" s="43">
        <v>1</v>
      </c>
      <c r="I9" s="43">
        <v>1</v>
      </c>
      <c r="K9" s="214"/>
      <c r="L9" s="18">
        <v>30</v>
      </c>
      <c r="M9" s="81">
        <v>1.1499999999999999</v>
      </c>
      <c r="N9" s="101" t="s">
        <v>24</v>
      </c>
      <c r="O9" s="43" t="s">
        <v>24</v>
      </c>
      <c r="P9" s="43">
        <v>1</v>
      </c>
      <c r="Q9" s="59">
        <v>3</v>
      </c>
    </row>
    <row r="10" spans="1:23" x14ac:dyDescent="0.3">
      <c r="B10" s="77"/>
      <c r="C10" s="213"/>
      <c r="D10" s="5"/>
      <c r="E10" s="5"/>
      <c r="F10" s="4"/>
      <c r="G10" s="4"/>
      <c r="H10" s="4"/>
      <c r="I10" s="4"/>
      <c r="K10" s="214"/>
      <c r="L10" s="5"/>
      <c r="M10" s="5"/>
      <c r="N10" s="4"/>
      <c r="O10" s="4"/>
      <c r="P10" s="4"/>
      <c r="Q10" s="22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x14ac:dyDescent="0.3">
      <c r="B13" s="58"/>
      <c r="C13" s="6"/>
      <c r="D13" s="6"/>
      <c r="E13" s="100"/>
      <c r="F13" s="100"/>
      <c r="G13" s="6"/>
      <c r="H13" s="6"/>
      <c r="I13" s="6"/>
      <c r="J13" s="6"/>
      <c r="K13" s="6"/>
      <c r="L13" s="6"/>
      <c r="M13" s="100"/>
      <c r="N13" s="100"/>
      <c r="O13" s="6"/>
      <c r="P13" s="6"/>
      <c r="Q13" s="8"/>
    </row>
    <row r="14" spans="1:23" ht="15" thickBot="1" x14ac:dyDescent="0.35">
      <c r="B14" s="77"/>
      <c r="C14" s="14"/>
      <c r="D14" s="15"/>
      <c r="E14" s="15"/>
      <c r="F14" s="15"/>
      <c r="G14" s="15"/>
      <c r="H14" s="15"/>
      <c r="I14" s="15"/>
      <c r="J14" s="13"/>
      <c r="K14" s="13"/>
      <c r="L14" s="15"/>
      <c r="M14" s="15"/>
      <c r="N14" s="13"/>
      <c r="O14" s="13"/>
      <c r="P14" s="13"/>
      <c r="Q14" s="16"/>
    </row>
    <row r="15" spans="1:23" ht="15" thickBot="1" x14ac:dyDescent="0.35">
      <c r="B15" s="77"/>
      <c r="C15" s="7" t="s">
        <v>42</v>
      </c>
      <c r="D15" s="6"/>
      <c r="E15" s="6" t="s">
        <v>47</v>
      </c>
      <c r="F15" s="6"/>
      <c r="G15" s="6"/>
      <c r="H15" s="6"/>
      <c r="I15" s="6"/>
      <c r="J15" s="6"/>
      <c r="K15" s="7" t="s">
        <v>42</v>
      </c>
      <c r="L15" s="6"/>
      <c r="M15" s="6" t="s">
        <v>47</v>
      </c>
      <c r="N15" s="6"/>
      <c r="O15" s="6"/>
      <c r="P15" s="6"/>
      <c r="Q15" s="8"/>
    </row>
    <row r="16" spans="1:23" x14ac:dyDescent="0.3">
      <c r="B16" s="77"/>
      <c r="C16" s="3" t="s">
        <v>3</v>
      </c>
      <c r="D16" s="3" t="s">
        <v>4</v>
      </c>
      <c r="E16" s="3" t="s">
        <v>55</v>
      </c>
      <c r="F16" s="20" t="s">
        <v>6</v>
      </c>
      <c r="G16" s="20" t="s">
        <v>7</v>
      </c>
      <c r="H16" s="20" t="s">
        <v>8</v>
      </c>
      <c r="I16" s="20" t="s">
        <v>31</v>
      </c>
      <c r="K16" s="3" t="s">
        <v>3</v>
      </c>
      <c r="L16" s="3" t="s">
        <v>4</v>
      </c>
      <c r="M16" s="3" t="s">
        <v>55</v>
      </c>
      <c r="N16" s="20" t="s">
        <v>6</v>
      </c>
      <c r="O16" s="20" t="s">
        <v>7</v>
      </c>
      <c r="P16" s="20" t="s">
        <v>8</v>
      </c>
      <c r="Q16" s="21" t="s">
        <v>31</v>
      </c>
    </row>
    <row r="17" spans="2:18" ht="15" customHeight="1" x14ac:dyDescent="0.3">
      <c r="B17" s="77"/>
      <c r="C17" s="214" t="s">
        <v>60</v>
      </c>
      <c r="D17" s="18">
        <v>0</v>
      </c>
      <c r="E17" s="81">
        <v>2.0499999999999998</v>
      </c>
      <c r="F17" s="101">
        <v>84</v>
      </c>
      <c r="G17" s="43">
        <v>116</v>
      </c>
      <c r="H17" s="43">
        <v>850</v>
      </c>
      <c r="I17" s="59">
        <v>140</v>
      </c>
      <c r="K17" s="214" t="s">
        <v>60</v>
      </c>
      <c r="L17" s="18">
        <v>0</v>
      </c>
      <c r="M17" s="81">
        <v>4</v>
      </c>
      <c r="N17" s="101">
        <v>72</v>
      </c>
      <c r="O17" s="43">
        <v>120</v>
      </c>
      <c r="P17" s="43">
        <v>1100</v>
      </c>
      <c r="Q17" s="59">
        <v>168</v>
      </c>
    </row>
    <row r="18" spans="2:18" x14ac:dyDescent="0.3">
      <c r="B18" s="77"/>
      <c r="C18" s="214"/>
      <c r="D18" s="18">
        <v>1</v>
      </c>
      <c r="E18" s="81">
        <v>1.85</v>
      </c>
      <c r="F18" s="101">
        <v>72</v>
      </c>
      <c r="G18" s="43">
        <v>200</v>
      </c>
      <c r="H18" s="43">
        <v>750</v>
      </c>
      <c r="I18" s="59">
        <v>116</v>
      </c>
      <c r="K18" s="214"/>
      <c r="L18" s="18">
        <v>1</v>
      </c>
      <c r="M18" s="81">
        <v>3.6</v>
      </c>
      <c r="N18" s="101">
        <v>64</v>
      </c>
      <c r="O18" s="43">
        <v>100</v>
      </c>
      <c r="P18" s="43">
        <v>840</v>
      </c>
      <c r="Q18" s="59">
        <v>72</v>
      </c>
    </row>
    <row r="19" spans="2:18" ht="14.25" customHeight="1" x14ac:dyDescent="0.3">
      <c r="B19" s="91" t="s">
        <v>13</v>
      </c>
      <c r="C19" s="214"/>
      <c r="D19" s="18">
        <v>3</v>
      </c>
      <c r="E19" s="81">
        <v>1.81</v>
      </c>
      <c r="F19" s="101">
        <v>12</v>
      </c>
      <c r="G19" s="43">
        <v>112</v>
      </c>
      <c r="H19" s="43">
        <v>640</v>
      </c>
      <c r="I19" s="59">
        <v>96</v>
      </c>
      <c r="K19" s="214"/>
      <c r="L19" s="18">
        <v>3</v>
      </c>
      <c r="M19" s="81">
        <v>3.5</v>
      </c>
      <c r="N19" s="101">
        <v>12</v>
      </c>
      <c r="O19" s="43">
        <v>12</v>
      </c>
      <c r="P19" s="43">
        <v>280</v>
      </c>
      <c r="Q19" s="59">
        <v>100</v>
      </c>
    </row>
    <row r="20" spans="2:18" x14ac:dyDescent="0.3">
      <c r="B20" s="77"/>
      <c r="C20" s="214"/>
      <c r="D20" s="18">
        <v>5</v>
      </c>
      <c r="E20" s="81">
        <v>1.8</v>
      </c>
      <c r="F20" s="101">
        <v>28</v>
      </c>
      <c r="G20" s="43">
        <v>56</v>
      </c>
      <c r="H20" s="43">
        <v>435</v>
      </c>
      <c r="I20" s="59">
        <v>78</v>
      </c>
      <c r="K20" s="214"/>
      <c r="L20" s="18">
        <v>5</v>
      </c>
      <c r="M20" s="81">
        <v>3.52</v>
      </c>
      <c r="N20" s="101">
        <v>2</v>
      </c>
      <c r="O20" s="43">
        <v>4</v>
      </c>
      <c r="P20" s="43">
        <v>132</v>
      </c>
      <c r="Q20" s="59">
        <v>40</v>
      </c>
    </row>
    <row r="21" spans="2:18" x14ac:dyDescent="0.3">
      <c r="B21" s="77"/>
      <c r="C21" s="214"/>
      <c r="D21" s="18">
        <v>10</v>
      </c>
      <c r="E21" s="81">
        <v>1.73</v>
      </c>
      <c r="F21" s="101" t="s">
        <v>24</v>
      </c>
      <c r="G21" s="43">
        <v>28</v>
      </c>
      <c r="H21" s="43">
        <v>280</v>
      </c>
      <c r="I21" s="59">
        <v>53</v>
      </c>
      <c r="K21" s="214"/>
      <c r="L21" s="18">
        <v>10</v>
      </c>
      <c r="M21" s="81">
        <v>3.4</v>
      </c>
      <c r="N21" s="101">
        <v>1</v>
      </c>
      <c r="O21" s="43">
        <v>3</v>
      </c>
      <c r="P21" s="43">
        <v>18</v>
      </c>
      <c r="Q21" s="59">
        <v>1</v>
      </c>
    </row>
    <row r="22" spans="2:18" x14ac:dyDescent="0.3">
      <c r="B22" s="77"/>
      <c r="C22" s="214"/>
      <c r="D22" s="18">
        <v>30</v>
      </c>
      <c r="E22" s="81">
        <v>1.6</v>
      </c>
      <c r="F22" s="101" t="s">
        <v>24</v>
      </c>
      <c r="G22" s="43">
        <v>4</v>
      </c>
      <c r="H22" s="43">
        <v>11</v>
      </c>
      <c r="I22" s="59">
        <v>2</v>
      </c>
      <c r="K22" s="214"/>
      <c r="L22" s="18">
        <v>30</v>
      </c>
      <c r="M22" s="81">
        <v>3.18</v>
      </c>
      <c r="N22" s="101">
        <v>1</v>
      </c>
      <c r="O22" s="43">
        <v>2</v>
      </c>
      <c r="P22" s="43">
        <v>2</v>
      </c>
      <c r="Q22" s="59">
        <v>8</v>
      </c>
    </row>
    <row r="23" spans="2:18" x14ac:dyDescent="0.3">
      <c r="B23" s="77"/>
      <c r="C23" s="214"/>
      <c r="D23" s="5"/>
      <c r="E23" s="5"/>
      <c r="F23" s="4"/>
      <c r="G23" s="4"/>
      <c r="H23" s="4"/>
      <c r="I23" s="4"/>
      <c r="K23" s="214"/>
      <c r="L23" s="5"/>
      <c r="M23" s="5"/>
      <c r="N23" s="4"/>
      <c r="O23" s="4"/>
      <c r="P23" s="4"/>
      <c r="Q23" s="22"/>
    </row>
    <row r="24" spans="2:18" x14ac:dyDescent="0.3">
      <c r="B24" s="77"/>
      <c r="C24" s="11"/>
      <c r="D24" s="10"/>
      <c r="E24" s="10"/>
      <c r="F24" s="61"/>
      <c r="G24" s="61"/>
      <c r="H24" s="61"/>
      <c r="I24" s="61"/>
      <c r="K24" s="11"/>
      <c r="L24" s="10"/>
      <c r="M24" s="10"/>
      <c r="N24" s="61"/>
      <c r="O24" s="61"/>
      <c r="P24" s="61"/>
      <c r="Q24" s="23"/>
    </row>
    <row r="25" spans="2:18" ht="15" thickBot="1" x14ac:dyDescent="0.35">
      <c r="B25" s="78"/>
      <c r="C25" s="15"/>
      <c r="D25" s="15"/>
      <c r="E25" s="15"/>
      <c r="F25" s="15"/>
      <c r="G25" s="15"/>
      <c r="H25" s="15"/>
      <c r="I25" s="15"/>
      <c r="J25" s="13"/>
      <c r="K25" s="15"/>
      <c r="L25" s="15"/>
      <c r="M25" s="15"/>
      <c r="N25" s="15"/>
      <c r="O25" s="15"/>
      <c r="P25" s="15"/>
      <c r="Q25" s="94"/>
    </row>
    <row r="26" spans="2:18" x14ac:dyDescent="0.3">
      <c r="B26" s="58"/>
      <c r="C26" s="6"/>
      <c r="D26" s="6"/>
      <c r="E26" s="100"/>
      <c r="F26" s="100"/>
      <c r="G26" s="6"/>
      <c r="H26" s="6"/>
      <c r="I26" s="6"/>
      <c r="J26" s="6"/>
      <c r="K26" s="6"/>
      <c r="L26" s="6"/>
      <c r="M26" s="100"/>
      <c r="N26" s="100"/>
      <c r="O26" s="6"/>
      <c r="P26" s="6"/>
      <c r="Q26" s="8"/>
    </row>
    <row r="27" spans="2:18" ht="15" thickBot="1" x14ac:dyDescent="0.35">
      <c r="B27" s="77"/>
      <c r="C27" s="14"/>
      <c r="D27" s="15"/>
      <c r="E27" s="15"/>
      <c r="F27" s="15"/>
      <c r="G27" s="15"/>
      <c r="H27" s="15"/>
      <c r="I27" s="15"/>
      <c r="J27" s="13"/>
      <c r="K27" s="13"/>
      <c r="L27" s="15"/>
      <c r="M27" s="15"/>
      <c r="N27" s="13"/>
      <c r="O27" s="13"/>
      <c r="P27" s="13"/>
      <c r="Q27" s="16"/>
    </row>
    <row r="28" spans="2:18" ht="15" thickBot="1" x14ac:dyDescent="0.35">
      <c r="B28" s="77"/>
      <c r="C28" s="7" t="s">
        <v>42</v>
      </c>
      <c r="D28" s="6"/>
      <c r="E28" s="6" t="s">
        <v>48</v>
      </c>
      <c r="F28" s="6"/>
      <c r="G28" s="6"/>
      <c r="H28" s="6"/>
      <c r="I28" s="6"/>
      <c r="J28" s="6"/>
      <c r="K28" s="7" t="s">
        <v>42</v>
      </c>
      <c r="L28" s="6"/>
      <c r="M28" s="6" t="s">
        <v>48</v>
      </c>
      <c r="N28" s="6"/>
      <c r="O28" s="6"/>
      <c r="P28" s="6"/>
      <c r="Q28" s="8"/>
    </row>
    <row r="29" spans="2:18" x14ac:dyDescent="0.3">
      <c r="B29" s="77"/>
      <c r="C29" s="3" t="s">
        <v>3</v>
      </c>
      <c r="D29" s="3" t="s">
        <v>4</v>
      </c>
      <c r="E29" s="3" t="s">
        <v>49</v>
      </c>
      <c r="F29" s="20" t="s">
        <v>6</v>
      </c>
      <c r="G29" s="20" t="s">
        <v>7</v>
      </c>
      <c r="H29" s="20" t="s">
        <v>8</v>
      </c>
      <c r="I29" s="20" t="s">
        <v>31</v>
      </c>
      <c r="J29" s="74" t="s">
        <v>14</v>
      </c>
      <c r="K29" s="3" t="s">
        <v>3</v>
      </c>
      <c r="L29" s="3" t="s">
        <v>4</v>
      </c>
      <c r="M29" s="3" t="s">
        <v>49</v>
      </c>
      <c r="N29" s="20" t="s">
        <v>6</v>
      </c>
      <c r="O29" s="20" t="s">
        <v>7</v>
      </c>
      <c r="P29" s="20" t="s">
        <v>8</v>
      </c>
      <c r="Q29" s="21" t="s">
        <v>31</v>
      </c>
      <c r="R29" s="74" t="s">
        <v>14</v>
      </c>
    </row>
    <row r="30" spans="2:18" ht="14.25" customHeight="1" x14ac:dyDescent="0.3">
      <c r="B30" s="77"/>
      <c r="C30" s="214" t="s">
        <v>60</v>
      </c>
      <c r="D30" s="18">
        <v>0</v>
      </c>
      <c r="E30" s="81">
        <v>1.92</v>
      </c>
      <c r="F30" s="101">
        <v>180</v>
      </c>
      <c r="G30" s="43">
        <v>274</v>
      </c>
      <c r="H30" s="43">
        <v>1950</v>
      </c>
      <c r="I30" s="59">
        <v>180</v>
      </c>
      <c r="J30" s="112"/>
      <c r="K30" s="214" t="s">
        <v>60</v>
      </c>
      <c r="L30" s="18">
        <v>0</v>
      </c>
      <c r="M30" s="81">
        <v>4.04</v>
      </c>
      <c r="N30" s="101">
        <v>128</v>
      </c>
      <c r="O30" s="43">
        <v>256</v>
      </c>
      <c r="P30" s="43">
        <v>2250</v>
      </c>
      <c r="Q30" s="59">
        <v>220</v>
      </c>
      <c r="R30" s="112"/>
    </row>
    <row r="31" spans="2:18" x14ac:dyDescent="0.3">
      <c r="B31" s="77"/>
      <c r="C31" s="214"/>
      <c r="D31" s="18">
        <v>1</v>
      </c>
      <c r="E31" s="81">
        <v>1.07</v>
      </c>
      <c r="F31" s="101" t="s">
        <v>22</v>
      </c>
      <c r="G31" s="43">
        <v>8</v>
      </c>
      <c r="H31" s="43">
        <v>92</v>
      </c>
      <c r="I31" s="59">
        <v>30</v>
      </c>
      <c r="J31" s="112"/>
      <c r="K31" s="214"/>
      <c r="L31" s="18">
        <v>1</v>
      </c>
      <c r="M31" s="81">
        <v>3</v>
      </c>
      <c r="N31" s="101">
        <v>4</v>
      </c>
      <c r="O31" s="43">
        <v>8</v>
      </c>
      <c r="P31" s="43">
        <v>32</v>
      </c>
      <c r="Q31" s="59" t="s">
        <v>22</v>
      </c>
      <c r="R31" s="112"/>
    </row>
    <row r="32" spans="2:18" ht="14.25" customHeight="1" x14ac:dyDescent="0.3">
      <c r="B32" s="91" t="s">
        <v>15</v>
      </c>
      <c r="C32" s="214"/>
      <c r="D32" s="18">
        <v>3</v>
      </c>
      <c r="E32" s="81">
        <v>0.93</v>
      </c>
      <c r="F32" s="101" t="s">
        <v>22</v>
      </c>
      <c r="G32" s="43">
        <v>8</v>
      </c>
      <c r="H32" s="43">
        <v>100</v>
      </c>
      <c r="I32" s="59">
        <v>28</v>
      </c>
      <c r="J32" s="112"/>
      <c r="K32" s="214"/>
      <c r="L32" s="18">
        <v>3</v>
      </c>
      <c r="M32" s="81">
        <v>2.52</v>
      </c>
      <c r="N32" s="101" t="s">
        <v>22</v>
      </c>
      <c r="O32" s="43" t="s">
        <v>22</v>
      </c>
      <c r="P32" s="43">
        <v>4</v>
      </c>
      <c r="Q32" s="59">
        <v>4</v>
      </c>
      <c r="R32" s="112"/>
    </row>
    <row r="33" spans="2:18" x14ac:dyDescent="0.3">
      <c r="B33" s="77"/>
      <c r="C33" s="214"/>
      <c r="D33" s="18">
        <v>5</v>
      </c>
      <c r="E33" s="81">
        <v>0.9</v>
      </c>
      <c r="F33" s="101">
        <v>2</v>
      </c>
      <c r="G33" s="43">
        <v>8</v>
      </c>
      <c r="H33" s="43">
        <v>92</v>
      </c>
      <c r="I33" s="59">
        <v>12</v>
      </c>
      <c r="J33" s="112"/>
      <c r="K33" s="214"/>
      <c r="L33" s="18">
        <v>5</v>
      </c>
      <c r="M33" s="81">
        <v>2.3199999999999998</v>
      </c>
      <c r="N33" s="101" t="s">
        <v>62</v>
      </c>
      <c r="O33" s="43">
        <v>2</v>
      </c>
      <c r="P33" s="43">
        <v>4</v>
      </c>
      <c r="Q33" s="59" t="s">
        <v>62</v>
      </c>
      <c r="R33" s="112"/>
    </row>
    <row r="34" spans="2:18" x14ac:dyDescent="0.3">
      <c r="B34" s="77"/>
      <c r="C34" s="214"/>
      <c r="D34" s="18">
        <v>10</v>
      </c>
      <c r="E34" s="81">
        <v>0.85</v>
      </c>
      <c r="F34" s="101">
        <v>1</v>
      </c>
      <c r="G34" s="43">
        <v>9</v>
      </c>
      <c r="H34" s="43">
        <v>50</v>
      </c>
      <c r="I34" s="59">
        <v>9</v>
      </c>
      <c r="J34" s="115">
        <v>9.6000000000000002E-2</v>
      </c>
      <c r="K34" s="214"/>
      <c r="L34" s="18">
        <v>10</v>
      </c>
      <c r="M34" s="81">
        <v>1.92</v>
      </c>
      <c r="N34" s="101" t="s">
        <v>24</v>
      </c>
      <c r="O34" s="43" t="s">
        <v>24</v>
      </c>
      <c r="P34" s="43">
        <v>1</v>
      </c>
      <c r="Q34" s="59">
        <v>1</v>
      </c>
      <c r="R34" s="115">
        <v>1.6E-2</v>
      </c>
    </row>
    <row r="35" spans="2:18" ht="15" thickBot="1" x14ac:dyDescent="0.35">
      <c r="B35" s="77"/>
      <c r="C35" s="214"/>
      <c r="D35" s="18">
        <v>30</v>
      </c>
      <c r="E35" s="81">
        <v>0.78</v>
      </c>
      <c r="F35" s="101" t="s">
        <v>24</v>
      </c>
      <c r="G35" s="43">
        <v>1</v>
      </c>
      <c r="H35" s="43">
        <v>23</v>
      </c>
      <c r="I35" s="59">
        <v>1</v>
      </c>
      <c r="J35" s="115">
        <v>9.1999999999999998E-2</v>
      </c>
      <c r="K35" s="214"/>
      <c r="L35" s="18">
        <v>30</v>
      </c>
      <c r="M35" s="102">
        <v>1.3</v>
      </c>
      <c r="N35" s="103" t="s">
        <v>24</v>
      </c>
      <c r="O35" s="45" t="s">
        <v>24</v>
      </c>
      <c r="P35" s="45">
        <v>1</v>
      </c>
      <c r="Q35" s="104">
        <v>1</v>
      </c>
      <c r="R35" s="115">
        <v>2.7E-2</v>
      </c>
    </row>
    <row r="36" spans="2:18" ht="15" customHeight="1" x14ac:dyDescent="0.3">
      <c r="B36" s="77"/>
      <c r="C36" s="214"/>
      <c r="D36" s="5"/>
      <c r="E36" s="5"/>
      <c r="F36" s="4"/>
      <c r="G36" s="4"/>
      <c r="H36" s="4"/>
      <c r="I36" s="4"/>
      <c r="J36" s="117"/>
      <c r="K36" s="214"/>
      <c r="L36" s="5"/>
      <c r="M36" s="5"/>
      <c r="N36" s="4"/>
      <c r="O36" s="4"/>
      <c r="P36" s="4"/>
      <c r="Q36" s="118"/>
      <c r="R36" s="117"/>
    </row>
    <row r="37" spans="2:18" x14ac:dyDescent="0.3">
      <c r="B37" s="77"/>
      <c r="C37" s="11"/>
      <c r="D37" s="10"/>
      <c r="E37" s="10"/>
      <c r="F37" s="61"/>
      <c r="G37" s="61"/>
      <c r="H37" s="61"/>
      <c r="I37" s="61"/>
      <c r="K37" s="11"/>
      <c r="L37" s="10"/>
      <c r="M37" s="10"/>
      <c r="N37" s="61"/>
      <c r="O37" s="61"/>
      <c r="P37" s="61"/>
      <c r="Q37" s="23"/>
    </row>
    <row r="38" spans="2:18" ht="15" thickBot="1" x14ac:dyDescent="0.35">
      <c r="B38" s="78"/>
      <c r="C38" s="15"/>
      <c r="D38" s="15"/>
      <c r="E38" s="15"/>
      <c r="F38" s="15"/>
      <c r="G38" s="15"/>
      <c r="H38" s="15"/>
      <c r="I38" s="15"/>
      <c r="J38" s="13"/>
      <c r="K38" s="15"/>
      <c r="L38" s="15"/>
      <c r="M38" s="15"/>
      <c r="N38" s="15"/>
      <c r="O38" s="15"/>
      <c r="P38" s="15"/>
      <c r="Q38" s="94"/>
    </row>
    <row r="39" spans="2:18" ht="15" customHeight="1" x14ac:dyDescent="0.3">
      <c r="B39" s="58"/>
      <c r="C39" s="6"/>
      <c r="D39" s="6"/>
      <c r="E39" s="100"/>
      <c r="F39" s="100"/>
      <c r="G39" s="6"/>
      <c r="H39" s="6"/>
      <c r="I39" s="6"/>
      <c r="J39" s="6"/>
      <c r="K39" s="6"/>
      <c r="L39" s="6"/>
      <c r="M39" s="100"/>
      <c r="N39" s="100"/>
      <c r="O39" s="6"/>
      <c r="P39" s="6"/>
      <c r="Q39" s="8"/>
    </row>
    <row r="40" spans="2:18" ht="15" thickBot="1" x14ac:dyDescent="0.35">
      <c r="B40" s="77"/>
      <c r="C40" s="14"/>
      <c r="D40" s="15"/>
      <c r="E40" s="15"/>
      <c r="F40" s="15"/>
      <c r="G40" s="15"/>
      <c r="H40" s="15"/>
      <c r="I40" s="15"/>
      <c r="J40" s="13"/>
      <c r="K40" s="13"/>
      <c r="L40" s="15"/>
      <c r="M40" s="15"/>
      <c r="N40" s="13"/>
      <c r="O40" s="13"/>
      <c r="P40" s="13"/>
      <c r="Q40" s="16"/>
    </row>
    <row r="41" spans="2:18" ht="15" thickBot="1" x14ac:dyDescent="0.35">
      <c r="B41" s="77"/>
      <c r="C41" s="7" t="s">
        <v>42</v>
      </c>
      <c r="D41" s="6"/>
      <c r="E41" s="6" t="s">
        <v>48</v>
      </c>
      <c r="F41" s="6"/>
      <c r="G41" s="6"/>
      <c r="H41" s="6"/>
      <c r="I41" s="6"/>
      <c r="J41" s="6"/>
      <c r="K41" s="7" t="s">
        <v>42</v>
      </c>
      <c r="L41" s="6"/>
      <c r="M41" s="6" t="s">
        <v>48</v>
      </c>
      <c r="N41" s="6"/>
      <c r="O41" s="6"/>
      <c r="P41" s="6"/>
      <c r="Q41" s="8"/>
    </row>
    <row r="42" spans="2:18" ht="15" thickBot="1" x14ac:dyDescent="0.35">
      <c r="B42" s="77"/>
      <c r="C42" s="3" t="s">
        <v>3</v>
      </c>
      <c r="D42" s="3" t="s">
        <v>4</v>
      </c>
      <c r="E42" s="3" t="s">
        <v>49</v>
      </c>
      <c r="F42" s="20" t="s">
        <v>6</v>
      </c>
      <c r="G42" s="20" t="s">
        <v>7</v>
      </c>
      <c r="H42" s="20" t="s">
        <v>8</v>
      </c>
      <c r="I42" s="20" t="s">
        <v>31</v>
      </c>
      <c r="K42" s="3" t="s">
        <v>3</v>
      </c>
      <c r="L42" s="3" t="s">
        <v>4</v>
      </c>
      <c r="M42" s="3" t="s">
        <v>49</v>
      </c>
      <c r="N42" s="20" t="s">
        <v>6</v>
      </c>
      <c r="O42" s="20" t="s">
        <v>7</v>
      </c>
      <c r="P42" s="20" t="s">
        <v>8</v>
      </c>
      <c r="Q42" s="21" t="s">
        <v>31</v>
      </c>
    </row>
    <row r="43" spans="2:18" ht="14.25" customHeight="1" x14ac:dyDescent="0.3">
      <c r="B43" s="77"/>
      <c r="C43" s="214" t="s">
        <v>60</v>
      </c>
      <c r="D43" s="18">
        <v>0</v>
      </c>
      <c r="E43" s="105">
        <v>1.92</v>
      </c>
      <c r="F43" s="101">
        <v>180</v>
      </c>
      <c r="G43" s="43">
        <v>274</v>
      </c>
      <c r="H43" s="43">
        <v>1950</v>
      </c>
      <c r="I43" s="59">
        <v>180</v>
      </c>
      <c r="K43" s="214" t="s">
        <v>60</v>
      </c>
      <c r="L43" s="18">
        <v>0</v>
      </c>
      <c r="M43" s="89">
        <v>4.04</v>
      </c>
      <c r="N43" s="101">
        <v>128</v>
      </c>
      <c r="O43" s="43">
        <v>256</v>
      </c>
      <c r="P43" s="43">
        <v>2250</v>
      </c>
      <c r="Q43" s="59">
        <v>220</v>
      </c>
    </row>
    <row r="44" spans="2:18" x14ac:dyDescent="0.3">
      <c r="B44" s="77"/>
      <c r="C44" s="214"/>
      <c r="D44" s="18">
        <v>1</v>
      </c>
      <c r="E44" s="88">
        <v>0.28999999999999998</v>
      </c>
      <c r="F44" s="101" t="s">
        <v>22</v>
      </c>
      <c r="G44" s="43">
        <v>8</v>
      </c>
      <c r="H44" s="43">
        <v>92</v>
      </c>
      <c r="I44" s="59">
        <v>30</v>
      </c>
      <c r="K44" s="214"/>
      <c r="L44" s="18">
        <v>1</v>
      </c>
      <c r="M44" s="89">
        <v>1.59</v>
      </c>
      <c r="N44" s="101">
        <v>4</v>
      </c>
      <c r="O44" s="43">
        <v>8</v>
      </c>
      <c r="P44" s="43">
        <v>32</v>
      </c>
      <c r="Q44" s="59" t="s">
        <v>22</v>
      </c>
    </row>
    <row r="45" spans="2:18" ht="14.25" customHeight="1" x14ac:dyDescent="0.3">
      <c r="B45" s="91" t="s">
        <v>17</v>
      </c>
      <c r="C45" s="214"/>
      <c r="D45" s="18">
        <v>3</v>
      </c>
      <c r="E45" s="88">
        <v>0.14000000000000001</v>
      </c>
      <c r="F45" s="101" t="s">
        <v>22</v>
      </c>
      <c r="G45" s="43">
        <v>8</v>
      </c>
      <c r="H45" s="43">
        <v>100</v>
      </c>
      <c r="I45" s="59">
        <v>28</v>
      </c>
      <c r="K45" s="214"/>
      <c r="L45" s="18">
        <v>3</v>
      </c>
      <c r="M45" s="89">
        <v>1.27</v>
      </c>
      <c r="N45" s="101" t="s">
        <v>22</v>
      </c>
      <c r="O45" s="43" t="s">
        <v>22</v>
      </c>
      <c r="P45" s="43">
        <v>4</v>
      </c>
      <c r="Q45" s="59">
        <v>4</v>
      </c>
    </row>
    <row r="46" spans="2:18" x14ac:dyDescent="0.3">
      <c r="B46" s="77"/>
      <c r="C46" s="214"/>
      <c r="D46" s="18">
        <v>5</v>
      </c>
      <c r="E46" s="88">
        <v>0.14000000000000001</v>
      </c>
      <c r="F46" s="101">
        <v>2</v>
      </c>
      <c r="G46" s="43">
        <v>8</v>
      </c>
      <c r="H46" s="43">
        <v>92</v>
      </c>
      <c r="I46" s="59">
        <v>12</v>
      </c>
      <c r="K46" s="214"/>
      <c r="L46" s="18">
        <v>5</v>
      </c>
      <c r="M46" s="89">
        <v>1.17</v>
      </c>
      <c r="N46" s="101" t="s">
        <v>62</v>
      </c>
      <c r="O46" s="43">
        <v>2</v>
      </c>
      <c r="P46" s="43">
        <v>4</v>
      </c>
      <c r="Q46" s="59" t="s">
        <v>62</v>
      </c>
    </row>
    <row r="47" spans="2:18" x14ac:dyDescent="0.3">
      <c r="B47" s="77"/>
      <c r="C47" s="214"/>
      <c r="D47" s="18">
        <v>10</v>
      </c>
      <c r="E47" s="88">
        <v>0.12</v>
      </c>
      <c r="F47" s="101">
        <v>1</v>
      </c>
      <c r="G47" s="43">
        <v>9</v>
      </c>
      <c r="H47" s="43">
        <v>50</v>
      </c>
      <c r="I47" s="59">
        <v>9</v>
      </c>
      <c r="K47" s="214"/>
      <c r="L47" s="18">
        <v>10</v>
      </c>
      <c r="M47" s="89">
        <v>0.94</v>
      </c>
      <c r="N47" s="101" t="s">
        <v>24</v>
      </c>
      <c r="O47" s="43" t="s">
        <v>24</v>
      </c>
      <c r="P47" s="43">
        <v>1</v>
      </c>
      <c r="Q47" s="59">
        <v>1</v>
      </c>
    </row>
    <row r="48" spans="2:18" ht="15" thickBot="1" x14ac:dyDescent="0.35">
      <c r="B48" s="77"/>
      <c r="C48" s="214"/>
      <c r="D48" s="18">
        <v>30</v>
      </c>
      <c r="E48" s="88">
        <v>0.1</v>
      </c>
      <c r="F48" s="101" t="s">
        <v>24</v>
      </c>
      <c r="G48" s="43">
        <v>1</v>
      </c>
      <c r="H48" s="43">
        <v>23</v>
      </c>
      <c r="I48" s="59">
        <v>1</v>
      </c>
      <c r="K48" s="214"/>
      <c r="L48" s="18">
        <v>30</v>
      </c>
      <c r="M48" s="95">
        <v>0.52</v>
      </c>
      <c r="N48" s="103" t="s">
        <v>24</v>
      </c>
      <c r="O48" s="45" t="s">
        <v>24</v>
      </c>
      <c r="P48" s="45">
        <v>1</v>
      </c>
      <c r="Q48" s="104">
        <v>1</v>
      </c>
    </row>
    <row r="49" spans="2:17" x14ac:dyDescent="0.3">
      <c r="B49" s="77"/>
      <c r="C49" s="214"/>
      <c r="D49" s="5"/>
      <c r="E49" s="5"/>
      <c r="F49" s="4"/>
      <c r="G49" s="4"/>
      <c r="H49" s="4"/>
      <c r="I49" s="4"/>
      <c r="K49" s="214"/>
      <c r="L49" s="5"/>
      <c r="M49" s="5"/>
      <c r="N49" s="4"/>
      <c r="O49" s="4"/>
      <c r="P49" s="4"/>
      <c r="Q49" s="22"/>
    </row>
    <row r="50" spans="2:17" x14ac:dyDescent="0.3">
      <c r="B50" s="77"/>
      <c r="C50" s="11"/>
      <c r="D50" s="10"/>
      <c r="E50" s="10"/>
      <c r="F50" s="61"/>
      <c r="G50" s="61"/>
      <c r="H50" s="61"/>
      <c r="I50" s="61"/>
      <c r="K50" s="11"/>
      <c r="L50" s="10"/>
      <c r="M50" s="10"/>
      <c r="N50" s="61"/>
      <c r="O50" s="61"/>
      <c r="P50" s="61"/>
      <c r="Q50" s="23"/>
    </row>
    <row r="51" spans="2:17" x14ac:dyDescent="0.3">
      <c r="B51" s="77"/>
      <c r="C51" s="11"/>
      <c r="D51" s="11"/>
      <c r="E51" s="11"/>
      <c r="F51" s="11"/>
      <c r="G51" s="11"/>
      <c r="H51" s="11"/>
      <c r="I51" s="11"/>
      <c r="K51" s="11"/>
      <c r="L51" s="11"/>
      <c r="M51" s="11"/>
      <c r="N51" s="11"/>
      <c r="O51" s="11"/>
      <c r="P51" s="11"/>
      <c r="Q51" s="84"/>
    </row>
    <row r="52" spans="2:17" ht="15" customHeight="1" x14ac:dyDescent="0.3">
      <c r="B52" s="77"/>
      <c r="E52" s="11"/>
      <c r="F52" s="11"/>
      <c r="M52" s="11"/>
      <c r="N52" s="11"/>
      <c r="Q52" s="9"/>
    </row>
    <row r="53" spans="2:17" ht="15" thickBot="1" x14ac:dyDescent="0.35">
      <c r="B53" s="78"/>
      <c r="C53" s="14"/>
      <c r="D53" s="15"/>
      <c r="E53" s="15"/>
      <c r="F53" s="15"/>
      <c r="G53" s="15"/>
      <c r="H53" s="15"/>
      <c r="I53" s="15"/>
      <c r="J53" s="13"/>
      <c r="K53" s="13"/>
      <c r="L53" s="15"/>
      <c r="M53" s="15"/>
      <c r="N53" s="13"/>
      <c r="O53" s="13"/>
      <c r="P53" s="13"/>
      <c r="Q53" s="16"/>
    </row>
    <row r="55" spans="2:17" ht="14.7" customHeight="1" x14ac:dyDescent="0.3"/>
    <row r="56" spans="2:17" ht="14.25" customHeight="1" x14ac:dyDescent="0.3"/>
    <row r="57" spans="2:17" ht="15" customHeight="1" x14ac:dyDescent="0.3"/>
    <row r="58" spans="2:17" ht="14.25" customHeight="1" x14ac:dyDescent="0.3"/>
    <row r="107" spans="2:2" ht="15" thickBot="1" x14ac:dyDescent="0.35">
      <c r="B107" s="13"/>
    </row>
    <row r="108" spans="2:2" ht="14.7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7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:C10"/>
    <mergeCell ref="K4:K10"/>
    <mergeCell ref="C43:C49"/>
    <mergeCell ref="K43:K49"/>
    <mergeCell ref="C30:C36"/>
    <mergeCell ref="K30:K36"/>
    <mergeCell ref="C17:C23"/>
    <mergeCell ref="K17:K2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62B2-5741-40A4-B564-FB739AA0C347}">
  <dimension ref="A1:W213"/>
  <sheetViews>
    <sheetView topLeftCell="A26" zoomScale="80" zoomScaleNormal="80" workbookViewId="0">
      <selection activeCell="AB48" sqref="AB48"/>
    </sheetView>
  </sheetViews>
  <sheetFormatPr defaultColWidth="9.109375" defaultRowHeight="14.4" x14ac:dyDescent="0.3"/>
  <cols>
    <col min="1" max="1" width="39.44140625" style="2" bestFit="1" customWidth="1"/>
    <col min="2" max="2" width="22.33203125" style="2" bestFit="1" customWidth="1"/>
    <col min="3" max="3" width="10.6640625" style="2" bestFit="1" customWidth="1"/>
    <col min="4" max="4" width="8.5546875" style="2" customWidth="1"/>
    <col min="5" max="5" width="7.44140625" style="2" customWidth="1"/>
    <col min="6" max="6" width="8.5546875" style="2" customWidth="1"/>
    <col min="7" max="7" width="7.5546875" style="2" customWidth="1"/>
    <col min="8" max="8" width="9.44140625" style="2" customWidth="1"/>
    <col min="9" max="9" width="5.5546875" style="2" customWidth="1"/>
    <col min="10" max="10" width="8.88671875" style="2" customWidth="1"/>
    <col min="11" max="11" width="9.109375" style="2"/>
    <col min="12" max="12" width="7.5546875" style="2" customWidth="1"/>
    <col min="13" max="13" width="9.44140625" style="2" customWidth="1"/>
    <col min="14" max="14" width="6.109375" style="2" customWidth="1"/>
    <col min="15" max="15" width="10" style="2" customWidth="1"/>
    <col min="16" max="16" width="8.88671875" style="2" customWidth="1"/>
    <col min="17" max="17" width="8.33203125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0</v>
      </c>
    </row>
    <row r="2" spans="1:23" ht="26.4" thickBot="1" x14ac:dyDescent="0.55000000000000004">
      <c r="A2" s="51" t="s">
        <v>19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5.8" x14ac:dyDescent="0.5">
      <c r="A3" s="51" t="s">
        <v>2</v>
      </c>
      <c r="B3" s="77"/>
      <c r="C3" s="3" t="s">
        <v>3</v>
      </c>
      <c r="D3" s="3" t="s">
        <v>4</v>
      </c>
      <c r="E3" s="3" t="s">
        <v>44</v>
      </c>
      <c r="F3" s="74" t="s">
        <v>6</v>
      </c>
      <c r="G3" s="74" t="s">
        <v>7</v>
      </c>
      <c r="H3" s="74" t="s">
        <v>8</v>
      </c>
      <c r="I3" s="79" t="s">
        <v>9</v>
      </c>
      <c r="K3" s="3" t="s">
        <v>3</v>
      </c>
      <c r="L3" s="3" t="s">
        <v>4</v>
      </c>
      <c r="M3" s="3" t="s">
        <v>44</v>
      </c>
      <c r="N3" s="20" t="s">
        <v>6</v>
      </c>
      <c r="O3" s="20" t="s">
        <v>7</v>
      </c>
      <c r="P3" s="20" t="s">
        <v>8</v>
      </c>
      <c r="Q3" s="21" t="s">
        <v>31</v>
      </c>
      <c r="S3" s="1"/>
      <c r="U3" s="1"/>
      <c r="W3" s="1"/>
    </row>
    <row r="4" spans="1:23" ht="25.8" x14ac:dyDescent="0.5">
      <c r="A4" s="52">
        <v>45348</v>
      </c>
      <c r="B4" s="77"/>
      <c r="C4" s="213" t="s">
        <v>60</v>
      </c>
      <c r="D4" s="18">
        <v>0</v>
      </c>
      <c r="E4" s="75">
        <v>0.96</v>
      </c>
      <c r="F4" s="43">
        <v>180</v>
      </c>
      <c r="G4" s="43">
        <v>288</v>
      </c>
      <c r="H4" s="43">
        <v>1600</v>
      </c>
      <c r="I4" s="43">
        <v>176</v>
      </c>
      <c r="K4" s="214" t="s">
        <v>60</v>
      </c>
      <c r="L4" s="18">
        <v>0</v>
      </c>
      <c r="M4" s="81">
        <v>2</v>
      </c>
      <c r="N4" s="101">
        <v>124</v>
      </c>
      <c r="O4" s="43">
        <v>272</v>
      </c>
      <c r="P4" s="43">
        <v>2000</v>
      </c>
      <c r="Q4" s="59">
        <v>192</v>
      </c>
      <c r="S4" s="1"/>
      <c r="U4" s="1"/>
    </row>
    <row r="5" spans="1:23" x14ac:dyDescent="0.3">
      <c r="B5" s="77"/>
      <c r="C5" s="213"/>
      <c r="D5" s="18">
        <v>1</v>
      </c>
      <c r="E5" s="75">
        <v>0.89</v>
      </c>
      <c r="F5" s="43">
        <v>112</v>
      </c>
      <c r="G5" s="43">
        <v>200</v>
      </c>
      <c r="H5" s="43">
        <v>1440</v>
      </c>
      <c r="I5" s="43">
        <v>168</v>
      </c>
      <c r="K5" s="214"/>
      <c r="L5" s="18">
        <v>1</v>
      </c>
      <c r="M5" s="81">
        <v>1.74</v>
      </c>
      <c r="N5" s="101">
        <v>14</v>
      </c>
      <c r="O5" s="43">
        <v>32</v>
      </c>
      <c r="P5" s="43">
        <v>280</v>
      </c>
      <c r="Q5" s="59">
        <v>102</v>
      </c>
    </row>
    <row r="6" spans="1:23" ht="25.8" x14ac:dyDescent="0.5">
      <c r="A6" s="51" t="s">
        <v>61</v>
      </c>
      <c r="B6" s="91" t="s">
        <v>12</v>
      </c>
      <c r="C6" s="213"/>
      <c r="D6" s="18">
        <v>3</v>
      </c>
      <c r="E6" s="75">
        <v>0.8</v>
      </c>
      <c r="F6" s="43">
        <v>4</v>
      </c>
      <c r="G6" s="43">
        <v>48</v>
      </c>
      <c r="H6" s="43">
        <v>276</v>
      </c>
      <c r="I6" s="43">
        <v>72</v>
      </c>
      <c r="K6" s="214"/>
      <c r="L6" s="18">
        <v>3</v>
      </c>
      <c r="M6" s="81">
        <v>1.7</v>
      </c>
      <c r="N6" s="101" t="s">
        <v>22</v>
      </c>
      <c r="O6" s="43" t="s">
        <v>22</v>
      </c>
      <c r="P6" s="43">
        <v>4</v>
      </c>
      <c r="Q6" s="59" t="s">
        <v>22</v>
      </c>
    </row>
    <row r="7" spans="1:23" x14ac:dyDescent="0.3">
      <c r="B7" s="77"/>
      <c r="C7" s="213"/>
      <c r="D7" s="18">
        <v>5</v>
      </c>
      <c r="E7" s="75">
        <v>0.76</v>
      </c>
      <c r="F7" s="43" t="s">
        <v>62</v>
      </c>
      <c r="G7" s="43">
        <v>6</v>
      </c>
      <c r="H7" s="43">
        <v>15</v>
      </c>
      <c r="I7" s="43">
        <v>26</v>
      </c>
      <c r="K7" s="214"/>
      <c r="L7" s="18">
        <v>5</v>
      </c>
      <c r="M7" s="81">
        <v>1.61</v>
      </c>
      <c r="N7" s="101" t="s">
        <v>62</v>
      </c>
      <c r="O7" s="43" t="s">
        <v>62</v>
      </c>
      <c r="P7" s="43">
        <v>2</v>
      </c>
      <c r="Q7" s="59" t="s">
        <v>62</v>
      </c>
    </row>
    <row r="8" spans="1:23" x14ac:dyDescent="0.3">
      <c r="B8" s="77"/>
      <c r="C8" s="213"/>
      <c r="D8" s="18">
        <v>10</v>
      </c>
      <c r="E8" s="75">
        <v>0.7</v>
      </c>
      <c r="F8" s="43">
        <v>1</v>
      </c>
      <c r="G8" s="43">
        <v>1</v>
      </c>
      <c r="H8" s="43">
        <v>1</v>
      </c>
      <c r="I8" s="43">
        <v>2</v>
      </c>
      <c r="K8" s="214"/>
      <c r="L8" s="18">
        <v>10</v>
      </c>
      <c r="M8" s="81">
        <v>1.51</v>
      </c>
      <c r="N8" s="101" t="s">
        <v>24</v>
      </c>
      <c r="O8" s="43" t="s">
        <v>24</v>
      </c>
      <c r="P8" s="43">
        <v>1</v>
      </c>
      <c r="Q8" s="59" t="s">
        <v>24</v>
      </c>
    </row>
    <row r="9" spans="1:23" x14ac:dyDescent="0.3">
      <c r="B9" s="77"/>
      <c r="C9" s="213"/>
      <c r="D9" s="18">
        <v>30</v>
      </c>
      <c r="E9" s="75">
        <v>0.5</v>
      </c>
      <c r="F9" s="43" t="s">
        <v>24</v>
      </c>
      <c r="G9" s="43" t="s">
        <v>24</v>
      </c>
      <c r="H9" s="43">
        <v>1</v>
      </c>
      <c r="I9" s="43">
        <v>1</v>
      </c>
      <c r="K9" s="214"/>
      <c r="L9" s="18">
        <v>30</v>
      </c>
      <c r="M9" s="81">
        <v>1.1499999999999999</v>
      </c>
      <c r="N9" s="101" t="s">
        <v>24</v>
      </c>
      <c r="O9" s="43" t="s">
        <v>24</v>
      </c>
      <c r="P9" s="43">
        <v>1</v>
      </c>
      <c r="Q9" s="59">
        <v>3</v>
      </c>
    </row>
    <row r="10" spans="1:23" x14ac:dyDescent="0.3">
      <c r="B10" s="77"/>
      <c r="C10" s="213"/>
      <c r="D10" s="5"/>
      <c r="E10" s="5"/>
      <c r="F10" s="4"/>
      <c r="G10" s="4"/>
      <c r="H10" s="4"/>
      <c r="I10" s="4"/>
      <c r="K10" s="214"/>
      <c r="L10" s="5"/>
      <c r="M10" s="5"/>
      <c r="N10" s="4"/>
      <c r="O10" s="4"/>
      <c r="P10" s="4"/>
      <c r="Q10" s="22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x14ac:dyDescent="0.3">
      <c r="B13" s="58"/>
      <c r="C13" s="6"/>
      <c r="D13" s="6"/>
      <c r="E13" s="100"/>
      <c r="F13" s="100"/>
      <c r="G13" s="6"/>
      <c r="H13" s="6"/>
      <c r="I13" s="6"/>
      <c r="J13" s="6"/>
      <c r="K13" s="6"/>
      <c r="L13" s="6"/>
      <c r="M13" s="100"/>
      <c r="N13" s="100"/>
      <c r="O13" s="6"/>
      <c r="P13" s="6"/>
      <c r="Q13" s="8"/>
    </row>
    <row r="14" spans="1:23" ht="15" thickBot="1" x14ac:dyDescent="0.35">
      <c r="B14" s="77"/>
      <c r="C14" s="14"/>
      <c r="D14" s="15"/>
      <c r="E14" s="15"/>
      <c r="F14" s="15"/>
      <c r="G14" s="15"/>
      <c r="H14" s="15"/>
      <c r="I14" s="15"/>
      <c r="J14" s="13"/>
      <c r="K14" s="13"/>
      <c r="L14" s="15"/>
      <c r="M14" s="15"/>
      <c r="N14" s="13"/>
      <c r="O14" s="13"/>
      <c r="P14" s="13"/>
      <c r="Q14" s="16"/>
    </row>
    <row r="15" spans="1:23" ht="15" thickBot="1" x14ac:dyDescent="0.35">
      <c r="B15" s="77"/>
      <c r="C15" s="7" t="s">
        <v>42</v>
      </c>
      <c r="D15" s="6"/>
      <c r="E15" s="6" t="s">
        <v>47</v>
      </c>
      <c r="F15" s="6"/>
      <c r="G15" s="6"/>
      <c r="H15" s="6"/>
      <c r="I15" s="6"/>
      <c r="J15" s="6"/>
      <c r="K15" s="7" t="s">
        <v>42</v>
      </c>
      <c r="L15" s="6"/>
      <c r="M15" s="6" t="s">
        <v>47</v>
      </c>
      <c r="N15" s="6"/>
      <c r="O15" s="6"/>
      <c r="P15" s="6"/>
      <c r="Q15" s="8"/>
    </row>
    <row r="16" spans="1:23" x14ac:dyDescent="0.3">
      <c r="B16" s="77"/>
      <c r="C16" s="3" t="s">
        <v>3</v>
      </c>
      <c r="D16" s="3" t="s">
        <v>4</v>
      </c>
      <c r="E16" s="3" t="s">
        <v>55</v>
      </c>
      <c r="F16" s="20" t="s">
        <v>6</v>
      </c>
      <c r="G16" s="20" t="s">
        <v>7</v>
      </c>
      <c r="H16" s="20" t="s">
        <v>8</v>
      </c>
      <c r="I16" s="20" t="s">
        <v>31</v>
      </c>
      <c r="K16" s="3" t="s">
        <v>3</v>
      </c>
      <c r="L16" s="3" t="s">
        <v>4</v>
      </c>
      <c r="M16" s="3" t="s">
        <v>55</v>
      </c>
      <c r="N16" s="20" t="s">
        <v>6</v>
      </c>
      <c r="O16" s="20" t="s">
        <v>7</v>
      </c>
      <c r="P16" s="20" t="s">
        <v>8</v>
      </c>
      <c r="Q16" s="21" t="s">
        <v>31</v>
      </c>
    </row>
    <row r="17" spans="2:18" ht="15" customHeight="1" x14ac:dyDescent="0.3">
      <c r="B17" s="77"/>
      <c r="C17" s="214" t="s">
        <v>60</v>
      </c>
      <c r="D17" s="18">
        <v>0</v>
      </c>
      <c r="E17" s="81">
        <v>2.0499999999999998</v>
      </c>
      <c r="F17" s="101">
        <v>84</v>
      </c>
      <c r="G17" s="43">
        <v>116</v>
      </c>
      <c r="H17" s="43">
        <v>850</v>
      </c>
      <c r="I17" s="59">
        <v>140</v>
      </c>
      <c r="K17" s="214" t="s">
        <v>60</v>
      </c>
      <c r="L17" s="18">
        <v>0</v>
      </c>
      <c r="M17" s="81">
        <v>4</v>
      </c>
      <c r="N17" s="101">
        <v>72</v>
      </c>
      <c r="O17" s="43">
        <v>120</v>
      </c>
      <c r="P17" s="43">
        <v>1100</v>
      </c>
      <c r="Q17" s="59">
        <v>168</v>
      </c>
    </row>
    <row r="18" spans="2:18" x14ac:dyDescent="0.3">
      <c r="B18" s="77"/>
      <c r="C18" s="214"/>
      <c r="D18" s="18">
        <v>1</v>
      </c>
      <c r="E18" s="81">
        <v>1.85</v>
      </c>
      <c r="F18" s="101">
        <v>72</v>
      </c>
      <c r="G18" s="43">
        <v>200</v>
      </c>
      <c r="H18" s="43">
        <v>750</v>
      </c>
      <c r="I18" s="59">
        <v>116</v>
      </c>
      <c r="K18" s="214"/>
      <c r="L18" s="18">
        <v>1</v>
      </c>
      <c r="M18" s="81">
        <v>3.6</v>
      </c>
      <c r="N18" s="101">
        <v>64</v>
      </c>
      <c r="O18" s="43">
        <v>100</v>
      </c>
      <c r="P18" s="43">
        <v>840</v>
      </c>
      <c r="Q18" s="59">
        <v>72</v>
      </c>
    </row>
    <row r="19" spans="2:18" ht="14.25" customHeight="1" x14ac:dyDescent="0.3">
      <c r="B19" s="91" t="s">
        <v>13</v>
      </c>
      <c r="C19" s="214"/>
      <c r="D19" s="18">
        <v>3</v>
      </c>
      <c r="E19" s="81">
        <v>1.81</v>
      </c>
      <c r="F19" s="101">
        <v>12</v>
      </c>
      <c r="G19" s="43">
        <v>112</v>
      </c>
      <c r="H19" s="43">
        <v>640</v>
      </c>
      <c r="I19" s="59">
        <v>96</v>
      </c>
      <c r="K19" s="214"/>
      <c r="L19" s="18">
        <v>3</v>
      </c>
      <c r="M19" s="81">
        <v>3.5</v>
      </c>
      <c r="N19" s="101">
        <v>12</v>
      </c>
      <c r="O19" s="43">
        <v>12</v>
      </c>
      <c r="P19" s="43">
        <v>280</v>
      </c>
      <c r="Q19" s="59">
        <v>100</v>
      </c>
    </row>
    <row r="20" spans="2:18" x14ac:dyDescent="0.3">
      <c r="B20" s="77"/>
      <c r="C20" s="214"/>
      <c r="D20" s="18">
        <v>5</v>
      </c>
      <c r="E20" s="81">
        <v>1.8</v>
      </c>
      <c r="F20" s="101">
        <v>28</v>
      </c>
      <c r="G20" s="43">
        <v>56</v>
      </c>
      <c r="H20" s="43">
        <v>435</v>
      </c>
      <c r="I20" s="59">
        <v>78</v>
      </c>
      <c r="K20" s="214"/>
      <c r="L20" s="18">
        <v>5</v>
      </c>
      <c r="M20" s="81">
        <v>3.52</v>
      </c>
      <c r="N20" s="101">
        <v>2</v>
      </c>
      <c r="O20" s="43">
        <v>4</v>
      </c>
      <c r="P20" s="43">
        <v>132</v>
      </c>
      <c r="Q20" s="59">
        <v>40</v>
      </c>
    </row>
    <row r="21" spans="2:18" x14ac:dyDescent="0.3">
      <c r="B21" s="77"/>
      <c r="C21" s="214"/>
      <c r="D21" s="18">
        <v>10</v>
      </c>
      <c r="E21" s="81">
        <v>1.73</v>
      </c>
      <c r="F21" s="101" t="s">
        <v>24</v>
      </c>
      <c r="G21" s="43">
        <v>28</v>
      </c>
      <c r="H21" s="43">
        <v>280</v>
      </c>
      <c r="I21" s="59">
        <v>53</v>
      </c>
      <c r="K21" s="214"/>
      <c r="L21" s="18">
        <v>10</v>
      </c>
      <c r="M21" s="81">
        <v>3.4</v>
      </c>
      <c r="N21" s="101">
        <v>1</v>
      </c>
      <c r="O21" s="43">
        <v>3</v>
      </c>
      <c r="P21" s="43">
        <v>18</v>
      </c>
      <c r="Q21" s="59">
        <v>1</v>
      </c>
    </row>
    <row r="22" spans="2:18" x14ac:dyDescent="0.3">
      <c r="B22" s="77"/>
      <c r="C22" s="214"/>
      <c r="D22" s="18">
        <v>30</v>
      </c>
      <c r="E22" s="81">
        <v>1.6</v>
      </c>
      <c r="F22" s="101" t="s">
        <v>24</v>
      </c>
      <c r="G22" s="43">
        <v>4</v>
      </c>
      <c r="H22" s="43">
        <v>11</v>
      </c>
      <c r="I22" s="59">
        <v>2</v>
      </c>
      <c r="K22" s="214"/>
      <c r="L22" s="18">
        <v>30</v>
      </c>
      <c r="M22" s="81">
        <v>3.18</v>
      </c>
      <c r="N22" s="101">
        <v>1</v>
      </c>
      <c r="O22" s="43">
        <v>2</v>
      </c>
      <c r="P22" s="43">
        <v>2</v>
      </c>
      <c r="Q22" s="59">
        <v>8</v>
      </c>
    </row>
    <row r="23" spans="2:18" x14ac:dyDescent="0.3">
      <c r="B23" s="77"/>
      <c r="C23" s="214"/>
      <c r="D23" s="5"/>
      <c r="E23" s="5"/>
      <c r="F23" s="4"/>
      <c r="G23" s="4"/>
      <c r="H23" s="4"/>
      <c r="I23" s="4"/>
      <c r="K23" s="214"/>
      <c r="L23" s="5"/>
      <c r="M23" s="5"/>
      <c r="N23" s="4"/>
      <c r="O23" s="4"/>
      <c r="P23" s="4"/>
      <c r="Q23" s="22"/>
    </row>
    <row r="24" spans="2:18" x14ac:dyDescent="0.3">
      <c r="B24" s="77"/>
      <c r="C24" s="11"/>
      <c r="D24" s="10"/>
      <c r="E24" s="10"/>
      <c r="F24" s="61"/>
      <c r="G24" s="61"/>
      <c r="H24" s="61"/>
      <c r="I24" s="61"/>
      <c r="K24" s="11"/>
      <c r="L24" s="10"/>
      <c r="M24" s="10"/>
      <c r="N24" s="61"/>
      <c r="O24" s="61"/>
      <c r="P24" s="61"/>
      <c r="Q24" s="23"/>
    </row>
    <row r="25" spans="2:18" ht="15" thickBot="1" x14ac:dyDescent="0.35">
      <c r="B25" s="78"/>
      <c r="C25" s="15"/>
      <c r="D25" s="15"/>
      <c r="E25" s="15"/>
      <c r="F25" s="15"/>
      <c r="G25" s="15"/>
      <c r="H25" s="15"/>
      <c r="I25" s="15"/>
      <c r="J25" s="13"/>
      <c r="K25" s="15"/>
      <c r="L25" s="15"/>
      <c r="M25" s="15"/>
      <c r="N25" s="15"/>
      <c r="O25" s="15"/>
      <c r="P25" s="15"/>
      <c r="Q25" s="94"/>
    </row>
    <row r="26" spans="2:18" x14ac:dyDescent="0.3">
      <c r="B26" s="58"/>
      <c r="C26" s="6"/>
      <c r="D26" s="6"/>
      <c r="E26" s="100"/>
      <c r="F26" s="100"/>
      <c r="G26" s="6"/>
      <c r="H26" s="6"/>
      <c r="I26" s="6"/>
      <c r="J26" s="6"/>
      <c r="K26" s="6"/>
      <c r="L26" s="6"/>
      <c r="M26" s="100"/>
      <c r="N26" s="100"/>
      <c r="O26" s="6"/>
      <c r="P26" s="6"/>
      <c r="Q26" s="8"/>
    </row>
    <row r="27" spans="2:18" ht="15" thickBot="1" x14ac:dyDescent="0.35">
      <c r="B27" s="77"/>
      <c r="C27" s="14"/>
      <c r="D27" s="15"/>
      <c r="E27" s="15"/>
      <c r="F27" s="15"/>
      <c r="G27" s="15"/>
      <c r="H27" s="15"/>
      <c r="I27" s="15"/>
      <c r="J27" s="13"/>
      <c r="K27" s="13"/>
      <c r="L27" s="15"/>
      <c r="M27" s="15"/>
      <c r="N27" s="13"/>
      <c r="O27" s="13"/>
      <c r="P27" s="13"/>
      <c r="Q27" s="16"/>
    </row>
    <row r="28" spans="2:18" ht="15" thickBot="1" x14ac:dyDescent="0.35">
      <c r="B28" s="77"/>
      <c r="C28" s="7" t="s">
        <v>42</v>
      </c>
      <c r="D28" s="6"/>
      <c r="E28" s="6" t="s">
        <v>48</v>
      </c>
      <c r="F28" s="6"/>
      <c r="G28" s="6"/>
      <c r="H28" s="6"/>
      <c r="I28" s="6"/>
      <c r="J28" s="6"/>
      <c r="K28" s="7" t="s">
        <v>42</v>
      </c>
      <c r="L28" s="6"/>
      <c r="M28" s="6" t="s">
        <v>48</v>
      </c>
      <c r="N28" s="6"/>
      <c r="O28" s="6"/>
      <c r="P28" s="6"/>
      <c r="Q28" s="8"/>
    </row>
    <row r="29" spans="2:18" x14ac:dyDescent="0.3">
      <c r="B29" s="77"/>
      <c r="C29" s="3" t="s">
        <v>3</v>
      </c>
      <c r="D29" s="3" t="s">
        <v>4</v>
      </c>
      <c r="E29" s="3" t="s">
        <v>49</v>
      </c>
      <c r="F29" s="20" t="s">
        <v>6</v>
      </c>
      <c r="G29" s="20" t="s">
        <v>7</v>
      </c>
      <c r="H29" s="20" t="s">
        <v>8</v>
      </c>
      <c r="I29" s="20" t="s">
        <v>31</v>
      </c>
      <c r="J29" s="74" t="s">
        <v>14</v>
      </c>
      <c r="K29" s="3" t="s">
        <v>3</v>
      </c>
      <c r="L29" s="3" t="s">
        <v>4</v>
      </c>
      <c r="M29" s="3" t="s">
        <v>49</v>
      </c>
      <c r="N29" s="20" t="s">
        <v>6</v>
      </c>
      <c r="O29" s="20" t="s">
        <v>7</v>
      </c>
      <c r="P29" s="20" t="s">
        <v>8</v>
      </c>
      <c r="Q29" s="21" t="s">
        <v>31</v>
      </c>
      <c r="R29" s="74" t="s">
        <v>14</v>
      </c>
    </row>
    <row r="30" spans="2:18" ht="14.25" customHeight="1" x14ac:dyDescent="0.3">
      <c r="B30" s="77"/>
      <c r="C30" s="214" t="s">
        <v>60</v>
      </c>
      <c r="D30" s="18">
        <v>0</v>
      </c>
      <c r="E30" s="81">
        <v>1.92</v>
      </c>
      <c r="F30" s="101">
        <v>180</v>
      </c>
      <c r="G30" s="43">
        <v>274</v>
      </c>
      <c r="H30" s="43">
        <v>1950</v>
      </c>
      <c r="I30" s="59">
        <v>180</v>
      </c>
      <c r="J30" s="112"/>
      <c r="K30" s="214" t="s">
        <v>60</v>
      </c>
      <c r="L30" s="18">
        <v>0</v>
      </c>
      <c r="M30" s="81">
        <v>4.04</v>
      </c>
      <c r="N30" s="101">
        <v>128</v>
      </c>
      <c r="O30" s="43">
        <v>256</v>
      </c>
      <c r="P30" s="43">
        <v>2250</v>
      </c>
      <c r="Q30" s="59">
        <v>220</v>
      </c>
      <c r="R30" s="112"/>
    </row>
    <row r="31" spans="2:18" x14ac:dyDescent="0.3">
      <c r="B31" s="77"/>
      <c r="C31" s="214"/>
      <c r="D31" s="18">
        <v>1</v>
      </c>
      <c r="E31" s="81">
        <v>1.07</v>
      </c>
      <c r="F31" s="101" t="s">
        <v>22</v>
      </c>
      <c r="G31" s="43">
        <v>8</v>
      </c>
      <c r="H31" s="43">
        <v>92</v>
      </c>
      <c r="I31" s="59">
        <v>30</v>
      </c>
      <c r="J31" s="112"/>
      <c r="K31" s="214"/>
      <c r="L31" s="18">
        <v>1</v>
      </c>
      <c r="M31" s="81">
        <v>3</v>
      </c>
      <c r="N31" s="101">
        <v>4</v>
      </c>
      <c r="O31" s="43">
        <v>8</v>
      </c>
      <c r="P31" s="43">
        <v>32</v>
      </c>
      <c r="Q31" s="59" t="s">
        <v>22</v>
      </c>
      <c r="R31" s="112"/>
    </row>
    <row r="32" spans="2:18" ht="14.25" customHeight="1" x14ac:dyDescent="0.3">
      <c r="B32" s="91" t="s">
        <v>15</v>
      </c>
      <c r="C32" s="214"/>
      <c r="D32" s="18">
        <v>3</v>
      </c>
      <c r="E32" s="81">
        <v>0.93</v>
      </c>
      <c r="F32" s="101" t="s">
        <v>22</v>
      </c>
      <c r="G32" s="43">
        <v>8</v>
      </c>
      <c r="H32" s="43">
        <v>100</v>
      </c>
      <c r="I32" s="59">
        <v>28</v>
      </c>
      <c r="J32" s="112"/>
      <c r="K32" s="214"/>
      <c r="L32" s="18">
        <v>3</v>
      </c>
      <c r="M32" s="81">
        <v>2.52</v>
      </c>
      <c r="N32" s="101" t="s">
        <v>22</v>
      </c>
      <c r="O32" s="43" t="s">
        <v>22</v>
      </c>
      <c r="P32" s="43">
        <v>4</v>
      </c>
      <c r="Q32" s="59">
        <v>4</v>
      </c>
      <c r="R32" s="112"/>
    </row>
    <row r="33" spans="2:18" x14ac:dyDescent="0.3">
      <c r="B33" s="77"/>
      <c r="C33" s="214"/>
      <c r="D33" s="18">
        <v>5</v>
      </c>
      <c r="E33" s="81">
        <v>0.9</v>
      </c>
      <c r="F33" s="101">
        <v>2</v>
      </c>
      <c r="G33" s="43">
        <v>8</v>
      </c>
      <c r="H33" s="43">
        <v>92</v>
      </c>
      <c r="I33" s="59">
        <v>12</v>
      </c>
      <c r="J33" s="112"/>
      <c r="K33" s="214"/>
      <c r="L33" s="18">
        <v>5</v>
      </c>
      <c r="M33" s="81">
        <v>2.3199999999999998</v>
      </c>
      <c r="N33" s="101" t="s">
        <v>62</v>
      </c>
      <c r="O33" s="43">
        <v>2</v>
      </c>
      <c r="P33" s="43">
        <v>4</v>
      </c>
      <c r="Q33" s="59" t="s">
        <v>62</v>
      </c>
      <c r="R33" s="112"/>
    </row>
    <row r="34" spans="2:18" x14ac:dyDescent="0.3">
      <c r="B34" s="77"/>
      <c r="C34" s="214"/>
      <c r="D34" s="18">
        <v>10</v>
      </c>
      <c r="E34" s="81">
        <v>0.85</v>
      </c>
      <c r="F34" s="101">
        <v>1</v>
      </c>
      <c r="G34" s="43">
        <v>9</v>
      </c>
      <c r="H34" s="43">
        <v>50</v>
      </c>
      <c r="I34" s="59">
        <v>9</v>
      </c>
      <c r="J34" s="115">
        <v>9.6000000000000002E-2</v>
      </c>
      <c r="K34" s="214"/>
      <c r="L34" s="18">
        <v>10</v>
      </c>
      <c r="M34" s="81">
        <v>1.92</v>
      </c>
      <c r="N34" s="101" t="s">
        <v>24</v>
      </c>
      <c r="O34" s="43" t="s">
        <v>24</v>
      </c>
      <c r="P34" s="43">
        <v>1</v>
      </c>
      <c r="Q34" s="59">
        <v>1</v>
      </c>
      <c r="R34" s="115">
        <v>1.6E-2</v>
      </c>
    </row>
    <row r="35" spans="2:18" ht="15" thickBot="1" x14ac:dyDescent="0.35">
      <c r="B35" s="77"/>
      <c r="C35" s="214"/>
      <c r="D35" s="18">
        <v>30</v>
      </c>
      <c r="E35" s="81">
        <v>0.78</v>
      </c>
      <c r="F35" s="101" t="s">
        <v>24</v>
      </c>
      <c r="G35" s="43">
        <v>1</v>
      </c>
      <c r="H35" s="43">
        <v>23</v>
      </c>
      <c r="I35" s="59">
        <v>1</v>
      </c>
      <c r="J35" s="115">
        <v>9.1999999999999998E-2</v>
      </c>
      <c r="K35" s="214"/>
      <c r="L35" s="18">
        <v>30</v>
      </c>
      <c r="M35" s="102">
        <v>1.3</v>
      </c>
      <c r="N35" s="103" t="s">
        <v>24</v>
      </c>
      <c r="O35" s="45" t="s">
        <v>24</v>
      </c>
      <c r="P35" s="45">
        <v>1</v>
      </c>
      <c r="Q35" s="104">
        <v>1</v>
      </c>
      <c r="R35" s="115">
        <v>2.7E-2</v>
      </c>
    </row>
    <row r="36" spans="2:18" ht="15" customHeight="1" x14ac:dyDescent="0.3">
      <c r="B36" s="77"/>
      <c r="C36" s="214"/>
      <c r="D36" s="5"/>
      <c r="E36" s="5"/>
      <c r="F36" s="4"/>
      <c r="G36" s="4"/>
      <c r="H36" s="4"/>
      <c r="I36" s="4"/>
      <c r="J36" s="117"/>
      <c r="K36" s="214"/>
      <c r="L36" s="5"/>
      <c r="M36" s="5"/>
      <c r="N36" s="4"/>
      <c r="O36" s="4"/>
      <c r="P36" s="4"/>
      <c r="Q36" s="118"/>
      <c r="R36" s="117"/>
    </row>
    <row r="37" spans="2:18" x14ac:dyDescent="0.3">
      <c r="B37" s="77"/>
      <c r="C37" s="11"/>
      <c r="D37" s="10"/>
      <c r="E37" s="10"/>
      <c r="F37" s="61"/>
      <c r="G37" s="61"/>
      <c r="H37" s="61"/>
      <c r="I37" s="61"/>
      <c r="K37" s="11"/>
      <c r="L37" s="10"/>
      <c r="M37" s="10"/>
      <c r="N37" s="61"/>
      <c r="O37" s="61"/>
      <c r="P37" s="61"/>
      <c r="Q37" s="23"/>
    </row>
    <row r="38" spans="2:18" ht="15" thickBot="1" x14ac:dyDescent="0.35">
      <c r="B38" s="78"/>
      <c r="C38" s="15"/>
      <c r="D38" s="15"/>
      <c r="E38" s="15"/>
      <c r="F38" s="15"/>
      <c r="G38" s="15"/>
      <c r="H38" s="15"/>
      <c r="I38" s="15"/>
      <c r="J38" s="13"/>
      <c r="K38" s="15"/>
      <c r="L38" s="15"/>
      <c r="M38" s="15"/>
      <c r="N38" s="15"/>
      <c r="O38" s="15"/>
      <c r="P38" s="15"/>
      <c r="Q38" s="94"/>
    </row>
    <row r="39" spans="2:18" ht="15" customHeight="1" x14ac:dyDescent="0.3">
      <c r="B39" s="58"/>
      <c r="C39" s="6"/>
      <c r="D39" s="6"/>
      <c r="E39" s="100"/>
      <c r="F39" s="100"/>
      <c r="G39" s="6"/>
      <c r="H39" s="6"/>
      <c r="I39" s="6"/>
      <c r="J39" s="6"/>
      <c r="K39" s="6"/>
      <c r="L39" s="6"/>
      <c r="M39" s="100"/>
      <c r="N39" s="100"/>
      <c r="O39" s="6"/>
      <c r="P39" s="6"/>
      <c r="Q39" s="8"/>
    </row>
    <row r="40" spans="2:18" ht="15" thickBot="1" x14ac:dyDescent="0.35">
      <c r="B40" s="77"/>
      <c r="C40" s="14"/>
      <c r="D40" s="15"/>
      <c r="E40" s="15"/>
      <c r="F40" s="15"/>
      <c r="G40" s="15"/>
      <c r="H40" s="15"/>
      <c r="I40" s="15"/>
      <c r="J40" s="13"/>
      <c r="K40" s="13"/>
      <c r="L40" s="15"/>
      <c r="M40" s="15"/>
      <c r="N40" s="13"/>
      <c r="O40" s="13"/>
      <c r="P40" s="13"/>
      <c r="Q40" s="16"/>
    </row>
    <row r="41" spans="2:18" ht="15" thickBot="1" x14ac:dyDescent="0.35">
      <c r="B41" s="77"/>
      <c r="C41" s="7" t="s">
        <v>42</v>
      </c>
      <c r="D41" s="6"/>
      <c r="E41" s="6" t="s">
        <v>48</v>
      </c>
      <c r="F41" s="6"/>
      <c r="G41" s="6"/>
      <c r="H41" s="6"/>
      <c r="I41" s="6"/>
      <c r="J41" s="6"/>
      <c r="K41" s="7" t="s">
        <v>42</v>
      </c>
      <c r="L41" s="6"/>
      <c r="M41" s="6" t="s">
        <v>48</v>
      </c>
      <c r="N41" s="6"/>
      <c r="O41" s="6"/>
      <c r="P41" s="6"/>
      <c r="Q41" s="8"/>
    </row>
    <row r="42" spans="2:18" ht="15" thickBot="1" x14ac:dyDescent="0.35">
      <c r="B42" s="77"/>
      <c r="C42" s="3" t="s">
        <v>3</v>
      </c>
      <c r="D42" s="3" t="s">
        <v>4</v>
      </c>
      <c r="E42" s="3" t="s">
        <v>49</v>
      </c>
      <c r="F42" s="20" t="s">
        <v>6</v>
      </c>
      <c r="G42" s="20" t="s">
        <v>7</v>
      </c>
      <c r="H42" s="20" t="s">
        <v>8</v>
      </c>
      <c r="I42" s="20" t="s">
        <v>31</v>
      </c>
      <c r="K42" s="3" t="s">
        <v>3</v>
      </c>
      <c r="L42" s="3" t="s">
        <v>4</v>
      </c>
      <c r="M42" s="3" t="s">
        <v>49</v>
      </c>
      <c r="N42" s="20" t="s">
        <v>6</v>
      </c>
      <c r="O42" s="20" t="s">
        <v>7</v>
      </c>
      <c r="P42" s="20" t="s">
        <v>8</v>
      </c>
      <c r="Q42" s="21" t="s">
        <v>31</v>
      </c>
    </row>
    <row r="43" spans="2:18" ht="14.25" customHeight="1" x14ac:dyDescent="0.3">
      <c r="B43" s="77"/>
      <c r="C43" s="214" t="s">
        <v>60</v>
      </c>
      <c r="D43" s="18">
        <v>0</v>
      </c>
      <c r="E43" s="105">
        <v>1.92</v>
      </c>
      <c r="F43" s="101">
        <v>180</v>
      </c>
      <c r="G43" s="43">
        <v>274</v>
      </c>
      <c r="H43" s="43">
        <v>1950</v>
      </c>
      <c r="I43" s="59">
        <v>180</v>
      </c>
      <c r="K43" s="214" t="s">
        <v>60</v>
      </c>
      <c r="L43" s="18">
        <v>0</v>
      </c>
      <c r="M43" s="89">
        <v>4.04</v>
      </c>
      <c r="N43" s="101">
        <v>128</v>
      </c>
      <c r="O43" s="43">
        <v>256</v>
      </c>
      <c r="P43" s="43">
        <v>2250</v>
      </c>
      <c r="Q43" s="59">
        <v>220</v>
      </c>
    </row>
    <row r="44" spans="2:18" x14ac:dyDescent="0.3">
      <c r="B44" s="77"/>
      <c r="C44" s="214"/>
      <c r="D44" s="18">
        <v>1</v>
      </c>
      <c r="E44" s="88">
        <v>0.28999999999999998</v>
      </c>
      <c r="F44" s="101" t="s">
        <v>22</v>
      </c>
      <c r="G44" s="43">
        <v>8</v>
      </c>
      <c r="H44" s="43">
        <v>92</v>
      </c>
      <c r="I44" s="59">
        <v>30</v>
      </c>
      <c r="K44" s="214"/>
      <c r="L44" s="18">
        <v>1</v>
      </c>
      <c r="M44" s="89">
        <v>1.59</v>
      </c>
      <c r="N44" s="101">
        <v>4</v>
      </c>
      <c r="O44" s="43">
        <v>8</v>
      </c>
      <c r="P44" s="43">
        <v>32</v>
      </c>
      <c r="Q44" s="59" t="s">
        <v>22</v>
      </c>
    </row>
    <row r="45" spans="2:18" ht="14.25" customHeight="1" x14ac:dyDescent="0.3">
      <c r="B45" s="91" t="s">
        <v>17</v>
      </c>
      <c r="C45" s="214"/>
      <c r="D45" s="18">
        <v>3</v>
      </c>
      <c r="E45" s="88">
        <v>0.14000000000000001</v>
      </c>
      <c r="F45" s="101" t="s">
        <v>22</v>
      </c>
      <c r="G45" s="43">
        <v>8</v>
      </c>
      <c r="H45" s="43">
        <v>100</v>
      </c>
      <c r="I45" s="59">
        <v>28</v>
      </c>
      <c r="K45" s="214"/>
      <c r="L45" s="18">
        <v>3</v>
      </c>
      <c r="M45" s="89">
        <v>1.27</v>
      </c>
      <c r="N45" s="101" t="s">
        <v>22</v>
      </c>
      <c r="O45" s="43" t="s">
        <v>22</v>
      </c>
      <c r="P45" s="43">
        <v>4</v>
      </c>
      <c r="Q45" s="59">
        <v>4</v>
      </c>
    </row>
    <row r="46" spans="2:18" x14ac:dyDescent="0.3">
      <c r="B46" s="77"/>
      <c r="C46" s="214"/>
      <c r="D46" s="18">
        <v>5</v>
      </c>
      <c r="E46" s="88">
        <v>0.14000000000000001</v>
      </c>
      <c r="F46" s="101">
        <v>2</v>
      </c>
      <c r="G46" s="43">
        <v>8</v>
      </c>
      <c r="H46" s="43">
        <v>92</v>
      </c>
      <c r="I46" s="59">
        <v>12</v>
      </c>
      <c r="K46" s="214"/>
      <c r="L46" s="18">
        <v>5</v>
      </c>
      <c r="M46" s="89">
        <v>1.17</v>
      </c>
      <c r="N46" s="101" t="s">
        <v>62</v>
      </c>
      <c r="O46" s="43">
        <v>2</v>
      </c>
      <c r="P46" s="43">
        <v>4</v>
      </c>
      <c r="Q46" s="59" t="s">
        <v>62</v>
      </c>
    </row>
    <row r="47" spans="2:18" x14ac:dyDescent="0.3">
      <c r="B47" s="77"/>
      <c r="C47" s="214"/>
      <c r="D47" s="18">
        <v>10</v>
      </c>
      <c r="E47" s="88">
        <v>0.12</v>
      </c>
      <c r="F47" s="101">
        <v>1</v>
      </c>
      <c r="G47" s="43">
        <v>9</v>
      </c>
      <c r="H47" s="43">
        <v>50</v>
      </c>
      <c r="I47" s="59">
        <v>9</v>
      </c>
      <c r="K47" s="214"/>
      <c r="L47" s="18">
        <v>10</v>
      </c>
      <c r="M47" s="89">
        <v>0.94</v>
      </c>
      <c r="N47" s="101" t="s">
        <v>24</v>
      </c>
      <c r="O47" s="43" t="s">
        <v>24</v>
      </c>
      <c r="P47" s="43">
        <v>1</v>
      </c>
      <c r="Q47" s="59">
        <v>1</v>
      </c>
    </row>
    <row r="48" spans="2:18" ht="15" thickBot="1" x14ac:dyDescent="0.35">
      <c r="B48" s="77"/>
      <c r="C48" s="214"/>
      <c r="D48" s="18">
        <v>30</v>
      </c>
      <c r="E48" s="88">
        <v>0.1</v>
      </c>
      <c r="F48" s="101" t="s">
        <v>24</v>
      </c>
      <c r="G48" s="43">
        <v>1</v>
      </c>
      <c r="H48" s="43">
        <v>23</v>
      </c>
      <c r="I48" s="59">
        <v>1</v>
      </c>
      <c r="K48" s="214"/>
      <c r="L48" s="18">
        <v>30</v>
      </c>
      <c r="M48" s="95">
        <v>0.52</v>
      </c>
      <c r="N48" s="103" t="s">
        <v>24</v>
      </c>
      <c r="O48" s="45" t="s">
        <v>24</v>
      </c>
      <c r="P48" s="45">
        <v>1</v>
      </c>
      <c r="Q48" s="104">
        <v>1</v>
      </c>
    </row>
    <row r="49" spans="2:17" x14ac:dyDescent="0.3">
      <c r="B49" s="77"/>
      <c r="C49" s="214"/>
      <c r="D49" s="5"/>
      <c r="E49" s="5"/>
      <c r="F49" s="4"/>
      <c r="G49" s="4"/>
      <c r="H49" s="4"/>
      <c r="I49" s="4"/>
      <c r="K49" s="214"/>
      <c r="L49" s="5"/>
      <c r="M49" s="5"/>
      <c r="N49" s="4"/>
      <c r="O49" s="4"/>
      <c r="P49" s="4"/>
      <c r="Q49" s="22"/>
    </row>
    <row r="50" spans="2:17" x14ac:dyDescent="0.3">
      <c r="B50" s="77"/>
      <c r="C50" s="11"/>
      <c r="D50" s="10"/>
      <c r="E50" s="10"/>
      <c r="F50" s="61"/>
      <c r="G50" s="61"/>
      <c r="H50" s="61"/>
      <c r="I50" s="61"/>
      <c r="K50" s="11"/>
      <c r="L50" s="10"/>
      <c r="M50" s="10"/>
      <c r="N50" s="61"/>
      <c r="O50" s="61"/>
      <c r="P50" s="61"/>
      <c r="Q50" s="23"/>
    </row>
    <row r="51" spans="2:17" x14ac:dyDescent="0.3">
      <c r="B51" s="77"/>
      <c r="C51" s="11"/>
      <c r="D51" s="11"/>
      <c r="E51" s="11"/>
      <c r="F51" s="11"/>
      <c r="G51" s="11"/>
      <c r="H51" s="11"/>
      <c r="I51" s="11"/>
      <c r="K51" s="11"/>
      <c r="L51" s="11"/>
      <c r="M51" s="11"/>
      <c r="N51" s="11"/>
      <c r="O51" s="11"/>
      <c r="P51" s="11"/>
      <c r="Q51" s="84"/>
    </row>
    <row r="52" spans="2:17" ht="15" customHeight="1" x14ac:dyDescent="0.3">
      <c r="B52" s="77"/>
      <c r="E52" s="11"/>
      <c r="F52" s="11"/>
      <c r="M52" s="11"/>
      <c r="N52" s="11"/>
      <c r="Q52" s="9"/>
    </row>
    <row r="53" spans="2:17" ht="15" thickBot="1" x14ac:dyDescent="0.35">
      <c r="B53" s="78"/>
      <c r="C53" s="14"/>
      <c r="D53" s="15"/>
      <c r="E53" s="15"/>
      <c r="F53" s="15"/>
      <c r="G53" s="15"/>
      <c r="H53" s="15"/>
      <c r="I53" s="15"/>
      <c r="J53" s="13"/>
      <c r="K53" s="13"/>
      <c r="L53" s="15"/>
      <c r="M53" s="15"/>
      <c r="N53" s="13"/>
      <c r="O53" s="13"/>
      <c r="P53" s="13"/>
      <c r="Q53" s="16"/>
    </row>
    <row r="55" spans="2:17" ht="14.7" customHeight="1" x14ac:dyDescent="0.3"/>
    <row r="56" spans="2:17" ht="14.25" customHeight="1" x14ac:dyDescent="0.3"/>
    <row r="57" spans="2:17" ht="15" customHeight="1" x14ac:dyDescent="0.3"/>
    <row r="58" spans="2:17" ht="14.25" customHeight="1" x14ac:dyDescent="0.3"/>
    <row r="107" spans="2:2" ht="15" thickBot="1" x14ac:dyDescent="0.35">
      <c r="B107" s="13"/>
    </row>
    <row r="108" spans="2:2" ht="14.7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7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3:C49"/>
    <mergeCell ref="K43:K49"/>
    <mergeCell ref="C4:C10"/>
    <mergeCell ref="K4:K10"/>
    <mergeCell ref="C17:C23"/>
    <mergeCell ref="K17:K23"/>
    <mergeCell ref="C30:C36"/>
    <mergeCell ref="K30:K36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213"/>
  <sheetViews>
    <sheetView zoomScale="80" zoomScaleNormal="80" workbookViewId="0">
      <selection activeCell="AI6" sqref="AI6"/>
    </sheetView>
  </sheetViews>
  <sheetFormatPr defaultColWidth="9.109375" defaultRowHeight="14.4" x14ac:dyDescent="0.3"/>
  <cols>
    <col min="1" max="1" width="55.109375" style="2" bestFit="1" customWidth="1"/>
    <col min="2" max="2" width="25.44140625" style="2" bestFit="1" customWidth="1"/>
    <col min="3" max="3" width="10.6640625" style="2" bestFit="1" customWidth="1"/>
    <col min="4" max="4" width="6.88671875" style="2" customWidth="1"/>
    <col min="5" max="5" width="8.44140625" style="2" customWidth="1"/>
    <col min="6" max="6" width="10.33203125" style="2" customWidth="1"/>
    <col min="7" max="7" width="9.109375" style="2" customWidth="1"/>
    <col min="8" max="8" width="5.44140625" style="2" customWidth="1"/>
    <col min="9" max="9" width="7.44140625" style="2" customWidth="1"/>
    <col min="10" max="10" width="12.88671875" style="2" customWidth="1"/>
    <col min="11" max="11" width="9.109375" style="2"/>
    <col min="12" max="12" width="6.44140625" style="2" customWidth="1"/>
    <col min="13" max="13" width="6.109375" style="2" customWidth="1"/>
    <col min="14" max="14" width="7.5546875" style="2" customWidth="1"/>
    <col min="15" max="15" width="4.33203125" style="2" customWidth="1"/>
    <col min="16" max="16" width="7.5546875" style="2" customWidth="1"/>
    <col min="17" max="17" width="4.88671875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63</v>
      </c>
    </row>
    <row r="2" spans="1:23" ht="25.8" x14ac:dyDescent="0.5">
      <c r="A2" s="51" t="s">
        <v>64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5.8" x14ac:dyDescent="0.5">
      <c r="A3" s="51" t="s">
        <v>65</v>
      </c>
      <c r="B3" s="77"/>
      <c r="C3" s="3" t="s">
        <v>3</v>
      </c>
      <c r="D3" s="3" t="s">
        <v>4</v>
      </c>
      <c r="E3" s="3" t="s">
        <v>44</v>
      </c>
      <c r="F3" s="74" t="s">
        <v>6</v>
      </c>
      <c r="G3" s="74" t="s">
        <v>7</v>
      </c>
      <c r="H3" s="74" t="s">
        <v>8</v>
      </c>
      <c r="I3" s="79" t="s">
        <v>9</v>
      </c>
      <c r="K3" s="3" t="s">
        <v>3</v>
      </c>
      <c r="L3" s="3" t="s">
        <v>4</v>
      </c>
      <c r="M3" s="3" t="s">
        <v>44</v>
      </c>
      <c r="N3" s="74" t="s">
        <v>6</v>
      </c>
      <c r="O3" s="74" t="s">
        <v>7</v>
      </c>
      <c r="P3" s="74" t="s">
        <v>8</v>
      </c>
      <c r="Q3" s="106" t="s">
        <v>31</v>
      </c>
      <c r="S3" s="1"/>
      <c r="U3" s="1"/>
      <c r="W3" s="1"/>
    </row>
    <row r="4" spans="1:23" ht="25.8" x14ac:dyDescent="0.5">
      <c r="A4" s="52">
        <v>45355</v>
      </c>
      <c r="B4" s="77"/>
      <c r="C4" s="213" t="s">
        <v>66</v>
      </c>
      <c r="D4" s="18">
        <v>0</v>
      </c>
      <c r="E4" s="43">
        <v>1</v>
      </c>
      <c r="F4" s="43" t="s">
        <v>22</v>
      </c>
      <c r="G4" s="43" t="s">
        <v>22</v>
      </c>
      <c r="H4" s="43">
        <v>180</v>
      </c>
      <c r="I4" s="43">
        <v>30</v>
      </c>
      <c r="K4" s="213" t="s">
        <v>66</v>
      </c>
      <c r="L4" s="18">
        <v>0</v>
      </c>
      <c r="M4" s="43">
        <v>2</v>
      </c>
      <c r="N4" s="43" t="s">
        <v>22</v>
      </c>
      <c r="O4" s="43">
        <v>20</v>
      </c>
      <c r="P4" s="43">
        <v>216</v>
      </c>
      <c r="Q4" s="59" t="s">
        <v>22</v>
      </c>
      <c r="S4" s="1"/>
      <c r="U4" s="1"/>
    </row>
    <row r="5" spans="1:23" x14ac:dyDescent="0.3">
      <c r="B5" s="77"/>
      <c r="C5" s="213"/>
      <c r="D5" s="18">
        <v>1</v>
      </c>
      <c r="E5" s="43">
        <v>0.93</v>
      </c>
      <c r="F5" s="43" t="s">
        <v>22</v>
      </c>
      <c r="G5" s="43" t="s">
        <v>22</v>
      </c>
      <c r="H5" s="43">
        <v>220</v>
      </c>
      <c r="I5" s="43">
        <v>20</v>
      </c>
      <c r="K5" s="213"/>
      <c r="L5" s="18">
        <v>1</v>
      </c>
      <c r="M5" s="43">
        <v>2.0699999999999998</v>
      </c>
      <c r="N5" s="43" t="s">
        <v>22</v>
      </c>
      <c r="O5" s="43" t="s">
        <v>22</v>
      </c>
      <c r="P5" s="43" t="s">
        <v>22</v>
      </c>
      <c r="Q5" s="59" t="s">
        <v>22</v>
      </c>
    </row>
    <row r="6" spans="1:23" ht="25.8" x14ac:dyDescent="0.5">
      <c r="A6" s="51" t="s">
        <v>67</v>
      </c>
      <c r="B6" s="91" t="s">
        <v>12</v>
      </c>
      <c r="C6" s="213"/>
      <c r="D6" s="18">
        <v>3</v>
      </c>
      <c r="E6" s="43">
        <v>0.87</v>
      </c>
      <c r="F6" s="43" t="s">
        <v>22</v>
      </c>
      <c r="G6" s="43" t="s">
        <v>22</v>
      </c>
      <c r="H6" s="43">
        <v>12</v>
      </c>
      <c r="I6" s="43">
        <v>4</v>
      </c>
      <c r="K6" s="213"/>
      <c r="L6" s="18">
        <v>3</v>
      </c>
      <c r="M6" s="43">
        <v>1.66</v>
      </c>
      <c r="N6" s="43" t="s">
        <v>22</v>
      </c>
      <c r="O6" s="43" t="s">
        <v>22</v>
      </c>
      <c r="P6" s="43" t="s">
        <v>22</v>
      </c>
      <c r="Q6" s="59" t="s">
        <v>22</v>
      </c>
    </row>
    <row r="7" spans="1:23" x14ac:dyDescent="0.3">
      <c r="B7" s="77"/>
      <c r="C7" s="213"/>
      <c r="D7" s="18">
        <v>5</v>
      </c>
      <c r="E7" s="43">
        <v>0.85</v>
      </c>
      <c r="F7" s="43" t="s">
        <v>22</v>
      </c>
      <c r="G7" s="43" t="s">
        <v>22</v>
      </c>
      <c r="H7" s="43">
        <v>8</v>
      </c>
      <c r="I7" s="43" t="s">
        <v>22</v>
      </c>
      <c r="K7" s="213"/>
      <c r="L7" s="18">
        <v>5</v>
      </c>
      <c r="M7" s="43">
        <v>1.79</v>
      </c>
      <c r="N7" s="43" t="s">
        <v>22</v>
      </c>
      <c r="O7" s="43" t="s">
        <v>22</v>
      </c>
      <c r="P7" s="43" t="s">
        <v>22</v>
      </c>
      <c r="Q7" s="59" t="s">
        <v>22</v>
      </c>
    </row>
    <row r="8" spans="1:23" x14ac:dyDescent="0.3">
      <c r="B8" s="77"/>
      <c r="C8" s="213"/>
      <c r="D8" s="18">
        <v>10</v>
      </c>
      <c r="E8" s="43">
        <v>0.81</v>
      </c>
      <c r="F8" s="43" t="s">
        <v>24</v>
      </c>
      <c r="G8" s="43">
        <v>1</v>
      </c>
      <c r="H8" s="43">
        <v>231</v>
      </c>
      <c r="I8" s="43">
        <v>1</v>
      </c>
      <c r="K8" s="213"/>
      <c r="L8" s="18">
        <v>10</v>
      </c>
      <c r="M8" s="43">
        <v>1.46</v>
      </c>
      <c r="N8" s="43" t="s">
        <v>24</v>
      </c>
      <c r="O8" s="43" t="s">
        <v>24</v>
      </c>
      <c r="P8" s="43">
        <v>3</v>
      </c>
      <c r="Q8" s="59" t="s">
        <v>24</v>
      </c>
    </row>
    <row r="9" spans="1:23" ht="23.4" x14ac:dyDescent="0.45">
      <c r="A9" s="109" t="s">
        <v>68</v>
      </c>
      <c r="B9" s="77"/>
      <c r="C9" s="213"/>
      <c r="D9" s="18">
        <v>30</v>
      </c>
      <c r="E9" s="43">
        <v>0.64</v>
      </c>
      <c r="F9" s="43" t="s">
        <v>24</v>
      </c>
      <c r="G9" s="43">
        <v>2</v>
      </c>
      <c r="H9" s="43">
        <v>180</v>
      </c>
      <c r="I9" s="43" t="s">
        <v>24</v>
      </c>
      <c r="K9" s="213"/>
      <c r="L9" s="18">
        <v>30</v>
      </c>
      <c r="M9" s="43">
        <v>1.23</v>
      </c>
      <c r="N9" s="43" t="s">
        <v>24</v>
      </c>
      <c r="O9" s="43" t="s">
        <v>24</v>
      </c>
      <c r="P9" s="43">
        <v>2</v>
      </c>
      <c r="Q9" s="59" t="s">
        <v>24</v>
      </c>
    </row>
    <row r="10" spans="1:23" x14ac:dyDescent="0.3">
      <c r="B10" s="77"/>
      <c r="C10" s="213"/>
      <c r="D10" s="5"/>
      <c r="E10" s="5"/>
      <c r="F10" s="4"/>
      <c r="G10" s="4"/>
      <c r="H10" s="4"/>
      <c r="I10" s="4"/>
      <c r="K10" s="213"/>
      <c r="L10" s="5"/>
      <c r="M10" s="5"/>
      <c r="N10" s="4"/>
      <c r="O10" s="4"/>
      <c r="P10" s="4"/>
      <c r="Q10" s="22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x14ac:dyDescent="0.3">
      <c r="B13" s="58"/>
      <c r="C13" s="6"/>
      <c r="D13" s="6"/>
      <c r="E13" s="100"/>
      <c r="F13" s="100"/>
      <c r="G13" s="6"/>
      <c r="H13" s="6"/>
      <c r="I13" s="6"/>
      <c r="J13" s="6"/>
      <c r="K13" s="6"/>
      <c r="L13" s="6"/>
      <c r="M13" s="100"/>
      <c r="N13" s="100"/>
      <c r="O13" s="6"/>
      <c r="P13" s="6"/>
      <c r="Q13" s="8"/>
    </row>
    <row r="14" spans="1:23" ht="15" thickBot="1" x14ac:dyDescent="0.35">
      <c r="B14" s="77"/>
      <c r="C14" s="14"/>
      <c r="D14" s="15"/>
      <c r="E14" s="15"/>
      <c r="F14" s="15"/>
      <c r="G14" s="15"/>
      <c r="H14" s="15"/>
      <c r="I14" s="15"/>
      <c r="J14" s="13"/>
      <c r="K14" s="13"/>
      <c r="L14" s="15"/>
      <c r="M14" s="15"/>
      <c r="N14" s="13"/>
      <c r="O14" s="13"/>
      <c r="P14" s="13"/>
      <c r="Q14" s="16"/>
    </row>
    <row r="15" spans="1:23" ht="15" thickBot="1" x14ac:dyDescent="0.35">
      <c r="B15" s="77"/>
      <c r="C15" s="7" t="s">
        <v>42</v>
      </c>
      <c r="D15" s="6"/>
      <c r="E15" s="6" t="s">
        <v>47</v>
      </c>
      <c r="F15" s="6"/>
      <c r="G15" s="6"/>
      <c r="H15" s="6"/>
      <c r="I15" s="6"/>
      <c r="J15" s="6"/>
      <c r="K15" s="7" t="s">
        <v>42</v>
      </c>
      <c r="L15" s="6"/>
      <c r="M15" s="6" t="s">
        <v>47</v>
      </c>
      <c r="N15" s="6"/>
      <c r="O15" s="6"/>
      <c r="P15" s="6"/>
      <c r="Q15" s="8"/>
    </row>
    <row r="16" spans="1:23" x14ac:dyDescent="0.3">
      <c r="B16" s="77"/>
      <c r="C16" s="3" t="s">
        <v>3</v>
      </c>
      <c r="D16" s="3" t="s">
        <v>4</v>
      </c>
      <c r="E16" s="3" t="s">
        <v>55</v>
      </c>
      <c r="F16" s="20" t="s">
        <v>6</v>
      </c>
      <c r="G16" s="20" t="s">
        <v>7</v>
      </c>
      <c r="H16" s="20" t="s">
        <v>8</v>
      </c>
      <c r="I16" s="20" t="s">
        <v>31</v>
      </c>
      <c r="K16" s="3" t="s">
        <v>3</v>
      </c>
      <c r="L16" s="3" t="s">
        <v>4</v>
      </c>
      <c r="M16" s="3" t="s">
        <v>55</v>
      </c>
      <c r="N16" s="20" t="s">
        <v>6</v>
      </c>
      <c r="O16" s="20" t="s">
        <v>7</v>
      </c>
      <c r="P16" s="20" t="s">
        <v>8</v>
      </c>
      <c r="Q16" s="21" t="s">
        <v>31</v>
      </c>
    </row>
    <row r="17" spans="2:18" ht="15" customHeight="1" x14ac:dyDescent="0.3">
      <c r="B17" s="77"/>
      <c r="C17" s="214" t="s">
        <v>66</v>
      </c>
      <c r="D17" s="18">
        <v>0</v>
      </c>
      <c r="E17" s="64">
        <v>2</v>
      </c>
      <c r="F17" s="101" t="s">
        <v>22</v>
      </c>
      <c r="G17" s="43">
        <v>920</v>
      </c>
      <c r="H17" s="43">
        <v>1340</v>
      </c>
      <c r="I17" s="59">
        <v>248</v>
      </c>
      <c r="K17" s="214" t="s">
        <v>66</v>
      </c>
      <c r="L17" s="18">
        <v>0</v>
      </c>
      <c r="M17" s="64">
        <v>4.12</v>
      </c>
      <c r="N17" s="101" t="s">
        <v>22</v>
      </c>
      <c r="O17" s="43" t="s">
        <v>22</v>
      </c>
      <c r="P17" s="43">
        <v>172</v>
      </c>
      <c r="Q17" s="59">
        <v>28</v>
      </c>
    </row>
    <row r="18" spans="2:18" x14ac:dyDescent="0.3">
      <c r="B18" s="77"/>
      <c r="C18" s="214"/>
      <c r="D18" s="18">
        <v>1</v>
      </c>
      <c r="E18" s="64">
        <v>1.97</v>
      </c>
      <c r="F18" s="101" t="s">
        <v>22</v>
      </c>
      <c r="G18" s="43">
        <v>424</v>
      </c>
      <c r="H18" s="43">
        <v>1220</v>
      </c>
      <c r="I18" s="59">
        <v>204</v>
      </c>
      <c r="K18" s="214"/>
      <c r="L18" s="18">
        <v>1</v>
      </c>
      <c r="M18" s="64">
        <v>3.84</v>
      </c>
      <c r="N18" s="101" t="s">
        <v>22</v>
      </c>
      <c r="O18" s="43" t="s">
        <v>22</v>
      </c>
      <c r="P18" s="43">
        <v>552</v>
      </c>
      <c r="Q18" s="59">
        <v>8</v>
      </c>
    </row>
    <row r="19" spans="2:18" ht="14.25" customHeight="1" x14ac:dyDescent="0.3">
      <c r="B19" s="91" t="s">
        <v>13</v>
      </c>
      <c r="C19" s="214"/>
      <c r="D19" s="18">
        <v>3</v>
      </c>
      <c r="E19" s="64">
        <v>1.88</v>
      </c>
      <c r="F19" s="101" t="s">
        <v>22</v>
      </c>
      <c r="G19" s="43">
        <v>40</v>
      </c>
      <c r="H19" s="43">
        <v>928</v>
      </c>
      <c r="I19" s="59">
        <v>176</v>
      </c>
      <c r="K19" s="214"/>
      <c r="L19" s="18">
        <v>3</v>
      </c>
      <c r="M19" s="64">
        <v>3.89</v>
      </c>
      <c r="N19" s="101" t="s">
        <v>22</v>
      </c>
      <c r="O19" s="43" t="s">
        <v>22</v>
      </c>
      <c r="P19" s="43">
        <v>271</v>
      </c>
      <c r="Q19" s="59">
        <v>24</v>
      </c>
    </row>
    <row r="20" spans="2:18" x14ac:dyDescent="0.3">
      <c r="B20" s="77"/>
      <c r="C20" s="214"/>
      <c r="D20" s="18">
        <v>5</v>
      </c>
      <c r="E20" s="64">
        <v>1.88</v>
      </c>
      <c r="F20" s="101" t="s">
        <v>22</v>
      </c>
      <c r="G20" s="43" t="s">
        <v>22</v>
      </c>
      <c r="H20" s="43">
        <v>736</v>
      </c>
      <c r="I20" s="59">
        <v>168</v>
      </c>
      <c r="K20" s="214"/>
      <c r="L20" s="18">
        <v>5</v>
      </c>
      <c r="M20" s="64">
        <v>3.85</v>
      </c>
      <c r="N20" s="101" t="s">
        <v>22</v>
      </c>
      <c r="O20" s="43" t="s">
        <v>22</v>
      </c>
      <c r="P20" s="43">
        <v>42</v>
      </c>
      <c r="Q20" s="59">
        <v>4</v>
      </c>
    </row>
    <row r="21" spans="2:18" x14ac:dyDescent="0.3">
      <c r="B21" s="77"/>
      <c r="C21" s="214"/>
      <c r="D21" s="18">
        <v>10</v>
      </c>
      <c r="E21" s="64">
        <v>1.87</v>
      </c>
      <c r="F21" s="101" t="s">
        <v>24</v>
      </c>
      <c r="G21" s="43" t="s">
        <v>24</v>
      </c>
      <c r="H21" s="43">
        <v>240</v>
      </c>
      <c r="I21" s="59">
        <v>33</v>
      </c>
      <c r="K21" s="214"/>
      <c r="L21" s="18">
        <v>10</v>
      </c>
      <c r="M21" s="64">
        <v>3.84</v>
      </c>
      <c r="N21" s="101" t="s">
        <v>24</v>
      </c>
      <c r="O21" s="43" t="s">
        <v>24</v>
      </c>
      <c r="P21" s="43">
        <v>29</v>
      </c>
      <c r="Q21" s="59">
        <v>2</v>
      </c>
    </row>
    <row r="22" spans="2:18" x14ac:dyDescent="0.3">
      <c r="B22" s="77"/>
      <c r="C22" s="214"/>
      <c r="D22" s="18">
        <v>30</v>
      </c>
      <c r="E22" s="64">
        <v>1.74</v>
      </c>
      <c r="F22" s="101" t="s">
        <v>24</v>
      </c>
      <c r="G22" s="43" t="s">
        <v>24</v>
      </c>
      <c r="H22" s="43">
        <v>13</v>
      </c>
      <c r="I22" s="59">
        <v>1</v>
      </c>
      <c r="K22" s="214"/>
      <c r="L22" s="18">
        <v>30</v>
      </c>
      <c r="M22" s="64">
        <v>3.59</v>
      </c>
      <c r="N22" s="101">
        <v>1</v>
      </c>
      <c r="O22" s="43">
        <v>1</v>
      </c>
      <c r="P22" s="43">
        <v>22</v>
      </c>
      <c r="Q22" s="59" t="s">
        <v>24</v>
      </c>
    </row>
    <row r="23" spans="2:18" x14ac:dyDescent="0.3">
      <c r="B23" s="77"/>
      <c r="C23" s="214"/>
      <c r="D23" s="5"/>
      <c r="E23" s="5"/>
      <c r="F23" s="4"/>
      <c r="G23" s="4"/>
      <c r="H23" s="4"/>
      <c r="I23" s="4"/>
      <c r="K23" s="214"/>
      <c r="L23" s="5"/>
      <c r="M23" s="5"/>
      <c r="N23" s="4"/>
      <c r="O23" s="4"/>
      <c r="P23" s="4"/>
      <c r="Q23" s="22"/>
    </row>
    <row r="24" spans="2:18" x14ac:dyDescent="0.3">
      <c r="B24" s="77"/>
      <c r="C24" s="11"/>
      <c r="D24" s="10"/>
      <c r="E24" s="10"/>
      <c r="F24" s="61"/>
      <c r="G24" s="61"/>
      <c r="H24" s="61"/>
      <c r="I24" s="61"/>
      <c r="K24" s="11"/>
      <c r="L24" s="10"/>
      <c r="M24" s="10"/>
      <c r="N24" s="61"/>
      <c r="O24" s="61"/>
      <c r="P24" s="61"/>
      <c r="Q24" s="23"/>
    </row>
    <row r="25" spans="2:18" ht="15" thickBot="1" x14ac:dyDescent="0.35">
      <c r="B25" s="78"/>
      <c r="C25" s="15"/>
      <c r="D25" s="15"/>
      <c r="E25" s="15"/>
      <c r="F25" s="15"/>
      <c r="G25" s="15"/>
      <c r="H25" s="15"/>
      <c r="I25" s="15"/>
      <c r="J25" s="13"/>
      <c r="K25" s="15"/>
      <c r="L25" s="15"/>
      <c r="M25" s="15"/>
      <c r="N25" s="15"/>
      <c r="O25" s="15"/>
      <c r="P25" s="15"/>
      <c r="Q25" s="94"/>
    </row>
    <row r="26" spans="2:18" x14ac:dyDescent="0.3">
      <c r="B26" s="58"/>
      <c r="C26" s="6"/>
      <c r="D26" s="6"/>
      <c r="E26" s="100"/>
      <c r="F26" s="100"/>
      <c r="G26" s="6"/>
      <c r="H26" s="6"/>
      <c r="I26" s="6"/>
      <c r="J26" s="6"/>
      <c r="K26" s="6"/>
      <c r="L26" s="6"/>
      <c r="M26" s="100"/>
      <c r="N26" s="100"/>
      <c r="O26" s="6"/>
      <c r="P26" s="6"/>
      <c r="Q26" s="8"/>
    </row>
    <row r="27" spans="2:18" ht="15" thickBot="1" x14ac:dyDescent="0.35">
      <c r="B27" s="77"/>
      <c r="C27" s="14"/>
      <c r="D27" s="15"/>
      <c r="E27" s="15"/>
      <c r="F27" s="15"/>
      <c r="G27" s="15"/>
      <c r="H27" s="15"/>
      <c r="I27" s="15"/>
      <c r="J27" s="13"/>
      <c r="K27" s="13"/>
      <c r="L27" s="15"/>
      <c r="M27" s="15"/>
      <c r="N27" s="13"/>
      <c r="O27" s="13"/>
      <c r="P27" s="13"/>
      <c r="Q27" s="16"/>
    </row>
    <row r="28" spans="2:18" ht="15" thickBot="1" x14ac:dyDescent="0.35">
      <c r="B28" s="77"/>
      <c r="C28" s="7" t="s">
        <v>42</v>
      </c>
      <c r="D28" s="6"/>
      <c r="E28" s="6" t="s">
        <v>48</v>
      </c>
      <c r="F28" s="6"/>
      <c r="G28" s="6"/>
      <c r="H28" s="6"/>
      <c r="I28" s="6"/>
      <c r="J28" s="6"/>
      <c r="K28" s="7" t="s">
        <v>42</v>
      </c>
      <c r="L28" s="6"/>
      <c r="M28" s="6" t="s">
        <v>48</v>
      </c>
      <c r="N28" s="6"/>
      <c r="O28" s="6"/>
      <c r="P28" s="6"/>
      <c r="Q28" s="8"/>
    </row>
    <row r="29" spans="2:18" x14ac:dyDescent="0.3">
      <c r="B29" s="77"/>
      <c r="C29" s="3" t="s">
        <v>3</v>
      </c>
      <c r="D29" s="3" t="s">
        <v>4</v>
      </c>
      <c r="E29" s="3" t="s">
        <v>49</v>
      </c>
      <c r="F29" s="20" t="s">
        <v>6</v>
      </c>
      <c r="G29" s="20" t="s">
        <v>7</v>
      </c>
      <c r="H29" s="20" t="s">
        <v>8</v>
      </c>
      <c r="I29" s="20" t="s">
        <v>31</v>
      </c>
      <c r="J29" s="74" t="s">
        <v>14</v>
      </c>
      <c r="K29" s="3" t="s">
        <v>3</v>
      </c>
      <c r="L29" s="3" t="s">
        <v>4</v>
      </c>
      <c r="M29" s="3" t="s">
        <v>49</v>
      </c>
      <c r="N29" s="20" t="s">
        <v>6</v>
      </c>
      <c r="O29" s="20" t="s">
        <v>7</v>
      </c>
      <c r="P29" s="20" t="s">
        <v>8</v>
      </c>
      <c r="Q29" s="21" t="s">
        <v>31</v>
      </c>
      <c r="R29" s="74" t="s">
        <v>14</v>
      </c>
    </row>
    <row r="30" spans="2:18" ht="14.25" customHeight="1" x14ac:dyDescent="0.3">
      <c r="B30" s="77"/>
      <c r="C30" s="214" t="s">
        <v>66</v>
      </c>
      <c r="D30" s="18">
        <v>0</v>
      </c>
      <c r="E30" s="64">
        <v>1.95</v>
      </c>
      <c r="F30" s="101" t="s">
        <v>22</v>
      </c>
      <c r="G30" s="43" t="s">
        <v>22</v>
      </c>
      <c r="H30" s="43">
        <v>24</v>
      </c>
      <c r="I30" s="59" t="s">
        <v>22</v>
      </c>
      <c r="J30" s="112"/>
      <c r="K30" s="214" t="s">
        <v>66</v>
      </c>
      <c r="L30" s="18">
        <v>0</v>
      </c>
      <c r="M30" s="64">
        <v>4.0199999999999996</v>
      </c>
      <c r="N30" s="101" t="s">
        <v>22</v>
      </c>
      <c r="O30" s="43" t="s">
        <v>22</v>
      </c>
      <c r="P30" s="43">
        <v>4</v>
      </c>
      <c r="Q30" s="59" t="s">
        <v>22</v>
      </c>
      <c r="R30" s="112"/>
    </row>
    <row r="31" spans="2:18" x14ac:dyDescent="0.3">
      <c r="B31" s="77"/>
      <c r="C31" s="214"/>
      <c r="D31" s="18">
        <v>1</v>
      </c>
      <c r="E31" s="64">
        <v>1.75</v>
      </c>
      <c r="F31" s="101" t="s">
        <v>22</v>
      </c>
      <c r="G31" s="43" t="s">
        <v>22</v>
      </c>
      <c r="H31" s="43">
        <v>6</v>
      </c>
      <c r="I31" s="59" t="s">
        <v>22</v>
      </c>
      <c r="J31" s="112"/>
      <c r="K31" s="214"/>
      <c r="L31" s="18">
        <v>1</v>
      </c>
      <c r="M31" s="64">
        <v>3.44</v>
      </c>
      <c r="N31" s="101" t="s">
        <v>22</v>
      </c>
      <c r="O31" s="43" t="s">
        <v>22</v>
      </c>
      <c r="P31" s="43">
        <v>52</v>
      </c>
      <c r="Q31" s="59" t="s">
        <v>22</v>
      </c>
      <c r="R31" s="112"/>
    </row>
    <row r="32" spans="2:18" ht="14.25" customHeight="1" x14ac:dyDescent="0.3">
      <c r="B32" s="91" t="s">
        <v>15</v>
      </c>
      <c r="C32" s="214"/>
      <c r="D32" s="18">
        <v>3</v>
      </c>
      <c r="E32" s="64">
        <v>1.7</v>
      </c>
      <c r="F32" s="101" t="s">
        <v>22</v>
      </c>
      <c r="G32" s="43" t="s">
        <v>22</v>
      </c>
      <c r="H32" s="43">
        <v>4</v>
      </c>
      <c r="I32" s="59" t="s">
        <v>22</v>
      </c>
      <c r="J32" s="112"/>
      <c r="K32" s="214"/>
      <c r="L32" s="18">
        <v>3</v>
      </c>
      <c r="M32" s="64">
        <v>3.46</v>
      </c>
      <c r="N32" s="101" t="s">
        <v>22</v>
      </c>
      <c r="O32" s="43" t="s">
        <v>22</v>
      </c>
      <c r="P32" s="43">
        <v>4</v>
      </c>
      <c r="Q32" s="59" t="s">
        <v>22</v>
      </c>
      <c r="R32" s="112"/>
    </row>
    <row r="33" spans="2:18" x14ac:dyDescent="0.3">
      <c r="B33" s="77"/>
      <c r="C33" s="214"/>
      <c r="D33" s="18">
        <v>5</v>
      </c>
      <c r="E33" s="64">
        <v>1.7</v>
      </c>
      <c r="F33" s="101" t="s">
        <v>22</v>
      </c>
      <c r="G33" s="43" t="s">
        <v>22</v>
      </c>
      <c r="H33" s="43">
        <v>200</v>
      </c>
      <c r="I33" s="59" t="s">
        <v>22</v>
      </c>
      <c r="J33" s="112"/>
      <c r="K33" s="214"/>
      <c r="L33" s="18">
        <v>5</v>
      </c>
      <c r="M33" s="64">
        <v>3.44</v>
      </c>
      <c r="N33" s="101" t="s">
        <v>22</v>
      </c>
      <c r="O33" s="43" t="s">
        <v>22</v>
      </c>
      <c r="P33" s="43">
        <v>48</v>
      </c>
      <c r="Q33" s="59">
        <v>4</v>
      </c>
      <c r="R33" s="112"/>
    </row>
    <row r="34" spans="2:18" x14ac:dyDescent="0.3">
      <c r="B34" s="77"/>
      <c r="C34" s="214"/>
      <c r="D34" s="18">
        <v>10</v>
      </c>
      <c r="E34" s="64">
        <v>1.67</v>
      </c>
      <c r="F34" s="101" t="s">
        <v>24</v>
      </c>
      <c r="G34" s="43" t="s">
        <v>24</v>
      </c>
      <c r="H34" s="43">
        <v>13</v>
      </c>
      <c r="I34" s="59" t="s">
        <v>24</v>
      </c>
      <c r="J34" s="115">
        <v>0.30499999999999999</v>
      </c>
      <c r="K34" s="214"/>
      <c r="L34" s="18">
        <v>10</v>
      </c>
      <c r="M34" s="64">
        <v>3.44</v>
      </c>
      <c r="N34" s="101" t="s">
        <v>24</v>
      </c>
      <c r="O34" s="43">
        <v>1</v>
      </c>
      <c r="P34" s="43">
        <v>2</v>
      </c>
      <c r="Q34" s="59" t="s">
        <v>24</v>
      </c>
      <c r="R34" s="115">
        <v>0.65400000000000003</v>
      </c>
    </row>
    <row r="35" spans="2:18" ht="15" thickBot="1" x14ac:dyDescent="0.35">
      <c r="B35" s="77"/>
      <c r="C35" s="214"/>
      <c r="D35" s="18">
        <v>30</v>
      </c>
      <c r="E35" s="64">
        <v>1.66</v>
      </c>
      <c r="F35" s="101" t="s">
        <v>24</v>
      </c>
      <c r="G35" s="43" t="s">
        <v>24</v>
      </c>
      <c r="H35" s="43">
        <v>5</v>
      </c>
      <c r="I35" s="59" t="s">
        <v>24</v>
      </c>
      <c r="J35" s="115">
        <v>0.28299999999999997</v>
      </c>
      <c r="K35" s="214"/>
      <c r="L35" s="18">
        <v>30</v>
      </c>
      <c r="M35" s="76">
        <v>3.28</v>
      </c>
      <c r="N35" s="103" t="s">
        <v>24</v>
      </c>
      <c r="O35" s="45" t="s">
        <v>24</v>
      </c>
      <c r="P35" s="45">
        <v>6</v>
      </c>
      <c r="Q35" s="104" t="s">
        <v>24</v>
      </c>
      <c r="R35" s="115">
        <v>0.61799999999999999</v>
      </c>
    </row>
    <row r="36" spans="2:18" ht="15" customHeight="1" x14ac:dyDescent="0.3">
      <c r="B36" s="77"/>
      <c r="C36" s="214"/>
      <c r="D36" s="5"/>
      <c r="E36" s="5"/>
      <c r="F36" s="4"/>
      <c r="G36" s="4"/>
      <c r="H36" s="4"/>
      <c r="I36" s="4"/>
      <c r="J36" s="117"/>
      <c r="K36" s="214"/>
      <c r="L36" s="5"/>
      <c r="M36" s="5"/>
      <c r="N36" s="4"/>
      <c r="O36" s="4"/>
      <c r="P36" s="4"/>
      <c r="Q36" s="22"/>
      <c r="R36" s="117"/>
    </row>
    <row r="37" spans="2:18" x14ac:dyDescent="0.3">
      <c r="B37" s="77"/>
      <c r="C37" s="11"/>
      <c r="D37" s="10"/>
      <c r="E37" s="10"/>
      <c r="F37" s="61"/>
      <c r="G37" s="61"/>
      <c r="H37" s="61"/>
      <c r="I37" s="61"/>
      <c r="K37" s="11"/>
      <c r="L37" s="10"/>
      <c r="M37" s="10"/>
      <c r="N37" s="61"/>
      <c r="O37" s="61"/>
      <c r="P37" s="61"/>
      <c r="Q37" s="23"/>
    </row>
    <row r="38" spans="2:18" ht="15" thickBot="1" x14ac:dyDescent="0.35">
      <c r="B38" s="78"/>
      <c r="C38" s="15"/>
      <c r="D38" s="15"/>
      <c r="E38" s="15"/>
      <c r="F38" s="15"/>
      <c r="G38" s="15"/>
      <c r="H38" s="15"/>
      <c r="I38" s="15"/>
      <c r="J38" s="13"/>
      <c r="K38" s="15"/>
      <c r="L38" s="15"/>
      <c r="M38" s="15"/>
      <c r="N38" s="15"/>
      <c r="O38" s="15"/>
      <c r="P38" s="15"/>
      <c r="Q38" s="94"/>
    </row>
    <row r="39" spans="2:18" ht="15" customHeight="1" x14ac:dyDescent="0.3">
      <c r="B39" s="77"/>
      <c r="E39" s="11"/>
      <c r="F39" s="11"/>
      <c r="M39" s="11"/>
      <c r="N39" s="11"/>
      <c r="Q39" s="9"/>
    </row>
    <row r="40" spans="2:18" ht="15" thickBot="1" x14ac:dyDescent="0.35">
      <c r="B40" s="77"/>
      <c r="C40" s="14"/>
      <c r="D40" s="15"/>
      <c r="E40" s="15"/>
      <c r="F40" s="15"/>
      <c r="G40" s="15"/>
      <c r="H40" s="15"/>
      <c r="I40" s="15"/>
      <c r="J40" s="13"/>
      <c r="K40" s="13"/>
      <c r="L40" s="15"/>
      <c r="M40" s="15"/>
      <c r="N40" s="13"/>
      <c r="O40" s="13"/>
      <c r="P40" s="13"/>
      <c r="Q40" s="16"/>
    </row>
    <row r="41" spans="2:18" ht="15" thickBot="1" x14ac:dyDescent="0.35">
      <c r="B41" s="77"/>
      <c r="C41" s="7" t="s">
        <v>42</v>
      </c>
      <c r="D41" s="6"/>
      <c r="E41" s="6" t="s">
        <v>48</v>
      </c>
      <c r="F41" s="6"/>
      <c r="G41" s="6"/>
      <c r="H41" s="6"/>
      <c r="I41" s="6"/>
      <c r="J41" s="6"/>
      <c r="K41" s="7" t="s">
        <v>42</v>
      </c>
      <c r="L41" s="6"/>
      <c r="M41" s="6" t="s">
        <v>48</v>
      </c>
      <c r="N41" s="6"/>
      <c r="O41" s="6"/>
      <c r="P41" s="6"/>
      <c r="Q41" s="8"/>
    </row>
    <row r="42" spans="2:18" ht="15" thickBot="1" x14ac:dyDescent="0.35">
      <c r="B42" s="77"/>
      <c r="C42" s="3" t="s">
        <v>3</v>
      </c>
      <c r="D42" s="3" t="s">
        <v>4</v>
      </c>
      <c r="E42" s="3" t="s">
        <v>49</v>
      </c>
      <c r="F42" s="20" t="s">
        <v>6</v>
      </c>
      <c r="G42" s="20" t="s">
        <v>7</v>
      </c>
      <c r="H42" s="20" t="s">
        <v>8</v>
      </c>
      <c r="I42" s="20" t="s">
        <v>31</v>
      </c>
      <c r="K42" s="3" t="s">
        <v>3</v>
      </c>
      <c r="L42" s="3" t="s">
        <v>4</v>
      </c>
      <c r="M42" s="3" t="s">
        <v>49</v>
      </c>
      <c r="N42" s="20" t="s">
        <v>6</v>
      </c>
      <c r="O42" s="20" t="s">
        <v>7</v>
      </c>
      <c r="P42" s="20" t="s">
        <v>8</v>
      </c>
      <c r="Q42" s="21" t="s">
        <v>31</v>
      </c>
    </row>
    <row r="43" spans="2:18" ht="14.25" customHeight="1" x14ac:dyDescent="0.3">
      <c r="B43" s="77"/>
      <c r="C43" s="214" t="s">
        <v>66</v>
      </c>
      <c r="D43" s="18">
        <v>0</v>
      </c>
      <c r="E43" s="87">
        <v>1.95</v>
      </c>
      <c r="F43" s="101" t="s">
        <v>22</v>
      </c>
      <c r="G43" s="43" t="s">
        <v>22</v>
      </c>
      <c r="H43" s="43">
        <v>24</v>
      </c>
      <c r="I43" s="59" t="s">
        <v>22</v>
      </c>
      <c r="K43" s="214" t="s">
        <v>66</v>
      </c>
      <c r="L43" s="18">
        <v>0</v>
      </c>
      <c r="M43" s="89">
        <v>4.0199999999999996</v>
      </c>
      <c r="N43" s="101" t="s">
        <v>22</v>
      </c>
      <c r="O43" s="43" t="s">
        <v>22</v>
      </c>
      <c r="P43" s="43">
        <v>4</v>
      </c>
      <c r="Q43" s="59" t="s">
        <v>22</v>
      </c>
    </row>
    <row r="44" spans="2:18" x14ac:dyDescent="0.3">
      <c r="B44" s="77"/>
      <c r="C44" s="214"/>
      <c r="D44" s="18">
        <v>1</v>
      </c>
      <c r="E44" s="89">
        <v>0.05</v>
      </c>
      <c r="F44" s="101" t="s">
        <v>22</v>
      </c>
      <c r="G44" s="43" t="s">
        <v>22</v>
      </c>
      <c r="H44" s="43">
        <v>6</v>
      </c>
      <c r="I44" s="59" t="s">
        <v>22</v>
      </c>
      <c r="K44" s="214"/>
      <c r="L44" s="18">
        <v>1</v>
      </c>
      <c r="M44" s="89">
        <v>0.18</v>
      </c>
      <c r="N44" s="101" t="s">
        <v>22</v>
      </c>
      <c r="O44" s="43" t="s">
        <v>22</v>
      </c>
      <c r="P44" s="43">
        <v>52</v>
      </c>
      <c r="Q44" s="59" t="s">
        <v>22</v>
      </c>
    </row>
    <row r="45" spans="2:18" ht="14.25" customHeight="1" x14ac:dyDescent="0.3">
      <c r="B45" s="91" t="s">
        <v>17</v>
      </c>
      <c r="C45" s="214"/>
      <c r="D45" s="18">
        <v>3</v>
      </c>
      <c r="E45" s="89">
        <v>0.06</v>
      </c>
      <c r="F45" s="101" t="s">
        <v>22</v>
      </c>
      <c r="G45" s="43" t="s">
        <v>22</v>
      </c>
      <c r="H45" s="43">
        <v>4</v>
      </c>
      <c r="I45" s="59" t="s">
        <v>22</v>
      </c>
      <c r="K45" s="214"/>
      <c r="L45" s="18">
        <v>3</v>
      </c>
      <c r="M45" s="89">
        <v>0.15</v>
      </c>
      <c r="N45" s="101" t="s">
        <v>22</v>
      </c>
      <c r="O45" s="43" t="s">
        <v>22</v>
      </c>
      <c r="P45" s="43">
        <v>4</v>
      </c>
      <c r="Q45" s="59" t="s">
        <v>22</v>
      </c>
    </row>
    <row r="46" spans="2:18" x14ac:dyDescent="0.3">
      <c r="B46" s="77"/>
      <c r="C46" s="214"/>
      <c r="D46" s="18">
        <v>5</v>
      </c>
      <c r="E46" s="89">
        <v>0.04</v>
      </c>
      <c r="F46" s="101" t="s">
        <v>22</v>
      </c>
      <c r="G46" s="43" t="s">
        <v>22</v>
      </c>
      <c r="H46" s="43">
        <v>200</v>
      </c>
      <c r="I46" s="59" t="s">
        <v>22</v>
      </c>
      <c r="K46" s="214"/>
      <c r="L46" s="18">
        <v>5</v>
      </c>
      <c r="M46" s="89">
        <v>0.08</v>
      </c>
      <c r="N46" s="101" t="s">
        <v>22</v>
      </c>
      <c r="O46" s="43" t="s">
        <v>22</v>
      </c>
      <c r="P46" s="43">
        <v>48</v>
      </c>
      <c r="Q46" s="59">
        <v>4</v>
      </c>
    </row>
    <row r="47" spans="2:18" x14ac:dyDescent="0.3">
      <c r="B47" s="77"/>
      <c r="C47" s="214"/>
      <c r="D47" s="18">
        <v>10</v>
      </c>
      <c r="E47" s="89">
        <v>0.04</v>
      </c>
      <c r="F47" s="101" t="s">
        <v>24</v>
      </c>
      <c r="G47" s="43" t="s">
        <v>24</v>
      </c>
      <c r="H47" s="43">
        <v>13</v>
      </c>
      <c r="I47" s="59" t="s">
        <v>24</v>
      </c>
      <c r="K47" s="214"/>
      <c r="L47" s="18">
        <v>10</v>
      </c>
      <c r="M47" s="89">
        <v>0.13</v>
      </c>
      <c r="N47" s="101" t="s">
        <v>24</v>
      </c>
      <c r="O47" s="43">
        <v>1</v>
      </c>
      <c r="P47" s="43">
        <v>2</v>
      </c>
      <c r="Q47" s="59" t="s">
        <v>24</v>
      </c>
    </row>
    <row r="48" spans="2:18" ht="15" thickBot="1" x14ac:dyDescent="0.35">
      <c r="B48" s="77"/>
      <c r="C48" s="214"/>
      <c r="D48" s="18">
        <v>30</v>
      </c>
      <c r="E48" s="89">
        <v>0.08</v>
      </c>
      <c r="F48" s="101" t="s">
        <v>24</v>
      </c>
      <c r="G48" s="43" t="s">
        <v>24</v>
      </c>
      <c r="H48" s="43">
        <v>5</v>
      </c>
      <c r="I48" s="59" t="s">
        <v>24</v>
      </c>
      <c r="K48" s="214"/>
      <c r="L48" s="18">
        <v>30</v>
      </c>
      <c r="M48" s="95">
        <v>0.3</v>
      </c>
      <c r="N48" s="103" t="s">
        <v>24</v>
      </c>
      <c r="O48" s="45" t="s">
        <v>24</v>
      </c>
      <c r="P48" s="45">
        <v>6</v>
      </c>
      <c r="Q48" s="104" t="s">
        <v>24</v>
      </c>
    </row>
    <row r="49" spans="2:17" x14ac:dyDescent="0.3">
      <c r="B49" s="77"/>
      <c r="C49" s="214"/>
      <c r="D49" s="5"/>
      <c r="E49" s="5"/>
      <c r="F49" s="4"/>
      <c r="G49" s="4"/>
      <c r="H49" s="4"/>
      <c r="I49" s="4"/>
      <c r="K49" s="214"/>
      <c r="L49" s="5"/>
      <c r="M49" s="5"/>
      <c r="N49" s="4"/>
      <c r="O49" s="4"/>
      <c r="P49" s="4"/>
      <c r="Q49" s="22"/>
    </row>
    <row r="50" spans="2:17" x14ac:dyDescent="0.3">
      <c r="B50" s="77"/>
      <c r="C50" s="11"/>
      <c r="D50" s="10"/>
      <c r="E50" s="10"/>
      <c r="F50" s="61"/>
      <c r="G50" s="61"/>
      <c r="H50" s="61"/>
      <c r="I50" s="61"/>
      <c r="K50" s="11"/>
      <c r="L50" s="10"/>
      <c r="M50" s="10"/>
      <c r="N50" s="61"/>
      <c r="O50" s="61"/>
      <c r="P50" s="61"/>
      <c r="Q50" s="23"/>
    </row>
    <row r="51" spans="2:17" x14ac:dyDescent="0.3">
      <c r="B51" s="77"/>
      <c r="C51" s="11"/>
      <c r="D51" s="11"/>
      <c r="E51" s="11"/>
      <c r="F51" s="11"/>
      <c r="G51" s="11"/>
      <c r="H51" s="11"/>
      <c r="I51" s="11"/>
      <c r="K51" s="11"/>
      <c r="L51" s="11"/>
      <c r="M51" s="11"/>
      <c r="N51" s="11"/>
      <c r="O51" s="11"/>
      <c r="P51" s="11"/>
      <c r="Q51" s="84"/>
    </row>
    <row r="52" spans="2:17" ht="15" customHeight="1" x14ac:dyDescent="0.3">
      <c r="B52" s="77"/>
      <c r="E52" s="11"/>
      <c r="F52" s="11"/>
      <c r="M52" s="11"/>
      <c r="N52" s="11"/>
      <c r="Q52" s="9"/>
    </row>
    <row r="53" spans="2:17" ht="15" thickBot="1" x14ac:dyDescent="0.35">
      <c r="B53" s="78"/>
      <c r="C53" s="14"/>
      <c r="D53" s="15"/>
      <c r="E53" s="15"/>
      <c r="F53" s="15"/>
      <c r="G53" s="15"/>
      <c r="H53" s="15"/>
      <c r="I53" s="15"/>
      <c r="J53" s="13"/>
      <c r="K53" s="13"/>
      <c r="L53" s="15"/>
      <c r="M53" s="15"/>
      <c r="N53" s="13"/>
      <c r="O53" s="13"/>
      <c r="P53" s="13"/>
      <c r="Q53" s="16"/>
    </row>
    <row r="55" spans="2:17" ht="14.7" customHeight="1" x14ac:dyDescent="0.3"/>
    <row r="56" spans="2:17" ht="14.25" customHeight="1" x14ac:dyDescent="0.3"/>
    <row r="57" spans="2:17" ht="15" customHeight="1" x14ac:dyDescent="0.3"/>
    <row r="58" spans="2:17" ht="14.25" customHeight="1" x14ac:dyDescent="0.3"/>
    <row r="107" spans="2:2" ht="15" thickBot="1" x14ac:dyDescent="0.35">
      <c r="B107" s="13"/>
    </row>
    <row r="108" spans="2:2" ht="14.7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7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:C10"/>
    <mergeCell ref="K4:K10"/>
    <mergeCell ref="C43:C49"/>
    <mergeCell ref="K43:K49"/>
    <mergeCell ref="C30:C36"/>
    <mergeCell ref="K30:K36"/>
    <mergeCell ref="C17:C23"/>
    <mergeCell ref="K17:K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9F7D-E54A-477B-AF67-A05C39D29985}">
  <dimension ref="A1:W213"/>
  <sheetViews>
    <sheetView topLeftCell="B20" zoomScale="80" zoomScaleNormal="80" workbookViewId="0">
      <selection activeCell="AD50" sqref="AD50"/>
    </sheetView>
  </sheetViews>
  <sheetFormatPr defaultColWidth="9.109375" defaultRowHeight="14.4" x14ac:dyDescent="0.3"/>
  <cols>
    <col min="1" max="1" width="55.109375" style="2" bestFit="1" customWidth="1"/>
    <col min="2" max="2" width="25.44140625" style="2" bestFit="1" customWidth="1"/>
    <col min="3" max="3" width="10.6640625" style="2" bestFit="1" customWidth="1"/>
    <col min="4" max="4" width="6.88671875" style="2" customWidth="1"/>
    <col min="5" max="5" width="8.44140625" style="2" customWidth="1"/>
    <col min="6" max="6" width="10.33203125" style="2" customWidth="1"/>
    <col min="7" max="7" width="9.109375" style="2" customWidth="1"/>
    <col min="8" max="8" width="5.44140625" style="2" customWidth="1"/>
    <col min="9" max="9" width="7.44140625" style="2" customWidth="1"/>
    <col min="10" max="10" width="12.88671875" style="2" customWidth="1"/>
    <col min="11" max="11" width="9.109375" style="2"/>
    <col min="12" max="12" width="6.44140625" style="2" customWidth="1"/>
    <col min="13" max="13" width="6.109375" style="2" customWidth="1"/>
    <col min="14" max="14" width="7.5546875" style="2" customWidth="1"/>
    <col min="15" max="15" width="4.33203125" style="2" customWidth="1"/>
    <col min="16" max="16" width="7.5546875" style="2" customWidth="1"/>
    <col min="17" max="17" width="4.88671875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63</v>
      </c>
    </row>
    <row r="2" spans="1:23" ht="25.8" x14ac:dyDescent="0.5">
      <c r="A2" s="51" t="s">
        <v>64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5.8" x14ac:dyDescent="0.5">
      <c r="A3" s="51" t="s">
        <v>65</v>
      </c>
      <c r="B3" s="77"/>
      <c r="C3" s="3" t="s">
        <v>3</v>
      </c>
      <c r="D3" s="3" t="s">
        <v>4</v>
      </c>
      <c r="E3" s="3" t="s">
        <v>44</v>
      </c>
      <c r="F3" s="74" t="s">
        <v>6</v>
      </c>
      <c r="G3" s="74" t="s">
        <v>7</v>
      </c>
      <c r="H3" s="74" t="s">
        <v>8</v>
      </c>
      <c r="I3" s="79" t="s">
        <v>9</v>
      </c>
      <c r="K3" s="3" t="s">
        <v>3</v>
      </c>
      <c r="L3" s="3" t="s">
        <v>4</v>
      </c>
      <c r="M3" s="3" t="s">
        <v>44</v>
      </c>
      <c r="N3" s="74" t="s">
        <v>6</v>
      </c>
      <c r="O3" s="74" t="s">
        <v>7</v>
      </c>
      <c r="P3" s="74" t="s">
        <v>8</v>
      </c>
      <c r="Q3" s="106" t="s">
        <v>31</v>
      </c>
      <c r="S3" s="1"/>
      <c r="U3" s="1"/>
      <c r="W3" s="1"/>
    </row>
    <row r="4" spans="1:23" ht="25.8" x14ac:dyDescent="0.5">
      <c r="A4" s="52">
        <v>45355</v>
      </c>
      <c r="B4" s="77"/>
      <c r="C4" s="213" t="s">
        <v>66</v>
      </c>
      <c r="D4" s="18">
        <v>0</v>
      </c>
      <c r="E4" s="43">
        <v>1</v>
      </c>
      <c r="F4" s="43" t="s">
        <v>22</v>
      </c>
      <c r="G4" s="43" t="s">
        <v>22</v>
      </c>
      <c r="H4" s="43">
        <v>180</v>
      </c>
      <c r="I4" s="43">
        <v>30</v>
      </c>
      <c r="K4" s="213" t="s">
        <v>66</v>
      </c>
      <c r="L4" s="18">
        <v>0</v>
      </c>
      <c r="M4" s="43">
        <v>2</v>
      </c>
      <c r="N4" s="43" t="s">
        <v>22</v>
      </c>
      <c r="O4" s="43">
        <v>20</v>
      </c>
      <c r="P4" s="43">
        <v>216</v>
      </c>
      <c r="Q4" s="59" t="s">
        <v>22</v>
      </c>
      <c r="S4" s="1"/>
      <c r="U4" s="1"/>
    </row>
    <row r="5" spans="1:23" x14ac:dyDescent="0.3">
      <c r="B5" s="77"/>
      <c r="C5" s="213"/>
      <c r="D5" s="18">
        <v>1</v>
      </c>
      <c r="E5" s="43">
        <v>0.93</v>
      </c>
      <c r="F5" s="43" t="s">
        <v>22</v>
      </c>
      <c r="G5" s="43" t="s">
        <v>22</v>
      </c>
      <c r="H5" s="43">
        <v>220</v>
      </c>
      <c r="I5" s="43">
        <v>20</v>
      </c>
      <c r="K5" s="213"/>
      <c r="L5" s="18">
        <v>1</v>
      </c>
      <c r="M5" s="43">
        <v>2.0699999999999998</v>
      </c>
      <c r="N5" s="43" t="s">
        <v>22</v>
      </c>
      <c r="O5" s="43" t="s">
        <v>22</v>
      </c>
      <c r="P5" s="43" t="s">
        <v>22</v>
      </c>
      <c r="Q5" s="59" t="s">
        <v>22</v>
      </c>
    </row>
    <row r="6" spans="1:23" ht="25.8" x14ac:dyDescent="0.5">
      <c r="A6" s="51" t="s">
        <v>67</v>
      </c>
      <c r="B6" s="91" t="s">
        <v>12</v>
      </c>
      <c r="C6" s="213"/>
      <c r="D6" s="18">
        <v>3</v>
      </c>
      <c r="E6" s="43">
        <v>0.87</v>
      </c>
      <c r="F6" s="43" t="s">
        <v>22</v>
      </c>
      <c r="G6" s="43" t="s">
        <v>22</v>
      </c>
      <c r="H6" s="43">
        <v>12</v>
      </c>
      <c r="I6" s="43">
        <v>4</v>
      </c>
      <c r="K6" s="213"/>
      <c r="L6" s="18">
        <v>3</v>
      </c>
      <c r="M6" s="43">
        <v>1.66</v>
      </c>
      <c r="N6" s="43" t="s">
        <v>22</v>
      </c>
      <c r="O6" s="43" t="s">
        <v>22</v>
      </c>
      <c r="P6" s="43" t="s">
        <v>22</v>
      </c>
      <c r="Q6" s="59" t="s">
        <v>22</v>
      </c>
    </row>
    <row r="7" spans="1:23" x14ac:dyDescent="0.3">
      <c r="B7" s="77"/>
      <c r="C7" s="213"/>
      <c r="D7" s="18">
        <v>5</v>
      </c>
      <c r="E7" s="43">
        <v>0.85</v>
      </c>
      <c r="F7" s="43" t="s">
        <v>22</v>
      </c>
      <c r="G7" s="43" t="s">
        <v>22</v>
      </c>
      <c r="H7" s="43">
        <v>8</v>
      </c>
      <c r="I7" s="43" t="s">
        <v>22</v>
      </c>
      <c r="K7" s="213"/>
      <c r="L7" s="18">
        <v>5</v>
      </c>
      <c r="M7" s="43">
        <v>1.79</v>
      </c>
      <c r="N7" s="43" t="s">
        <v>22</v>
      </c>
      <c r="O7" s="43" t="s">
        <v>22</v>
      </c>
      <c r="P7" s="43" t="s">
        <v>22</v>
      </c>
      <c r="Q7" s="59" t="s">
        <v>22</v>
      </c>
    </row>
    <row r="8" spans="1:23" x14ac:dyDescent="0.3">
      <c r="B8" s="77"/>
      <c r="C8" s="213"/>
      <c r="D8" s="18">
        <v>10</v>
      </c>
      <c r="E8" s="43">
        <v>0.81</v>
      </c>
      <c r="F8" s="43" t="s">
        <v>24</v>
      </c>
      <c r="G8" s="43">
        <v>1</v>
      </c>
      <c r="H8" s="43">
        <v>231</v>
      </c>
      <c r="I8" s="43">
        <v>1</v>
      </c>
      <c r="K8" s="213"/>
      <c r="L8" s="18">
        <v>10</v>
      </c>
      <c r="M8" s="43">
        <v>1.46</v>
      </c>
      <c r="N8" s="43" t="s">
        <v>24</v>
      </c>
      <c r="O8" s="43" t="s">
        <v>24</v>
      </c>
      <c r="P8" s="43">
        <v>3</v>
      </c>
      <c r="Q8" s="59" t="s">
        <v>24</v>
      </c>
    </row>
    <row r="9" spans="1:23" ht="23.4" x14ac:dyDescent="0.45">
      <c r="A9" s="109" t="s">
        <v>68</v>
      </c>
      <c r="B9" s="77"/>
      <c r="C9" s="213"/>
      <c r="D9" s="18">
        <v>30</v>
      </c>
      <c r="E9" s="43">
        <v>0.64</v>
      </c>
      <c r="F9" s="43" t="s">
        <v>24</v>
      </c>
      <c r="G9" s="43">
        <v>2</v>
      </c>
      <c r="H9" s="43">
        <v>180</v>
      </c>
      <c r="I9" s="43" t="s">
        <v>24</v>
      </c>
      <c r="K9" s="213"/>
      <c r="L9" s="18">
        <v>30</v>
      </c>
      <c r="M9" s="43">
        <v>1.23</v>
      </c>
      <c r="N9" s="43" t="s">
        <v>24</v>
      </c>
      <c r="O9" s="43" t="s">
        <v>24</v>
      </c>
      <c r="P9" s="43">
        <v>2</v>
      </c>
      <c r="Q9" s="59" t="s">
        <v>24</v>
      </c>
    </row>
    <row r="10" spans="1:23" x14ac:dyDescent="0.3">
      <c r="B10" s="77"/>
      <c r="C10" s="213"/>
      <c r="D10" s="5"/>
      <c r="E10" s="5"/>
      <c r="F10" s="4"/>
      <c r="G10" s="4"/>
      <c r="H10" s="4"/>
      <c r="I10" s="4"/>
      <c r="K10" s="213"/>
      <c r="L10" s="5"/>
      <c r="M10" s="5"/>
      <c r="N10" s="4"/>
      <c r="O10" s="4"/>
      <c r="P10" s="4"/>
      <c r="Q10" s="22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x14ac:dyDescent="0.3">
      <c r="B13" s="58"/>
      <c r="C13" s="6"/>
      <c r="D13" s="6"/>
      <c r="E13" s="100"/>
      <c r="F13" s="100"/>
      <c r="G13" s="6"/>
      <c r="H13" s="6"/>
      <c r="I13" s="6"/>
      <c r="J13" s="6"/>
      <c r="K13" s="6"/>
      <c r="L13" s="6"/>
      <c r="M13" s="100"/>
      <c r="N13" s="100"/>
      <c r="O13" s="6"/>
      <c r="P13" s="6"/>
      <c r="Q13" s="8"/>
    </row>
    <row r="14" spans="1:23" ht="15" thickBot="1" x14ac:dyDescent="0.35">
      <c r="B14" s="77"/>
      <c r="C14" s="14"/>
      <c r="D14" s="15"/>
      <c r="E14" s="15"/>
      <c r="F14" s="15"/>
      <c r="G14" s="15"/>
      <c r="H14" s="15"/>
      <c r="I14" s="15"/>
      <c r="J14" s="13"/>
      <c r="K14" s="13"/>
      <c r="L14" s="15"/>
      <c r="M14" s="15"/>
      <c r="N14" s="13"/>
      <c r="O14" s="13"/>
      <c r="P14" s="13"/>
      <c r="Q14" s="16"/>
    </row>
    <row r="15" spans="1:23" ht="15" thickBot="1" x14ac:dyDescent="0.35">
      <c r="B15" s="77"/>
      <c r="C15" s="7" t="s">
        <v>42</v>
      </c>
      <c r="D15" s="6"/>
      <c r="E15" s="6" t="s">
        <v>47</v>
      </c>
      <c r="F15" s="6"/>
      <c r="G15" s="6"/>
      <c r="H15" s="6"/>
      <c r="I15" s="6"/>
      <c r="J15" s="6"/>
      <c r="K15" s="7" t="s">
        <v>42</v>
      </c>
      <c r="L15" s="6"/>
      <c r="M15" s="6" t="s">
        <v>47</v>
      </c>
      <c r="N15" s="6"/>
      <c r="O15" s="6"/>
      <c r="P15" s="6"/>
      <c r="Q15" s="8"/>
    </row>
    <row r="16" spans="1:23" x14ac:dyDescent="0.3">
      <c r="B16" s="77"/>
      <c r="C16" s="3" t="s">
        <v>3</v>
      </c>
      <c r="D16" s="3" t="s">
        <v>4</v>
      </c>
      <c r="E16" s="3" t="s">
        <v>55</v>
      </c>
      <c r="F16" s="20" t="s">
        <v>6</v>
      </c>
      <c r="G16" s="20" t="s">
        <v>7</v>
      </c>
      <c r="H16" s="20" t="s">
        <v>8</v>
      </c>
      <c r="I16" s="20" t="s">
        <v>31</v>
      </c>
      <c r="K16" s="3" t="s">
        <v>3</v>
      </c>
      <c r="L16" s="3" t="s">
        <v>4</v>
      </c>
      <c r="M16" s="3" t="s">
        <v>55</v>
      </c>
      <c r="N16" s="20" t="s">
        <v>6</v>
      </c>
      <c r="O16" s="20" t="s">
        <v>7</v>
      </c>
      <c r="P16" s="20" t="s">
        <v>8</v>
      </c>
      <c r="Q16" s="21" t="s">
        <v>31</v>
      </c>
    </row>
    <row r="17" spans="2:18" ht="15" customHeight="1" x14ac:dyDescent="0.3">
      <c r="B17" s="77"/>
      <c r="C17" s="214" t="s">
        <v>66</v>
      </c>
      <c r="D17" s="18">
        <v>0</v>
      </c>
      <c r="E17" s="64">
        <v>2</v>
      </c>
      <c r="F17" s="101" t="s">
        <v>22</v>
      </c>
      <c r="G17" s="43">
        <v>920</v>
      </c>
      <c r="H17" s="43">
        <v>1340</v>
      </c>
      <c r="I17" s="59">
        <v>248</v>
      </c>
      <c r="K17" s="214" t="s">
        <v>66</v>
      </c>
      <c r="L17" s="18">
        <v>0</v>
      </c>
      <c r="M17" s="64">
        <v>4.12</v>
      </c>
      <c r="N17" s="101" t="s">
        <v>22</v>
      </c>
      <c r="O17" s="43" t="s">
        <v>22</v>
      </c>
      <c r="P17" s="43">
        <v>172</v>
      </c>
      <c r="Q17" s="59">
        <v>28</v>
      </c>
    </row>
    <row r="18" spans="2:18" x14ac:dyDescent="0.3">
      <c r="B18" s="77"/>
      <c r="C18" s="214"/>
      <c r="D18" s="18">
        <v>1</v>
      </c>
      <c r="E18" s="64">
        <v>1.97</v>
      </c>
      <c r="F18" s="101" t="s">
        <v>22</v>
      </c>
      <c r="G18" s="43">
        <v>424</v>
      </c>
      <c r="H18" s="43">
        <v>1220</v>
      </c>
      <c r="I18" s="59">
        <v>204</v>
      </c>
      <c r="K18" s="214"/>
      <c r="L18" s="18">
        <v>1</v>
      </c>
      <c r="M18" s="64">
        <v>3.84</v>
      </c>
      <c r="N18" s="101" t="s">
        <v>22</v>
      </c>
      <c r="O18" s="43" t="s">
        <v>22</v>
      </c>
      <c r="P18" s="43">
        <v>552</v>
      </c>
      <c r="Q18" s="59">
        <v>8</v>
      </c>
    </row>
    <row r="19" spans="2:18" ht="14.25" customHeight="1" x14ac:dyDescent="0.3">
      <c r="B19" s="91" t="s">
        <v>13</v>
      </c>
      <c r="C19" s="214"/>
      <c r="D19" s="18">
        <v>3</v>
      </c>
      <c r="E19" s="64">
        <v>1.88</v>
      </c>
      <c r="F19" s="101" t="s">
        <v>22</v>
      </c>
      <c r="G19" s="43">
        <v>40</v>
      </c>
      <c r="H19" s="43">
        <v>928</v>
      </c>
      <c r="I19" s="59">
        <v>176</v>
      </c>
      <c r="K19" s="214"/>
      <c r="L19" s="18">
        <v>3</v>
      </c>
      <c r="M19" s="64">
        <v>3.89</v>
      </c>
      <c r="N19" s="101" t="s">
        <v>22</v>
      </c>
      <c r="O19" s="43" t="s">
        <v>22</v>
      </c>
      <c r="P19" s="43">
        <v>271</v>
      </c>
      <c r="Q19" s="59">
        <v>24</v>
      </c>
    </row>
    <row r="20" spans="2:18" x14ac:dyDescent="0.3">
      <c r="B20" s="77"/>
      <c r="C20" s="214"/>
      <c r="D20" s="18">
        <v>5</v>
      </c>
      <c r="E20" s="64">
        <v>1.88</v>
      </c>
      <c r="F20" s="101" t="s">
        <v>22</v>
      </c>
      <c r="G20" s="43" t="s">
        <v>22</v>
      </c>
      <c r="H20" s="43">
        <v>736</v>
      </c>
      <c r="I20" s="59">
        <v>168</v>
      </c>
      <c r="K20" s="214"/>
      <c r="L20" s="18">
        <v>5</v>
      </c>
      <c r="M20" s="64">
        <v>3.85</v>
      </c>
      <c r="N20" s="101" t="s">
        <v>22</v>
      </c>
      <c r="O20" s="43" t="s">
        <v>22</v>
      </c>
      <c r="P20" s="43">
        <v>42</v>
      </c>
      <c r="Q20" s="59">
        <v>4</v>
      </c>
    </row>
    <row r="21" spans="2:18" x14ac:dyDescent="0.3">
      <c r="B21" s="77"/>
      <c r="C21" s="214"/>
      <c r="D21" s="18">
        <v>10</v>
      </c>
      <c r="E21" s="64">
        <v>1.87</v>
      </c>
      <c r="F21" s="101" t="s">
        <v>24</v>
      </c>
      <c r="G21" s="43" t="s">
        <v>24</v>
      </c>
      <c r="H21" s="43">
        <v>240</v>
      </c>
      <c r="I21" s="59">
        <v>33</v>
      </c>
      <c r="K21" s="214"/>
      <c r="L21" s="18">
        <v>10</v>
      </c>
      <c r="M21" s="64">
        <v>3.84</v>
      </c>
      <c r="N21" s="101" t="s">
        <v>24</v>
      </c>
      <c r="O21" s="43" t="s">
        <v>24</v>
      </c>
      <c r="P21" s="43">
        <v>29</v>
      </c>
      <c r="Q21" s="59">
        <v>2</v>
      </c>
    </row>
    <row r="22" spans="2:18" x14ac:dyDescent="0.3">
      <c r="B22" s="77"/>
      <c r="C22" s="214"/>
      <c r="D22" s="18">
        <v>30</v>
      </c>
      <c r="E22" s="64">
        <v>1.74</v>
      </c>
      <c r="F22" s="101" t="s">
        <v>24</v>
      </c>
      <c r="G22" s="43" t="s">
        <v>24</v>
      </c>
      <c r="H22" s="43">
        <v>13</v>
      </c>
      <c r="I22" s="59">
        <v>1</v>
      </c>
      <c r="K22" s="214"/>
      <c r="L22" s="18">
        <v>30</v>
      </c>
      <c r="M22" s="64">
        <v>3.59</v>
      </c>
      <c r="N22" s="101">
        <v>1</v>
      </c>
      <c r="O22" s="43">
        <v>1</v>
      </c>
      <c r="P22" s="43">
        <v>22</v>
      </c>
      <c r="Q22" s="59" t="s">
        <v>24</v>
      </c>
    </row>
    <row r="23" spans="2:18" x14ac:dyDescent="0.3">
      <c r="B23" s="77"/>
      <c r="C23" s="214"/>
      <c r="D23" s="5"/>
      <c r="E23" s="5"/>
      <c r="F23" s="4"/>
      <c r="G23" s="4"/>
      <c r="H23" s="4"/>
      <c r="I23" s="4"/>
      <c r="K23" s="214"/>
      <c r="L23" s="5"/>
      <c r="M23" s="5"/>
      <c r="N23" s="4"/>
      <c r="O23" s="4"/>
      <c r="P23" s="4"/>
      <c r="Q23" s="22"/>
    </row>
    <row r="24" spans="2:18" x14ac:dyDescent="0.3">
      <c r="B24" s="77"/>
      <c r="C24" s="11"/>
      <c r="D24" s="10"/>
      <c r="E24" s="10"/>
      <c r="F24" s="61"/>
      <c r="G24" s="61"/>
      <c r="H24" s="61"/>
      <c r="I24" s="61"/>
      <c r="K24" s="11"/>
      <c r="L24" s="10"/>
      <c r="M24" s="10"/>
      <c r="N24" s="61"/>
      <c r="O24" s="61"/>
      <c r="P24" s="61"/>
      <c r="Q24" s="23"/>
    </row>
    <row r="25" spans="2:18" ht="15" thickBot="1" x14ac:dyDescent="0.35">
      <c r="B25" s="78"/>
      <c r="C25" s="15"/>
      <c r="D25" s="15"/>
      <c r="E25" s="15"/>
      <c r="F25" s="15"/>
      <c r="G25" s="15"/>
      <c r="H25" s="15"/>
      <c r="I25" s="15"/>
      <c r="J25" s="13"/>
      <c r="K25" s="15"/>
      <c r="L25" s="15"/>
      <c r="M25" s="15"/>
      <c r="N25" s="15"/>
      <c r="O25" s="15"/>
      <c r="P25" s="15"/>
      <c r="Q25" s="94"/>
    </row>
    <row r="26" spans="2:18" x14ac:dyDescent="0.3">
      <c r="B26" s="58"/>
      <c r="C26" s="6"/>
      <c r="D26" s="6"/>
      <c r="E26" s="100"/>
      <c r="F26" s="100"/>
      <c r="G26" s="6"/>
      <c r="H26" s="6"/>
      <c r="I26" s="6"/>
      <c r="J26" s="6"/>
      <c r="K26" s="6"/>
      <c r="L26" s="6"/>
      <c r="M26" s="100"/>
      <c r="N26" s="100"/>
      <c r="O26" s="6"/>
      <c r="P26" s="6"/>
      <c r="Q26" s="8"/>
    </row>
    <row r="27" spans="2:18" ht="15" thickBot="1" x14ac:dyDescent="0.35">
      <c r="B27" s="77"/>
      <c r="C27" s="14"/>
      <c r="D27" s="15"/>
      <c r="E27" s="15"/>
      <c r="F27" s="15"/>
      <c r="G27" s="15"/>
      <c r="H27" s="15"/>
      <c r="I27" s="15"/>
      <c r="J27" s="13"/>
      <c r="K27" s="13"/>
      <c r="L27" s="15"/>
      <c r="M27" s="15"/>
      <c r="N27" s="13"/>
      <c r="O27" s="13"/>
      <c r="P27" s="13"/>
      <c r="Q27" s="16"/>
    </row>
    <row r="28" spans="2:18" ht="15" thickBot="1" x14ac:dyDescent="0.35">
      <c r="B28" s="77"/>
      <c r="C28" s="7" t="s">
        <v>42</v>
      </c>
      <c r="D28" s="6"/>
      <c r="E28" s="6" t="s">
        <v>48</v>
      </c>
      <c r="F28" s="6"/>
      <c r="G28" s="6"/>
      <c r="H28" s="6"/>
      <c r="I28" s="6"/>
      <c r="J28" s="6"/>
      <c r="K28" s="7" t="s">
        <v>42</v>
      </c>
      <c r="L28" s="6"/>
      <c r="M28" s="6" t="s">
        <v>48</v>
      </c>
      <c r="N28" s="6"/>
      <c r="O28" s="6"/>
      <c r="P28" s="6"/>
      <c r="Q28" s="8"/>
    </row>
    <row r="29" spans="2:18" x14ac:dyDescent="0.3">
      <c r="B29" s="77"/>
      <c r="C29" s="3" t="s">
        <v>3</v>
      </c>
      <c r="D29" s="3" t="s">
        <v>4</v>
      </c>
      <c r="E29" s="3" t="s">
        <v>49</v>
      </c>
      <c r="F29" s="20" t="s">
        <v>6</v>
      </c>
      <c r="G29" s="20" t="s">
        <v>7</v>
      </c>
      <c r="H29" s="20" t="s">
        <v>8</v>
      </c>
      <c r="I29" s="20" t="s">
        <v>31</v>
      </c>
      <c r="J29" s="74" t="s">
        <v>14</v>
      </c>
      <c r="K29" s="3" t="s">
        <v>3</v>
      </c>
      <c r="L29" s="3" t="s">
        <v>4</v>
      </c>
      <c r="M29" s="3" t="s">
        <v>49</v>
      </c>
      <c r="N29" s="20" t="s">
        <v>6</v>
      </c>
      <c r="O29" s="20" t="s">
        <v>7</v>
      </c>
      <c r="P29" s="20" t="s">
        <v>8</v>
      </c>
      <c r="Q29" s="21" t="s">
        <v>31</v>
      </c>
      <c r="R29" s="74" t="s">
        <v>14</v>
      </c>
    </row>
    <row r="30" spans="2:18" ht="14.25" customHeight="1" x14ac:dyDescent="0.3">
      <c r="B30" s="77"/>
      <c r="C30" s="214" t="s">
        <v>66</v>
      </c>
      <c r="D30" s="18">
        <v>0</v>
      </c>
      <c r="E30" s="64">
        <v>1.95</v>
      </c>
      <c r="F30" s="101" t="s">
        <v>22</v>
      </c>
      <c r="G30" s="43" t="s">
        <v>22</v>
      </c>
      <c r="H30" s="43">
        <v>24</v>
      </c>
      <c r="I30" s="59" t="s">
        <v>22</v>
      </c>
      <c r="J30" s="112"/>
      <c r="K30" s="214" t="s">
        <v>66</v>
      </c>
      <c r="L30" s="18">
        <v>0</v>
      </c>
      <c r="M30" s="64">
        <v>4.0199999999999996</v>
      </c>
      <c r="N30" s="101" t="s">
        <v>22</v>
      </c>
      <c r="O30" s="43" t="s">
        <v>22</v>
      </c>
      <c r="P30" s="43">
        <v>4</v>
      </c>
      <c r="Q30" s="59" t="s">
        <v>22</v>
      </c>
      <c r="R30" s="112"/>
    </row>
    <row r="31" spans="2:18" x14ac:dyDescent="0.3">
      <c r="B31" s="77"/>
      <c r="C31" s="214"/>
      <c r="D31" s="18">
        <v>1</v>
      </c>
      <c r="E31" s="64">
        <v>1.75</v>
      </c>
      <c r="F31" s="101" t="s">
        <v>22</v>
      </c>
      <c r="G31" s="43" t="s">
        <v>22</v>
      </c>
      <c r="H31" s="43">
        <v>6</v>
      </c>
      <c r="I31" s="59" t="s">
        <v>22</v>
      </c>
      <c r="J31" s="112"/>
      <c r="K31" s="214"/>
      <c r="L31" s="18">
        <v>1</v>
      </c>
      <c r="M31" s="64">
        <v>3.44</v>
      </c>
      <c r="N31" s="101" t="s">
        <v>22</v>
      </c>
      <c r="O31" s="43" t="s">
        <v>22</v>
      </c>
      <c r="P31" s="43">
        <v>52</v>
      </c>
      <c r="Q31" s="59" t="s">
        <v>22</v>
      </c>
      <c r="R31" s="112"/>
    </row>
    <row r="32" spans="2:18" ht="14.25" customHeight="1" x14ac:dyDescent="0.3">
      <c r="B32" s="91" t="s">
        <v>15</v>
      </c>
      <c r="C32" s="214"/>
      <c r="D32" s="18">
        <v>3</v>
      </c>
      <c r="E32" s="64">
        <v>1.7</v>
      </c>
      <c r="F32" s="101" t="s">
        <v>22</v>
      </c>
      <c r="G32" s="43" t="s">
        <v>22</v>
      </c>
      <c r="H32" s="43">
        <v>4</v>
      </c>
      <c r="I32" s="59" t="s">
        <v>22</v>
      </c>
      <c r="J32" s="112"/>
      <c r="K32" s="214"/>
      <c r="L32" s="18">
        <v>3</v>
      </c>
      <c r="M32" s="64">
        <v>3.46</v>
      </c>
      <c r="N32" s="101" t="s">
        <v>22</v>
      </c>
      <c r="O32" s="43" t="s">
        <v>22</v>
      </c>
      <c r="P32" s="43">
        <v>4</v>
      </c>
      <c r="Q32" s="59" t="s">
        <v>22</v>
      </c>
      <c r="R32" s="112"/>
    </row>
    <row r="33" spans="2:18" x14ac:dyDescent="0.3">
      <c r="B33" s="77"/>
      <c r="C33" s="214"/>
      <c r="D33" s="18">
        <v>5</v>
      </c>
      <c r="E33" s="64">
        <v>1.7</v>
      </c>
      <c r="F33" s="101" t="s">
        <v>22</v>
      </c>
      <c r="G33" s="43" t="s">
        <v>22</v>
      </c>
      <c r="H33" s="43">
        <v>200</v>
      </c>
      <c r="I33" s="59" t="s">
        <v>22</v>
      </c>
      <c r="J33" s="112"/>
      <c r="K33" s="214"/>
      <c r="L33" s="18">
        <v>5</v>
      </c>
      <c r="M33" s="64">
        <v>3.44</v>
      </c>
      <c r="N33" s="101" t="s">
        <v>22</v>
      </c>
      <c r="O33" s="43" t="s">
        <v>22</v>
      </c>
      <c r="P33" s="43">
        <v>48</v>
      </c>
      <c r="Q33" s="59">
        <v>4</v>
      </c>
      <c r="R33" s="112"/>
    </row>
    <row r="34" spans="2:18" x14ac:dyDescent="0.3">
      <c r="B34" s="77"/>
      <c r="C34" s="214"/>
      <c r="D34" s="18">
        <v>10</v>
      </c>
      <c r="E34" s="64">
        <v>1.67</v>
      </c>
      <c r="F34" s="101" t="s">
        <v>24</v>
      </c>
      <c r="G34" s="43" t="s">
        <v>24</v>
      </c>
      <c r="H34" s="43">
        <v>13</v>
      </c>
      <c r="I34" s="59" t="s">
        <v>24</v>
      </c>
      <c r="J34" s="115">
        <v>0.30499999999999999</v>
      </c>
      <c r="K34" s="214"/>
      <c r="L34" s="18">
        <v>10</v>
      </c>
      <c r="M34" s="64">
        <v>3.44</v>
      </c>
      <c r="N34" s="101" t="s">
        <v>24</v>
      </c>
      <c r="O34" s="43">
        <v>1</v>
      </c>
      <c r="P34" s="43">
        <v>2</v>
      </c>
      <c r="Q34" s="59" t="s">
        <v>24</v>
      </c>
      <c r="R34" s="115">
        <v>0.65400000000000003</v>
      </c>
    </row>
    <row r="35" spans="2:18" ht="15" thickBot="1" x14ac:dyDescent="0.35">
      <c r="B35" s="77"/>
      <c r="C35" s="214"/>
      <c r="D35" s="18">
        <v>30</v>
      </c>
      <c r="E35" s="64">
        <v>1.66</v>
      </c>
      <c r="F35" s="101" t="s">
        <v>24</v>
      </c>
      <c r="G35" s="43" t="s">
        <v>24</v>
      </c>
      <c r="H35" s="43">
        <v>5</v>
      </c>
      <c r="I35" s="59" t="s">
        <v>24</v>
      </c>
      <c r="J35" s="115">
        <v>0.28299999999999997</v>
      </c>
      <c r="K35" s="214"/>
      <c r="L35" s="18">
        <v>30</v>
      </c>
      <c r="M35" s="76">
        <v>3.28</v>
      </c>
      <c r="N35" s="103" t="s">
        <v>24</v>
      </c>
      <c r="O35" s="45" t="s">
        <v>24</v>
      </c>
      <c r="P35" s="45">
        <v>6</v>
      </c>
      <c r="Q35" s="104" t="s">
        <v>24</v>
      </c>
      <c r="R35" s="115">
        <v>0.61799999999999999</v>
      </c>
    </row>
    <row r="36" spans="2:18" ht="15" customHeight="1" x14ac:dyDescent="0.3">
      <c r="B36" s="77"/>
      <c r="C36" s="214"/>
      <c r="D36" s="5"/>
      <c r="E36" s="5"/>
      <c r="F36" s="4"/>
      <c r="G36" s="4"/>
      <c r="H36" s="4"/>
      <c r="I36" s="4"/>
      <c r="J36" s="117"/>
      <c r="K36" s="214"/>
      <c r="L36" s="5"/>
      <c r="M36" s="5"/>
      <c r="N36" s="4"/>
      <c r="O36" s="4"/>
      <c r="P36" s="4"/>
      <c r="Q36" s="22"/>
      <c r="R36" s="117"/>
    </row>
    <row r="37" spans="2:18" x14ac:dyDescent="0.3">
      <c r="B37" s="77"/>
      <c r="C37" s="11"/>
      <c r="D37" s="10"/>
      <c r="E37" s="10"/>
      <c r="F37" s="61"/>
      <c r="G37" s="61"/>
      <c r="H37" s="61"/>
      <c r="I37" s="61"/>
      <c r="K37" s="11"/>
      <c r="L37" s="10"/>
      <c r="M37" s="10"/>
      <c r="N37" s="61"/>
      <c r="O37" s="61"/>
      <c r="P37" s="61"/>
      <c r="Q37" s="23"/>
    </row>
    <row r="38" spans="2:18" ht="15" thickBot="1" x14ac:dyDescent="0.35">
      <c r="B38" s="78"/>
      <c r="C38" s="15"/>
      <c r="D38" s="15"/>
      <c r="E38" s="15"/>
      <c r="F38" s="15"/>
      <c r="G38" s="15"/>
      <c r="H38" s="15"/>
      <c r="I38" s="15"/>
      <c r="J38" s="13"/>
      <c r="K38" s="15"/>
      <c r="L38" s="15"/>
      <c r="M38" s="15"/>
      <c r="N38" s="15"/>
      <c r="O38" s="15"/>
      <c r="P38" s="15"/>
      <c r="Q38" s="94"/>
    </row>
    <row r="39" spans="2:18" ht="15" customHeight="1" x14ac:dyDescent="0.3">
      <c r="B39" s="77"/>
      <c r="E39" s="11"/>
      <c r="F39" s="11"/>
      <c r="M39" s="11"/>
      <c r="N39" s="11"/>
      <c r="Q39" s="9"/>
    </row>
    <row r="40" spans="2:18" ht="15" thickBot="1" x14ac:dyDescent="0.35">
      <c r="B40" s="77"/>
      <c r="C40" s="14"/>
      <c r="D40" s="15"/>
      <c r="E40" s="15"/>
      <c r="F40" s="15"/>
      <c r="G40" s="15"/>
      <c r="H40" s="15"/>
      <c r="I40" s="15"/>
      <c r="J40" s="13"/>
      <c r="K40" s="13"/>
      <c r="L40" s="15"/>
      <c r="M40" s="15"/>
      <c r="N40" s="13"/>
      <c r="O40" s="13"/>
      <c r="P40" s="13"/>
      <c r="Q40" s="16"/>
    </row>
    <row r="41" spans="2:18" ht="15" thickBot="1" x14ac:dyDescent="0.35">
      <c r="B41" s="77"/>
      <c r="C41" s="7" t="s">
        <v>42</v>
      </c>
      <c r="D41" s="6"/>
      <c r="E41" s="6" t="s">
        <v>48</v>
      </c>
      <c r="F41" s="6"/>
      <c r="G41" s="6"/>
      <c r="H41" s="6"/>
      <c r="I41" s="6"/>
      <c r="J41" s="6"/>
      <c r="K41" s="7" t="s">
        <v>42</v>
      </c>
      <c r="L41" s="6"/>
      <c r="M41" s="6" t="s">
        <v>48</v>
      </c>
      <c r="N41" s="6"/>
      <c r="O41" s="6"/>
      <c r="P41" s="6"/>
      <c r="Q41" s="8"/>
    </row>
    <row r="42" spans="2:18" ht="15" thickBot="1" x14ac:dyDescent="0.35">
      <c r="B42" s="77"/>
      <c r="C42" s="3" t="s">
        <v>3</v>
      </c>
      <c r="D42" s="3" t="s">
        <v>4</v>
      </c>
      <c r="E42" s="3" t="s">
        <v>49</v>
      </c>
      <c r="F42" s="20" t="s">
        <v>6</v>
      </c>
      <c r="G42" s="20" t="s">
        <v>7</v>
      </c>
      <c r="H42" s="20" t="s">
        <v>8</v>
      </c>
      <c r="I42" s="20" t="s">
        <v>31</v>
      </c>
      <c r="K42" s="3" t="s">
        <v>3</v>
      </c>
      <c r="L42" s="3" t="s">
        <v>4</v>
      </c>
      <c r="M42" s="3" t="s">
        <v>49</v>
      </c>
      <c r="N42" s="20" t="s">
        <v>6</v>
      </c>
      <c r="O42" s="20" t="s">
        <v>7</v>
      </c>
      <c r="P42" s="20" t="s">
        <v>8</v>
      </c>
      <c r="Q42" s="21" t="s">
        <v>31</v>
      </c>
    </row>
    <row r="43" spans="2:18" ht="14.25" customHeight="1" x14ac:dyDescent="0.3">
      <c r="B43" s="77"/>
      <c r="C43" s="214" t="s">
        <v>66</v>
      </c>
      <c r="D43" s="18">
        <v>0</v>
      </c>
      <c r="E43" s="87">
        <v>1.95</v>
      </c>
      <c r="F43" s="101" t="s">
        <v>22</v>
      </c>
      <c r="G43" s="43" t="s">
        <v>22</v>
      </c>
      <c r="H43" s="43">
        <v>24</v>
      </c>
      <c r="I43" s="59" t="s">
        <v>22</v>
      </c>
      <c r="K43" s="214" t="s">
        <v>66</v>
      </c>
      <c r="L43" s="18">
        <v>0</v>
      </c>
      <c r="M43" s="89">
        <v>4.0199999999999996</v>
      </c>
      <c r="N43" s="101" t="s">
        <v>22</v>
      </c>
      <c r="O43" s="43" t="s">
        <v>22</v>
      </c>
      <c r="P43" s="43">
        <v>4</v>
      </c>
      <c r="Q43" s="59" t="s">
        <v>22</v>
      </c>
    </row>
    <row r="44" spans="2:18" x14ac:dyDescent="0.3">
      <c r="B44" s="77"/>
      <c r="C44" s="214"/>
      <c r="D44" s="18">
        <v>1</v>
      </c>
      <c r="E44" s="89">
        <v>0.05</v>
      </c>
      <c r="F44" s="101" t="s">
        <v>22</v>
      </c>
      <c r="G44" s="43" t="s">
        <v>22</v>
      </c>
      <c r="H44" s="43">
        <v>6</v>
      </c>
      <c r="I44" s="59" t="s">
        <v>22</v>
      </c>
      <c r="K44" s="214"/>
      <c r="L44" s="18">
        <v>1</v>
      </c>
      <c r="M44" s="89">
        <v>0.18</v>
      </c>
      <c r="N44" s="101" t="s">
        <v>22</v>
      </c>
      <c r="O44" s="43" t="s">
        <v>22</v>
      </c>
      <c r="P44" s="43">
        <v>52</v>
      </c>
      <c r="Q44" s="59" t="s">
        <v>22</v>
      </c>
    </row>
    <row r="45" spans="2:18" ht="14.25" customHeight="1" x14ac:dyDescent="0.3">
      <c r="B45" s="91" t="s">
        <v>17</v>
      </c>
      <c r="C45" s="214"/>
      <c r="D45" s="18">
        <v>3</v>
      </c>
      <c r="E45" s="89">
        <v>0.06</v>
      </c>
      <c r="F45" s="101" t="s">
        <v>22</v>
      </c>
      <c r="G45" s="43" t="s">
        <v>22</v>
      </c>
      <c r="H45" s="43">
        <v>4</v>
      </c>
      <c r="I45" s="59" t="s">
        <v>22</v>
      </c>
      <c r="K45" s="214"/>
      <c r="L45" s="18">
        <v>3</v>
      </c>
      <c r="M45" s="89">
        <v>0.15</v>
      </c>
      <c r="N45" s="101" t="s">
        <v>22</v>
      </c>
      <c r="O45" s="43" t="s">
        <v>22</v>
      </c>
      <c r="P45" s="43">
        <v>4</v>
      </c>
      <c r="Q45" s="59" t="s">
        <v>22</v>
      </c>
    </row>
    <row r="46" spans="2:18" x14ac:dyDescent="0.3">
      <c r="B46" s="77"/>
      <c r="C46" s="214"/>
      <c r="D46" s="18">
        <v>5</v>
      </c>
      <c r="E46" s="89">
        <v>0.04</v>
      </c>
      <c r="F46" s="101" t="s">
        <v>22</v>
      </c>
      <c r="G46" s="43" t="s">
        <v>22</v>
      </c>
      <c r="H46" s="43">
        <v>200</v>
      </c>
      <c r="I46" s="59" t="s">
        <v>22</v>
      </c>
      <c r="K46" s="214"/>
      <c r="L46" s="18">
        <v>5</v>
      </c>
      <c r="M46" s="89">
        <v>0.08</v>
      </c>
      <c r="N46" s="101" t="s">
        <v>22</v>
      </c>
      <c r="O46" s="43" t="s">
        <v>22</v>
      </c>
      <c r="P46" s="43">
        <v>48</v>
      </c>
      <c r="Q46" s="59">
        <v>4</v>
      </c>
    </row>
    <row r="47" spans="2:18" x14ac:dyDescent="0.3">
      <c r="B47" s="77"/>
      <c r="C47" s="214"/>
      <c r="D47" s="18">
        <v>10</v>
      </c>
      <c r="E47" s="89">
        <v>0.04</v>
      </c>
      <c r="F47" s="101" t="s">
        <v>24</v>
      </c>
      <c r="G47" s="43" t="s">
        <v>24</v>
      </c>
      <c r="H47" s="43">
        <v>13</v>
      </c>
      <c r="I47" s="59" t="s">
        <v>24</v>
      </c>
      <c r="K47" s="214"/>
      <c r="L47" s="18">
        <v>10</v>
      </c>
      <c r="M47" s="89">
        <v>0.13</v>
      </c>
      <c r="N47" s="101" t="s">
        <v>24</v>
      </c>
      <c r="O47" s="43">
        <v>1</v>
      </c>
      <c r="P47" s="43">
        <v>2</v>
      </c>
      <c r="Q47" s="59" t="s">
        <v>24</v>
      </c>
    </row>
    <row r="48" spans="2:18" ht="15" thickBot="1" x14ac:dyDescent="0.35">
      <c r="B48" s="77"/>
      <c r="C48" s="214"/>
      <c r="D48" s="18">
        <v>30</v>
      </c>
      <c r="E48" s="89">
        <v>0.08</v>
      </c>
      <c r="F48" s="101" t="s">
        <v>24</v>
      </c>
      <c r="G48" s="43" t="s">
        <v>24</v>
      </c>
      <c r="H48" s="43">
        <v>5</v>
      </c>
      <c r="I48" s="59" t="s">
        <v>24</v>
      </c>
      <c r="K48" s="214"/>
      <c r="L48" s="18">
        <v>30</v>
      </c>
      <c r="M48" s="95">
        <v>0.3</v>
      </c>
      <c r="N48" s="103" t="s">
        <v>24</v>
      </c>
      <c r="O48" s="45" t="s">
        <v>24</v>
      </c>
      <c r="P48" s="45">
        <v>6</v>
      </c>
      <c r="Q48" s="104" t="s">
        <v>24</v>
      </c>
    </row>
    <row r="49" spans="2:17" x14ac:dyDescent="0.3">
      <c r="B49" s="77"/>
      <c r="C49" s="214"/>
      <c r="D49" s="5"/>
      <c r="E49" s="5"/>
      <c r="F49" s="4"/>
      <c r="G49" s="4"/>
      <c r="H49" s="4"/>
      <c r="I49" s="4"/>
      <c r="K49" s="214"/>
      <c r="L49" s="5"/>
      <c r="M49" s="5"/>
      <c r="N49" s="4"/>
      <c r="O49" s="4"/>
      <c r="P49" s="4"/>
      <c r="Q49" s="22"/>
    </row>
    <row r="50" spans="2:17" x14ac:dyDescent="0.3">
      <c r="B50" s="77"/>
      <c r="C50" s="11"/>
      <c r="D50" s="10"/>
      <c r="E50" s="10"/>
      <c r="F50" s="61"/>
      <c r="G50" s="61"/>
      <c r="H50" s="61"/>
      <c r="I50" s="61"/>
      <c r="K50" s="11"/>
      <c r="L50" s="10"/>
      <c r="M50" s="10"/>
      <c r="N50" s="61"/>
      <c r="O50" s="61"/>
      <c r="P50" s="61"/>
      <c r="Q50" s="23"/>
    </row>
    <row r="51" spans="2:17" x14ac:dyDescent="0.3">
      <c r="B51" s="77"/>
      <c r="C51" s="11"/>
      <c r="D51" s="11"/>
      <c r="E51" s="11"/>
      <c r="F51" s="11"/>
      <c r="G51" s="11"/>
      <c r="H51" s="11"/>
      <c r="I51" s="11"/>
      <c r="K51" s="11"/>
      <c r="L51" s="11"/>
      <c r="M51" s="11"/>
      <c r="N51" s="11"/>
      <c r="O51" s="11"/>
      <c r="P51" s="11"/>
      <c r="Q51" s="84"/>
    </row>
    <row r="52" spans="2:17" ht="15" customHeight="1" x14ac:dyDescent="0.3">
      <c r="B52" s="77"/>
      <c r="E52" s="11"/>
      <c r="F52" s="11"/>
      <c r="M52" s="11"/>
      <c r="N52" s="11"/>
      <c r="Q52" s="9"/>
    </row>
    <row r="53" spans="2:17" ht="15" thickBot="1" x14ac:dyDescent="0.35">
      <c r="B53" s="78"/>
      <c r="C53" s="14"/>
      <c r="D53" s="15"/>
      <c r="E53" s="15"/>
      <c r="F53" s="15"/>
      <c r="G53" s="15"/>
      <c r="H53" s="15"/>
      <c r="I53" s="15"/>
      <c r="J53" s="13"/>
      <c r="K53" s="13"/>
      <c r="L53" s="15"/>
      <c r="M53" s="15"/>
      <c r="N53" s="13"/>
      <c r="O53" s="13"/>
      <c r="P53" s="13"/>
      <c r="Q53" s="16"/>
    </row>
    <row r="55" spans="2:17" ht="14.7" customHeight="1" x14ac:dyDescent="0.3"/>
    <row r="56" spans="2:17" ht="14.25" customHeight="1" x14ac:dyDescent="0.3"/>
    <row r="57" spans="2:17" ht="15" customHeight="1" x14ac:dyDescent="0.3"/>
    <row r="58" spans="2:17" ht="14.25" customHeight="1" x14ac:dyDescent="0.3"/>
    <row r="107" spans="2:2" ht="15" thickBot="1" x14ac:dyDescent="0.35">
      <c r="B107" s="13"/>
    </row>
    <row r="108" spans="2:2" ht="14.7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7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3:C49"/>
    <mergeCell ref="K43:K49"/>
    <mergeCell ref="C4:C10"/>
    <mergeCell ref="K4:K10"/>
    <mergeCell ref="C17:C23"/>
    <mergeCell ref="K17:K23"/>
    <mergeCell ref="C30:C36"/>
    <mergeCell ref="K30:K36"/>
  </mergeCell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213"/>
  <sheetViews>
    <sheetView zoomScale="80" zoomScaleNormal="80" workbookViewId="0">
      <selection activeCell="F143" sqref="F143"/>
    </sheetView>
  </sheetViews>
  <sheetFormatPr defaultColWidth="9.109375" defaultRowHeight="14.4" x14ac:dyDescent="0.3"/>
  <cols>
    <col min="1" max="1" width="56" style="2" bestFit="1" customWidth="1"/>
    <col min="2" max="2" width="25.44140625" style="2" bestFit="1" customWidth="1"/>
    <col min="3" max="3" width="10.6640625" style="2" bestFit="1" customWidth="1"/>
    <col min="4" max="4" width="7.6640625" style="2" customWidth="1"/>
    <col min="5" max="5" width="8.6640625" style="2" customWidth="1"/>
    <col min="6" max="6" width="6" style="2" customWidth="1"/>
    <col min="7" max="7" width="8.109375" style="2" customWidth="1"/>
    <col min="8" max="8" width="8.5546875" style="2" customWidth="1"/>
    <col min="9" max="9" width="8.6640625" style="2" customWidth="1"/>
    <col min="10" max="10" width="8.88671875" style="2" customWidth="1"/>
    <col min="11" max="11" width="9.109375" style="2"/>
    <col min="12" max="12" width="7.5546875" style="2" customWidth="1"/>
    <col min="13" max="13" width="9.33203125" style="2" customWidth="1"/>
    <col min="14" max="14" width="9.88671875" style="2" customWidth="1"/>
    <col min="15" max="15" width="11.5546875" style="2" customWidth="1"/>
    <col min="16" max="16" width="9.5546875" style="2" customWidth="1"/>
    <col min="17" max="17" width="6.5546875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25</v>
      </c>
    </row>
    <row r="2" spans="1:23" ht="26.4" thickBot="1" x14ac:dyDescent="0.55000000000000004">
      <c r="A2" s="51" t="s">
        <v>26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5.8" x14ac:dyDescent="0.5">
      <c r="A3" s="52">
        <v>45362</v>
      </c>
      <c r="B3" s="77"/>
      <c r="C3" s="3" t="s">
        <v>3</v>
      </c>
      <c r="D3" s="3" t="s">
        <v>4</v>
      </c>
      <c r="E3" s="3" t="s">
        <v>44</v>
      </c>
      <c r="F3" s="74" t="s">
        <v>6</v>
      </c>
      <c r="G3" s="74" t="s">
        <v>7</v>
      </c>
      <c r="H3" s="74" t="s">
        <v>8</v>
      </c>
      <c r="I3" s="79" t="s">
        <v>20</v>
      </c>
      <c r="K3" s="3" t="s">
        <v>3</v>
      </c>
      <c r="L3" s="3" t="s">
        <v>4</v>
      </c>
      <c r="M3" s="3" t="s">
        <v>44</v>
      </c>
      <c r="N3" s="20" t="s">
        <v>6</v>
      </c>
      <c r="O3" s="20" t="s">
        <v>7</v>
      </c>
      <c r="P3" s="20" t="s">
        <v>8</v>
      </c>
      <c r="Q3" s="21" t="s">
        <v>20</v>
      </c>
      <c r="S3" s="1"/>
      <c r="U3" s="1"/>
      <c r="W3" s="1"/>
    </row>
    <row r="4" spans="1:23" ht="15" customHeight="1" x14ac:dyDescent="0.3">
      <c r="B4" s="77"/>
      <c r="C4" s="213" t="s">
        <v>69</v>
      </c>
      <c r="D4" s="18">
        <v>0</v>
      </c>
      <c r="E4" s="43">
        <v>1.04</v>
      </c>
      <c r="F4" s="43">
        <v>14500</v>
      </c>
      <c r="G4" s="43">
        <v>2600</v>
      </c>
      <c r="H4" s="43">
        <v>170000</v>
      </c>
      <c r="I4" s="43">
        <v>4500</v>
      </c>
      <c r="K4" s="214" t="s">
        <v>69</v>
      </c>
      <c r="L4" s="18">
        <v>0</v>
      </c>
      <c r="M4" s="81">
        <v>2</v>
      </c>
      <c r="N4" s="101">
        <v>13500</v>
      </c>
      <c r="O4" s="43">
        <v>25000</v>
      </c>
      <c r="P4" s="43">
        <v>160000</v>
      </c>
      <c r="Q4" s="59">
        <v>4000</v>
      </c>
      <c r="S4" s="1"/>
      <c r="U4" s="1"/>
    </row>
    <row r="5" spans="1:23" x14ac:dyDescent="0.3">
      <c r="B5" s="77"/>
      <c r="C5" s="213"/>
      <c r="D5" s="18">
        <v>1</v>
      </c>
      <c r="E5" s="43">
        <v>0.82</v>
      </c>
      <c r="F5" s="43">
        <v>4600</v>
      </c>
      <c r="G5" s="43">
        <v>7000</v>
      </c>
      <c r="H5" s="43">
        <v>76000</v>
      </c>
      <c r="I5" s="43">
        <v>3700</v>
      </c>
      <c r="K5" s="214"/>
      <c r="L5" s="18">
        <v>1</v>
      </c>
      <c r="M5" s="81">
        <v>1.64</v>
      </c>
      <c r="N5" s="101">
        <v>560</v>
      </c>
      <c r="O5" s="43">
        <v>1100</v>
      </c>
      <c r="P5" s="43">
        <v>21500</v>
      </c>
      <c r="Q5" s="59">
        <v>2740</v>
      </c>
    </row>
    <row r="6" spans="1:23" ht="25.8" x14ac:dyDescent="0.5">
      <c r="A6" s="51" t="s">
        <v>70</v>
      </c>
      <c r="B6" s="91" t="s">
        <v>12</v>
      </c>
      <c r="C6" s="213"/>
      <c r="D6" s="18">
        <v>3</v>
      </c>
      <c r="E6" s="43">
        <v>0.83</v>
      </c>
      <c r="F6" s="43">
        <v>320</v>
      </c>
      <c r="G6" s="43">
        <v>1000</v>
      </c>
      <c r="H6" s="43">
        <v>27000</v>
      </c>
      <c r="I6" s="43">
        <v>1620</v>
      </c>
      <c r="K6" s="214"/>
      <c r="L6" s="18">
        <v>3</v>
      </c>
      <c r="M6" s="81">
        <v>1.51</v>
      </c>
      <c r="N6" s="101">
        <v>36</v>
      </c>
      <c r="O6" s="43">
        <v>76</v>
      </c>
      <c r="P6" s="43">
        <v>1020</v>
      </c>
      <c r="Q6" s="59">
        <v>480</v>
      </c>
    </row>
    <row r="7" spans="1:23" x14ac:dyDescent="0.3">
      <c r="B7" s="77"/>
      <c r="C7" s="213"/>
      <c r="D7" s="18">
        <v>5</v>
      </c>
      <c r="E7" s="43">
        <v>0.74</v>
      </c>
      <c r="F7" s="43">
        <v>42</v>
      </c>
      <c r="G7" s="43">
        <v>90</v>
      </c>
      <c r="H7" s="43">
        <v>3650</v>
      </c>
      <c r="I7" s="43">
        <v>844</v>
      </c>
      <c r="K7" s="214"/>
      <c r="L7" s="18">
        <v>5</v>
      </c>
      <c r="M7" s="81">
        <v>1.49</v>
      </c>
      <c r="N7" s="101">
        <v>46</v>
      </c>
      <c r="O7" s="43">
        <v>78</v>
      </c>
      <c r="P7" s="43">
        <v>845</v>
      </c>
      <c r="Q7" s="59">
        <v>170</v>
      </c>
    </row>
    <row r="8" spans="1:23" x14ac:dyDescent="0.3">
      <c r="B8" s="77"/>
      <c r="C8" s="213"/>
      <c r="D8" s="18">
        <v>10</v>
      </c>
      <c r="E8" s="43">
        <v>0.68</v>
      </c>
      <c r="F8" s="43">
        <v>35</v>
      </c>
      <c r="G8" s="43">
        <v>70</v>
      </c>
      <c r="H8" s="43">
        <v>670</v>
      </c>
      <c r="I8" s="43">
        <v>143</v>
      </c>
      <c r="K8" s="214"/>
      <c r="L8" s="18">
        <v>10</v>
      </c>
      <c r="M8" s="81">
        <v>1.34</v>
      </c>
      <c r="N8" s="101">
        <v>24</v>
      </c>
      <c r="O8" s="43">
        <v>35</v>
      </c>
      <c r="P8" s="43">
        <v>568</v>
      </c>
      <c r="Q8" s="59">
        <v>10</v>
      </c>
    </row>
    <row r="9" spans="1:23" x14ac:dyDescent="0.3">
      <c r="B9" s="77"/>
      <c r="C9" s="213"/>
      <c r="D9" s="18">
        <v>30</v>
      </c>
      <c r="E9" s="43">
        <v>0.46</v>
      </c>
      <c r="F9" s="43">
        <v>31</v>
      </c>
      <c r="G9" s="43">
        <v>38</v>
      </c>
      <c r="H9" s="43">
        <v>292</v>
      </c>
      <c r="I9" s="43">
        <v>8</v>
      </c>
      <c r="K9" s="214"/>
      <c r="L9" s="18">
        <v>30</v>
      </c>
      <c r="M9" s="81">
        <v>0.9</v>
      </c>
      <c r="N9" s="101">
        <v>10</v>
      </c>
      <c r="O9" s="43">
        <v>23</v>
      </c>
      <c r="P9" s="43">
        <v>113</v>
      </c>
      <c r="Q9" s="59">
        <v>6</v>
      </c>
    </row>
    <row r="10" spans="1:23" x14ac:dyDescent="0.3">
      <c r="B10" s="77"/>
      <c r="C10" s="213"/>
      <c r="D10" s="5"/>
      <c r="E10" s="5"/>
      <c r="F10" s="4"/>
      <c r="G10" s="4"/>
      <c r="H10" s="4"/>
      <c r="I10" s="4"/>
      <c r="K10" s="214"/>
      <c r="L10" s="5"/>
      <c r="M10" s="5"/>
      <c r="N10" s="4"/>
      <c r="O10" s="4"/>
      <c r="P10" s="4"/>
      <c r="Q10" s="22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x14ac:dyDescent="0.3">
      <c r="B13" s="58"/>
      <c r="C13" s="6"/>
      <c r="D13" s="6"/>
      <c r="E13" s="100"/>
      <c r="F13" s="100"/>
      <c r="G13" s="6"/>
      <c r="H13" s="6"/>
      <c r="I13" s="6"/>
      <c r="J13" s="6"/>
      <c r="K13" s="6"/>
      <c r="L13" s="6"/>
      <c r="M13" s="100"/>
      <c r="N13" s="100"/>
      <c r="O13" s="6"/>
      <c r="P13" s="6"/>
      <c r="Q13" s="8"/>
    </row>
    <row r="14" spans="1:23" ht="15" thickBot="1" x14ac:dyDescent="0.35">
      <c r="B14" s="77"/>
      <c r="C14" s="14"/>
      <c r="D14" s="15"/>
      <c r="E14" s="15"/>
      <c r="F14" s="15"/>
      <c r="G14" s="15"/>
      <c r="H14" s="15"/>
      <c r="I14" s="15"/>
      <c r="J14" s="13"/>
      <c r="K14" s="13"/>
      <c r="L14" s="15"/>
      <c r="M14" s="15"/>
      <c r="N14" s="13"/>
      <c r="O14" s="13"/>
      <c r="P14" s="13"/>
      <c r="Q14" s="16"/>
    </row>
    <row r="15" spans="1:23" ht="15" thickBot="1" x14ac:dyDescent="0.35">
      <c r="B15" s="77"/>
      <c r="C15" s="7" t="s">
        <v>42</v>
      </c>
      <c r="D15" s="6"/>
      <c r="E15" s="6" t="s">
        <v>47</v>
      </c>
      <c r="F15" s="6"/>
      <c r="G15" s="6"/>
      <c r="H15" s="6"/>
      <c r="I15" s="6"/>
      <c r="J15" s="6"/>
      <c r="K15" s="7" t="s">
        <v>42</v>
      </c>
      <c r="L15" s="6"/>
      <c r="M15" s="6" t="s">
        <v>47</v>
      </c>
      <c r="N15" s="6"/>
      <c r="O15" s="6"/>
      <c r="P15" s="6"/>
      <c r="Q15" s="8"/>
    </row>
    <row r="16" spans="1:23" x14ac:dyDescent="0.3">
      <c r="B16" s="77"/>
      <c r="C16" s="3" t="s">
        <v>3</v>
      </c>
      <c r="D16" s="3" t="s">
        <v>4</v>
      </c>
      <c r="E16" s="3" t="s">
        <v>55</v>
      </c>
      <c r="F16" s="20" t="s">
        <v>6</v>
      </c>
      <c r="G16" s="20" t="s">
        <v>7</v>
      </c>
      <c r="H16" s="20" t="s">
        <v>8</v>
      </c>
      <c r="I16" s="20" t="s">
        <v>20</v>
      </c>
      <c r="K16" s="3" t="s">
        <v>3</v>
      </c>
      <c r="L16" s="3" t="s">
        <v>4</v>
      </c>
      <c r="M16" s="3" t="s">
        <v>55</v>
      </c>
      <c r="N16" s="20" t="s">
        <v>6</v>
      </c>
      <c r="O16" s="20" t="s">
        <v>7</v>
      </c>
      <c r="P16" s="20" t="s">
        <v>8</v>
      </c>
      <c r="Q16" s="21" t="s">
        <v>20</v>
      </c>
    </row>
    <row r="17" spans="2:18" ht="15" customHeight="1" x14ac:dyDescent="0.3">
      <c r="B17" s="77"/>
      <c r="C17" s="214" t="s">
        <v>69</v>
      </c>
      <c r="D17" s="18">
        <v>0</v>
      </c>
      <c r="E17" s="81">
        <v>1.9</v>
      </c>
      <c r="F17" s="101">
        <v>38000</v>
      </c>
      <c r="G17" s="43">
        <v>37000</v>
      </c>
      <c r="H17" s="43">
        <v>220000</v>
      </c>
      <c r="I17" s="59">
        <v>12500</v>
      </c>
      <c r="K17" s="214" t="s">
        <v>69</v>
      </c>
      <c r="L17" s="18">
        <v>0</v>
      </c>
      <c r="M17" s="64">
        <v>3.99</v>
      </c>
      <c r="N17" s="101">
        <v>23000</v>
      </c>
      <c r="O17" s="43">
        <v>32000</v>
      </c>
      <c r="P17" s="43">
        <v>220000</v>
      </c>
      <c r="Q17" s="59">
        <v>13500</v>
      </c>
    </row>
    <row r="18" spans="2:18" x14ac:dyDescent="0.3">
      <c r="B18" s="77"/>
      <c r="C18" s="214"/>
      <c r="D18" s="18">
        <v>1</v>
      </c>
      <c r="E18" s="81">
        <v>1.76</v>
      </c>
      <c r="F18" s="101">
        <v>30500</v>
      </c>
      <c r="G18" s="43">
        <v>46000</v>
      </c>
      <c r="H18" s="43">
        <v>200000</v>
      </c>
      <c r="I18" s="59">
        <v>16500</v>
      </c>
      <c r="K18" s="214"/>
      <c r="L18" s="18">
        <v>1</v>
      </c>
      <c r="M18" s="64">
        <v>3.69</v>
      </c>
      <c r="N18" s="101">
        <v>25250</v>
      </c>
      <c r="O18" s="43">
        <v>35000</v>
      </c>
      <c r="P18" s="43">
        <v>245000</v>
      </c>
      <c r="Q18" s="59">
        <v>10500</v>
      </c>
    </row>
    <row r="19" spans="2:18" ht="14.25" customHeight="1" x14ac:dyDescent="0.3">
      <c r="B19" s="91" t="s">
        <v>13</v>
      </c>
      <c r="C19" s="214"/>
      <c r="D19" s="18">
        <v>3</v>
      </c>
      <c r="E19" s="81">
        <v>1.63</v>
      </c>
      <c r="F19" s="101">
        <v>23000</v>
      </c>
      <c r="G19" s="43">
        <v>34000</v>
      </c>
      <c r="H19" s="43">
        <v>230000</v>
      </c>
      <c r="I19" s="59">
        <v>12000</v>
      </c>
      <c r="K19" s="214"/>
      <c r="L19" s="18">
        <v>3</v>
      </c>
      <c r="M19" s="64">
        <v>3.62</v>
      </c>
      <c r="N19" s="101">
        <v>8600</v>
      </c>
      <c r="O19" s="43">
        <v>18500</v>
      </c>
      <c r="P19" s="43">
        <v>118000</v>
      </c>
      <c r="Q19" s="59">
        <v>8800</v>
      </c>
    </row>
    <row r="20" spans="2:18" x14ac:dyDescent="0.3">
      <c r="B20" s="77"/>
      <c r="C20" s="214"/>
      <c r="D20" s="18">
        <v>5</v>
      </c>
      <c r="E20" s="81">
        <v>1.61</v>
      </c>
      <c r="F20" s="101">
        <v>28500</v>
      </c>
      <c r="G20" s="43">
        <v>32000</v>
      </c>
      <c r="H20" s="43">
        <v>190000</v>
      </c>
      <c r="I20" s="59">
        <v>12000</v>
      </c>
      <c r="K20" s="214"/>
      <c r="L20" s="18">
        <v>5</v>
      </c>
      <c r="M20" s="64">
        <v>3.56</v>
      </c>
      <c r="N20" s="101">
        <v>334</v>
      </c>
      <c r="O20" s="43">
        <v>1670</v>
      </c>
      <c r="P20" s="43">
        <v>27500</v>
      </c>
      <c r="Q20" s="59">
        <v>3920</v>
      </c>
    </row>
    <row r="21" spans="2:18" x14ac:dyDescent="0.3">
      <c r="B21" s="77"/>
      <c r="C21" s="214"/>
      <c r="D21" s="18">
        <v>10</v>
      </c>
      <c r="E21" s="81">
        <v>1.55</v>
      </c>
      <c r="F21" s="101">
        <v>1600</v>
      </c>
      <c r="G21" s="43">
        <v>9200</v>
      </c>
      <c r="H21" s="43">
        <v>92000</v>
      </c>
      <c r="I21" s="59">
        <v>7540</v>
      </c>
      <c r="K21" s="214"/>
      <c r="L21" s="18">
        <v>10</v>
      </c>
      <c r="M21" s="64">
        <v>3.52</v>
      </c>
      <c r="N21" s="101">
        <v>122</v>
      </c>
      <c r="O21" s="43">
        <v>460</v>
      </c>
      <c r="P21" s="43">
        <v>5000</v>
      </c>
      <c r="Q21" s="59">
        <v>1480</v>
      </c>
    </row>
    <row r="22" spans="2:18" x14ac:dyDescent="0.3">
      <c r="B22" s="77"/>
      <c r="C22" s="214"/>
      <c r="D22" s="18">
        <v>30</v>
      </c>
      <c r="E22" s="81">
        <v>1.38</v>
      </c>
      <c r="F22" s="101">
        <v>129</v>
      </c>
      <c r="G22" s="43">
        <v>430</v>
      </c>
      <c r="H22" s="43">
        <v>5800</v>
      </c>
      <c r="I22" s="59">
        <v>940</v>
      </c>
      <c r="K22" s="214"/>
      <c r="L22" s="18">
        <v>30</v>
      </c>
      <c r="M22" s="64">
        <v>3.39</v>
      </c>
      <c r="N22" s="101">
        <v>104</v>
      </c>
      <c r="O22" s="43">
        <v>118</v>
      </c>
      <c r="P22" s="43">
        <v>550</v>
      </c>
      <c r="Q22" s="59">
        <v>20</v>
      </c>
    </row>
    <row r="23" spans="2:18" x14ac:dyDescent="0.3">
      <c r="B23" s="77"/>
      <c r="C23" s="214"/>
      <c r="D23" s="5"/>
      <c r="E23" s="5"/>
      <c r="F23" s="4"/>
      <c r="G23" s="4"/>
      <c r="H23" s="4"/>
      <c r="I23" s="4"/>
      <c r="K23" s="214"/>
      <c r="L23" s="5"/>
      <c r="M23" s="5"/>
      <c r="N23" s="4"/>
      <c r="O23" s="4"/>
      <c r="P23" s="4"/>
      <c r="Q23" s="22"/>
    </row>
    <row r="24" spans="2:18" x14ac:dyDescent="0.3">
      <c r="B24" s="77"/>
      <c r="C24" s="11"/>
      <c r="D24" s="10"/>
      <c r="E24" s="10"/>
      <c r="F24" s="61"/>
      <c r="G24" s="61"/>
      <c r="H24" s="61"/>
      <c r="I24" s="61"/>
      <c r="K24" s="11"/>
      <c r="L24" s="10"/>
      <c r="M24" s="10"/>
      <c r="N24" s="61"/>
      <c r="O24" s="61"/>
      <c r="P24" s="61"/>
      <c r="Q24" s="23"/>
    </row>
    <row r="25" spans="2:18" ht="15" thickBot="1" x14ac:dyDescent="0.35">
      <c r="B25" s="78"/>
      <c r="C25" s="15"/>
      <c r="D25" s="15"/>
      <c r="E25" s="15"/>
      <c r="F25" s="15"/>
      <c r="G25" s="15"/>
      <c r="H25" s="15"/>
      <c r="I25" s="15"/>
      <c r="J25" s="13"/>
      <c r="K25" s="15"/>
      <c r="L25" s="15"/>
      <c r="M25" s="15"/>
      <c r="N25" s="15"/>
      <c r="O25" s="15"/>
      <c r="P25" s="15"/>
      <c r="Q25" s="94"/>
    </row>
    <row r="26" spans="2:18" x14ac:dyDescent="0.3">
      <c r="B26" s="58"/>
      <c r="C26" s="6"/>
      <c r="D26" s="6"/>
      <c r="E26" s="100"/>
      <c r="F26" s="100"/>
      <c r="G26" s="6"/>
      <c r="H26" s="6"/>
      <c r="I26" s="6"/>
      <c r="J26" s="6"/>
      <c r="K26" s="6"/>
      <c r="L26" s="6"/>
      <c r="M26" s="100"/>
      <c r="N26" s="100"/>
      <c r="O26" s="6"/>
      <c r="P26" s="6"/>
      <c r="Q26" s="8"/>
    </row>
    <row r="27" spans="2:18" ht="15" thickBot="1" x14ac:dyDescent="0.35">
      <c r="B27" s="77"/>
      <c r="C27" s="14"/>
      <c r="D27" s="15"/>
      <c r="E27" s="15"/>
      <c r="F27" s="15"/>
      <c r="G27" s="15"/>
      <c r="H27" s="15"/>
      <c r="I27" s="15"/>
      <c r="J27" s="13"/>
      <c r="K27" s="13"/>
      <c r="L27" s="15"/>
      <c r="M27" s="15"/>
      <c r="N27" s="13"/>
      <c r="O27" s="13"/>
      <c r="P27" s="13"/>
      <c r="Q27" s="16"/>
    </row>
    <row r="28" spans="2:18" ht="15" thickBot="1" x14ac:dyDescent="0.35">
      <c r="B28" s="77"/>
      <c r="C28" s="7" t="s">
        <v>42</v>
      </c>
      <c r="D28" s="6"/>
      <c r="E28" s="6" t="s">
        <v>48</v>
      </c>
      <c r="F28" s="6"/>
      <c r="G28" s="6"/>
      <c r="H28" s="6"/>
      <c r="I28" s="6"/>
      <c r="J28" s="6"/>
      <c r="K28" s="7" t="s">
        <v>42</v>
      </c>
      <c r="L28" s="6"/>
      <c r="M28" s="6" t="s">
        <v>48</v>
      </c>
      <c r="N28" s="6"/>
      <c r="O28" s="6"/>
      <c r="P28" s="6"/>
      <c r="Q28" s="8"/>
    </row>
    <row r="29" spans="2:18" x14ac:dyDescent="0.3">
      <c r="B29" s="77"/>
      <c r="C29" s="3" t="s">
        <v>3</v>
      </c>
      <c r="D29" s="3" t="s">
        <v>4</v>
      </c>
      <c r="E29" s="3" t="s">
        <v>49</v>
      </c>
      <c r="F29" s="20" t="s">
        <v>6</v>
      </c>
      <c r="G29" s="20" t="s">
        <v>7</v>
      </c>
      <c r="H29" s="20" t="s">
        <v>8</v>
      </c>
      <c r="I29" s="20" t="s">
        <v>20</v>
      </c>
      <c r="J29" s="74" t="s">
        <v>14</v>
      </c>
      <c r="K29" s="3" t="s">
        <v>3</v>
      </c>
      <c r="L29" s="3" t="s">
        <v>4</v>
      </c>
      <c r="M29" s="3" t="s">
        <v>49</v>
      </c>
      <c r="N29" s="20" t="s">
        <v>6</v>
      </c>
      <c r="O29" s="20" t="s">
        <v>7</v>
      </c>
      <c r="P29" s="20" t="s">
        <v>8</v>
      </c>
      <c r="Q29" s="21" t="s">
        <v>20</v>
      </c>
      <c r="R29" s="74" t="s">
        <v>14</v>
      </c>
    </row>
    <row r="30" spans="2:18" ht="14.25" customHeight="1" x14ac:dyDescent="0.3">
      <c r="B30" s="77"/>
      <c r="C30" s="214" t="s">
        <v>69</v>
      </c>
      <c r="D30" s="18">
        <v>0</v>
      </c>
      <c r="E30" s="81">
        <v>2.1</v>
      </c>
      <c r="F30" s="101">
        <v>22250</v>
      </c>
      <c r="G30" s="43">
        <v>43500</v>
      </c>
      <c r="H30" s="43">
        <v>115000</v>
      </c>
      <c r="I30" s="59">
        <v>11500</v>
      </c>
      <c r="J30" s="112"/>
      <c r="K30" s="214" t="s">
        <v>69</v>
      </c>
      <c r="L30" s="18">
        <v>0</v>
      </c>
      <c r="M30" s="64">
        <v>4.0599999999999996</v>
      </c>
      <c r="N30" s="101">
        <v>24000</v>
      </c>
      <c r="O30" s="43">
        <v>40000</v>
      </c>
      <c r="P30" s="43">
        <v>290000</v>
      </c>
      <c r="Q30" s="59">
        <v>18000</v>
      </c>
      <c r="R30" s="112"/>
    </row>
    <row r="31" spans="2:18" x14ac:dyDescent="0.3">
      <c r="B31" s="77"/>
      <c r="C31" s="214"/>
      <c r="D31" s="18">
        <v>1</v>
      </c>
      <c r="E31" s="81">
        <v>1.63</v>
      </c>
      <c r="F31" s="101">
        <v>29000</v>
      </c>
      <c r="G31" s="43">
        <v>37000</v>
      </c>
      <c r="H31" s="43">
        <v>440000</v>
      </c>
      <c r="I31" s="59">
        <v>13500</v>
      </c>
      <c r="J31" s="112"/>
      <c r="K31" s="214"/>
      <c r="L31" s="18">
        <v>1</v>
      </c>
      <c r="M31" s="64">
        <v>3.46</v>
      </c>
      <c r="N31" s="101">
        <v>12400</v>
      </c>
      <c r="O31" s="43">
        <v>24000</v>
      </c>
      <c r="P31" s="43">
        <v>255000</v>
      </c>
      <c r="Q31" s="59">
        <v>9800</v>
      </c>
      <c r="R31" s="112"/>
    </row>
    <row r="32" spans="2:18" ht="14.25" customHeight="1" x14ac:dyDescent="0.3">
      <c r="B32" s="91" t="s">
        <v>15</v>
      </c>
      <c r="C32" s="214"/>
      <c r="D32" s="18">
        <v>3</v>
      </c>
      <c r="E32" s="81">
        <v>1.62</v>
      </c>
      <c r="F32" s="101">
        <v>9000</v>
      </c>
      <c r="G32" s="43">
        <v>10000</v>
      </c>
      <c r="H32" s="43">
        <v>380000</v>
      </c>
      <c r="I32" s="59">
        <v>7800</v>
      </c>
      <c r="J32" s="112"/>
      <c r="K32" s="214"/>
      <c r="L32" s="18">
        <v>3</v>
      </c>
      <c r="M32" s="64">
        <v>3.34</v>
      </c>
      <c r="N32" s="101">
        <v>410</v>
      </c>
      <c r="O32" s="43">
        <v>1680</v>
      </c>
      <c r="P32" s="43">
        <v>124000</v>
      </c>
      <c r="Q32" s="59">
        <v>1400</v>
      </c>
      <c r="R32" s="112"/>
    </row>
    <row r="33" spans="2:18" x14ac:dyDescent="0.3">
      <c r="B33" s="77"/>
      <c r="C33" s="214"/>
      <c r="D33" s="18">
        <v>5</v>
      </c>
      <c r="E33" s="81">
        <v>1.58</v>
      </c>
      <c r="F33" s="101">
        <v>1000</v>
      </c>
      <c r="G33" s="43">
        <v>4400</v>
      </c>
      <c r="H33" s="43">
        <v>210000</v>
      </c>
      <c r="I33" s="59">
        <v>6600</v>
      </c>
      <c r="J33" s="112"/>
      <c r="K33" s="214"/>
      <c r="L33" s="18">
        <v>5</v>
      </c>
      <c r="M33" s="64">
        <v>3.4</v>
      </c>
      <c r="N33" s="101">
        <v>108</v>
      </c>
      <c r="O33" s="43">
        <v>296</v>
      </c>
      <c r="P33" s="43">
        <v>48000</v>
      </c>
      <c r="Q33" s="59">
        <v>3470</v>
      </c>
      <c r="R33" s="112"/>
    </row>
    <row r="34" spans="2:18" x14ac:dyDescent="0.3">
      <c r="B34" s="77"/>
      <c r="C34" s="214"/>
      <c r="D34" s="18">
        <v>10</v>
      </c>
      <c r="E34" s="81">
        <v>1.58</v>
      </c>
      <c r="F34" s="101">
        <v>430</v>
      </c>
      <c r="G34" s="43">
        <v>620</v>
      </c>
      <c r="H34" s="43">
        <v>54000</v>
      </c>
      <c r="I34" s="59">
        <v>3400</v>
      </c>
      <c r="J34" s="115">
        <v>0.311</v>
      </c>
      <c r="K34" s="214"/>
      <c r="L34" s="18">
        <v>10</v>
      </c>
      <c r="M34" s="64">
        <v>3.38</v>
      </c>
      <c r="N34" s="101">
        <v>3</v>
      </c>
      <c r="O34" s="43">
        <v>7</v>
      </c>
      <c r="P34" s="43">
        <v>1250</v>
      </c>
      <c r="Q34" s="59">
        <v>580</v>
      </c>
      <c r="R34" s="115">
        <v>0.498</v>
      </c>
    </row>
    <row r="35" spans="2:18" ht="15" thickBot="1" x14ac:dyDescent="0.35">
      <c r="B35" s="77"/>
      <c r="C35" s="214"/>
      <c r="D35" s="18">
        <v>30</v>
      </c>
      <c r="E35" s="81">
        <v>1.54</v>
      </c>
      <c r="F35" s="101">
        <v>1</v>
      </c>
      <c r="G35" s="43">
        <v>2</v>
      </c>
      <c r="H35" s="43">
        <v>17</v>
      </c>
      <c r="I35" s="59">
        <v>245</v>
      </c>
      <c r="J35" s="115">
        <v>0.25700000000000001</v>
      </c>
      <c r="K35" s="214"/>
      <c r="L35" s="18">
        <v>30</v>
      </c>
      <c r="M35" s="76">
        <v>3.26</v>
      </c>
      <c r="N35" s="103" t="s">
        <v>24</v>
      </c>
      <c r="O35" s="45" t="s">
        <v>24</v>
      </c>
      <c r="P35" s="45">
        <v>1</v>
      </c>
      <c r="Q35" s="104">
        <v>17</v>
      </c>
      <c r="R35" s="115">
        <v>0.51900000000000002</v>
      </c>
    </row>
    <row r="36" spans="2:18" ht="15" customHeight="1" x14ac:dyDescent="0.3">
      <c r="B36" s="77"/>
      <c r="C36" s="214"/>
      <c r="D36" s="5"/>
      <c r="E36" s="5"/>
      <c r="F36" s="4"/>
      <c r="G36" s="4"/>
      <c r="H36" s="4"/>
      <c r="I36" s="4"/>
      <c r="J36" s="117"/>
      <c r="K36" s="214"/>
      <c r="L36" s="5"/>
      <c r="M36" s="5"/>
      <c r="N36" s="4"/>
      <c r="O36" s="4"/>
      <c r="P36" s="4"/>
      <c r="Q36" s="22"/>
      <c r="R36" s="117"/>
    </row>
    <row r="37" spans="2:18" x14ac:dyDescent="0.3">
      <c r="B37" s="77"/>
      <c r="C37" s="11"/>
      <c r="D37" s="10"/>
      <c r="E37" s="10"/>
      <c r="F37" s="61"/>
      <c r="G37" s="61"/>
      <c r="H37" s="61"/>
      <c r="I37" s="61"/>
      <c r="K37" s="11"/>
      <c r="L37" s="10"/>
      <c r="M37" s="10"/>
      <c r="N37" s="61"/>
      <c r="O37" s="61"/>
      <c r="P37" s="61"/>
      <c r="Q37" s="23"/>
    </row>
    <row r="38" spans="2:18" ht="15" thickBot="1" x14ac:dyDescent="0.35">
      <c r="B38" s="78"/>
      <c r="C38" s="15"/>
      <c r="D38" s="15"/>
      <c r="E38" s="15"/>
      <c r="F38" s="15"/>
      <c r="G38" s="15"/>
      <c r="H38" s="15"/>
      <c r="I38" s="15"/>
      <c r="J38" s="13"/>
      <c r="K38" s="15"/>
      <c r="L38" s="15"/>
      <c r="M38" s="15"/>
      <c r="N38" s="15"/>
      <c r="O38" s="15"/>
      <c r="P38" s="15"/>
      <c r="Q38" s="94"/>
    </row>
    <row r="39" spans="2:18" ht="15" customHeight="1" x14ac:dyDescent="0.3">
      <c r="B39" s="77"/>
      <c r="E39" s="11"/>
      <c r="F39" s="11"/>
      <c r="M39" s="11"/>
      <c r="N39" s="11"/>
      <c r="Q39" s="9"/>
    </row>
    <row r="40" spans="2:18" ht="15" thickBot="1" x14ac:dyDescent="0.35">
      <c r="B40" s="77"/>
      <c r="C40" s="14"/>
      <c r="D40" s="15"/>
      <c r="E40" s="15"/>
      <c r="F40" s="15"/>
      <c r="G40" s="15"/>
      <c r="H40" s="15"/>
      <c r="I40" s="15"/>
      <c r="J40" s="13"/>
      <c r="K40" s="13"/>
      <c r="L40" s="15"/>
      <c r="M40" s="15"/>
      <c r="N40" s="13"/>
      <c r="O40" s="13"/>
      <c r="P40" s="13"/>
      <c r="Q40" s="16"/>
    </row>
    <row r="41" spans="2:18" ht="15" thickBot="1" x14ac:dyDescent="0.35">
      <c r="B41" s="77"/>
      <c r="C41" s="7" t="s">
        <v>42</v>
      </c>
      <c r="D41" s="6"/>
      <c r="E41" s="6" t="s">
        <v>48</v>
      </c>
      <c r="F41" s="6"/>
      <c r="G41" s="6"/>
      <c r="H41" s="6"/>
      <c r="I41" s="6"/>
      <c r="J41" s="6"/>
      <c r="K41" s="7" t="s">
        <v>42</v>
      </c>
      <c r="L41" s="6"/>
      <c r="M41" s="6" t="s">
        <v>48</v>
      </c>
      <c r="N41" s="6"/>
      <c r="O41" s="6"/>
      <c r="P41" s="6"/>
      <c r="Q41" s="8"/>
    </row>
    <row r="42" spans="2:18" ht="15" thickBot="1" x14ac:dyDescent="0.35">
      <c r="B42" s="77"/>
      <c r="C42" s="3" t="s">
        <v>3</v>
      </c>
      <c r="D42" s="3" t="s">
        <v>4</v>
      </c>
      <c r="E42" s="3" t="s">
        <v>49</v>
      </c>
      <c r="F42" s="20" t="s">
        <v>6</v>
      </c>
      <c r="G42" s="20" t="s">
        <v>7</v>
      </c>
      <c r="H42" s="20" t="s">
        <v>8</v>
      </c>
      <c r="I42" s="20" t="s">
        <v>20</v>
      </c>
      <c r="K42" s="3" t="s">
        <v>3</v>
      </c>
      <c r="L42" s="3" t="s">
        <v>4</v>
      </c>
      <c r="M42" s="3" t="s">
        <v>49</v>
      </c>
      <c r="N42" s="20" t="s">
        <v>6</v>
      </c>
      <c r="O42" s="20" t="s">
        <v>7</v>
      </c>
      <c r="P42" s="20" t="s">
        <v>8</v>
      </c>
      <c r="Q42" s="21" t="s">
        <v>20</v>
      </c>
    </row>
    <row r="43" spans="2:18" ht="14.25" customHeight="1" x14ac:dyDescent="0.3">
      <c r="B43" s="77"/>
      <c r="C43" s="214" t="s">
        <v>69</v>
      </c>
      <c r="D43" s="18">
        <v>0</v>
      </c>
      <c r="E43" s="105">
        <v>2.1</v>
      </c>
      <c r="F43" s="101">
        <v>22250</v>
      </c>
      <c r="G43" s="43">
        <v>43500</v>
      </c>
      <c r="H43" s="43">
        <v>115000</v>
      </c>
      <c r="I43" s="59">
        <v>11500</v>
      </c>
      <c r="K43" s="214" t="s">
        <v>69</v>
      </c>
      <c r="L43" s="18">
        <v>0</v>
      </c>
      <c r="M43" s="89">
        <v>4.0599999999999996</v>
      </c>
      <c r="N43" s="101">
        <v>24000</v>
      </c>
      <c r="O43" s="43">
        <v>40000</v>
      </c>
      <c r="P43" s="43">
        <v>290000</v>
      </c>
      <c r="Q43" s="59">
        <v>18000</v>
      </c>
    </row>
    <row r="44" spans="2:18" x14ac:dyDescent="0.3">
      <c r="B44" s="77"/>
      <c r="C44" s="214"/>
      <c r="D44" s="18">
        <v>1</v>
      </c>
      <c r="E44" s="88">
        <v>0.17</v>
      </c>
      <c r="F44" s="101">
        <v>29000</v>
      </c>
      <c r="G44" s="43">
        <v>37000</v>
      </c>
      <c r="H44" s="43">
        <v>440000</v>
      </c>
      <c r="I44" s="59">
        <v>13500</v>
      </c>
      <c r="K44" s="214"/>
      <c r="L44" s="18">
        <v>1</v>
      </c>
      <c r="M44" s="89">
        <v>0.19</v>
      </c>
      <c r="N44" s="101">
        <v>12400</v>
      </c>
      <c r="O44" s="43">
        <v>24000</v>
      </c>
      <c r="P44" s="43">
        <v>255000</v>
      </c>
      <c r="Q44" s="59">
        <v>9800</v>
      </c>
    </row>
    <row r="45" spans="2:18" ht="14.25" customHeight="1" x14ac:dyDescent="0.3">
      <c r="B45" s="91" t="s">
        <v>17</v>
      </c>
      <c r="C45" s="214"/>
      <c r="D45" s="18">
        <v>3</v>
      </c>
      <c r="E45" s="88">
        <v>0.08</v>
      </c>
      <c r="F45" s="101">
        <v>9000</v>
      </c>
      <c r="G45" s="43">
        <v>10000</v>
      </c>
      <c r="H45" s="43">
        <v>380000</v>
      </c>
      <c r="I45" s="59">
        <v>7800</v>
      </c>
      <c r="K45" s="214"/>
      <c r="L45" s="18">
        <v>3</v>
      </c>
      <c r="M45" s="89">
        <v>0.17</v>
      </c>
      <c r="N45" s="101">
        <v>410</v>
      </c>
      <c r="O45" s="43">
        <v>1680</v>
      </c>
      <c r="P45" s="43">
        <v>124000</v>
      </c>
      <c r="Q45" s="59">
        <v>1400</v>
      </c>
    </row>
    <row r="46" spans="2:18" x14ac:dyDescent="0.3">
      <c r="B46" s="77"/>
      <c r="C46" s="214"/>
      <c r="D46" s="18">
        <v>5</v>
      </c>
      <c r="E46" s="88">
        <v>0.06</v>
      </c>
      <c r="F46" s="101">
        <v>1000</v>
      </c>
      <c r="G46" s="43">
        <v>4400</v>
      </c>
      <c r="H46" s="43">
        <v>210000</v>
      </c>
      <c r="I46" s="59">
        <v>6600</v>
      </c>
      <c r="K46" s="214"/>
      <c r="L46" s="18">
        <v>5</v>
      </c>
      <c r="M46" s="89">
        <v>0.12</v>
      </c>
      <c r="N46" s="101">
        <v>108</v>
      </c>
      <c r="O46" s="43">
        <v>296</v>
      </c>
      <c r="P46" s="43">
        <v>48000</v>
      </c>
      <c r="Q46" s="59">
        <v>3470</v>
      </c>
    </row>
    <row r="47" spans="2:18" x14ac:dyDescent="0.3">
      <c r="B47" s="77"/>
      <c r="C47" s="214"/>
      <c r="D47" s="18">
        <v>10</v>
      </c>
      <c r="E47" s="88">
        <v>0.05</v>
      </c>
      <c r="F47" s="101">
        <v>430</v>
      </c>
      <c r="G47" s="43">
        <v>620</v>
      </c>
      <c r="H47" s="43">
        <v>54000</v>
      </c>
      <c r="I47" s="59">
        <v>3400</v>
      </c>
      <c r="K47" s="214"/>
      <c r="L47" s="18">
        <v>10</v>
      </c>
      <c r="M47" s="89">
        <v>0.09</v>
      </c>
      <c r="N47" s="101">
        <v>3</v>
      </c>
      <c r="O47" s="43">
        <v>7</v>
      </c>
      <c r="P47" s="43">
        <v>1250</v>
      </c>
      <c r="Q47" s="59">
        <v>580</v>
      </c>
    </row>
    <row r="48" spans="2:18" ht="15" thickBot="1" x14ac:dyDescent="0.35">
      <c r="B48" s="77"/>
      <c r="C48" s="214"/>
      <c r="D48" s="18">
        <v>30</v>
      </c>
      <c r="E48" s="88">
        <v>0.05</v>
      </c>
      <c r="F48" s="101">
        <v>1</v>
      </c>
      <c r="G48" s="43">
        <v>2</v>
      </c>
      <c r="H48" s="43">
        <v>17</v>
      </c>
      <c r="I48" s="59">
        <v>245</v>
      </c>
      <c r="K48" s="214"/>
      <c r="L48" s="18">
        <v>30</v>
      </c>
      <c r="M48" s="95">
        <v>7.0000000000000007E-2</v>
      </c>
      <c r="N48" s="103">
        <v>1</v>
      </c>
      <c r="O48" s="45">
        <v>1</v>
      </c>
      <c r="P48" s="45">
        <v>1</v>
      </c>
      <c r="Q48" s="104">
        <v>17</v>
      </c>
    </row>
    <row r="49" spans="2:17" x14ac:dyDescent="0.3">
      <c r="B49" s="77"/>
      <c r="C49" s="214"/>
      <c r="D49" s="5"/>
      <c r="E49" s="5"/>
      <c r="F49" s="4"/>
      <c r="G49" s="4"/>
      <c r="H49" s="4"/>
      <c r="I49" s="4"/>
      <c r="K49" s="214"/>
      <c r="L49" s="5"/>
      <c r="M49" s="5"/>
      <c r="N49" s="4"/>
      <c r="O49" s="4"/>
      <c r="P49" s="4"/>
      <c r="Q49" s="22"/>
    </row>
    <row r="50" spans="2:17" x14ac:dyDescent="0.3">
      <c r="B50" s="77"/>
      <c r="C50" s="11"/>
      <c r="D50" s="10"/>
      <c r="E50" s="10"/>
      <c r="F50" s="61"/>
      <c r="G50" s="61"/>
      <c r="H50" s="61"/>
      <c r="I50" s="61"/>
      <c r="K50" s="11"/>
      <c r="L50" s="10"/>
      <c r="M50" s="10"/>
      <c r="N50" s="61"/>
      <c r="O50" s="61"/>
      <c r="P50" s="61"/>
      <c r="Q50" s="23"/>
    </row>
    <row r="51" spans="2:17" x14ac:dyDescent="0.3">
      <c r="B51" s="77"/>
      <c r="C51" s="11"/>
      <c r="D51" s="11"/>
      <c r="E51" s="11"/>
      <c r="F51" s="11"/>
      <c r="G51" s="11"/>
      <c r="H51" s="11"/>
      <c r="I51" s="11"/>
      <c r="K51" s="11"/>
      <c r="L51" s="11"/>
      <c r="M51" s="11"/>
      <c r="N51" s="11"/>
      <c r="O51" s="11"/>
      <c r="P51" s="11"/>
      <c r="Q51" s="84"/>
    </row>
    <row r="52" spans="2:17" ht="15" customHeight="1" x14ac:dyDescent="0.3">
      <c r="B52" s="77"/>
      <c r="E52" s="11"/>
      <c r="F52" s="11"/>
      <c r="M52" s="11"/>
      <c r="N52" s="11"/>
      <c r="Q52" s="9"/>
    </row>
    <row r="53" spans="2:17" ht="15" thickBot="1" x14ac:dyDescent="0.35">
      <c r="B53" s="78"/>
      <c r="C53" s="14"/>
      <c r="D53" s="15"/>
      <c r="E53" s="15"/>
      <c r="F53" s="15"/>
      <c r="G53" s="15"/>
      <c r="H53" s="15"/>
      <c r="I53" s="15"/>
      <c r="J53" s="13"/>
      <c r="K53" s="13"/>
      <c r="L53" s="15"/>
      <c r="M53" s="15"/>
      <c r="N53" s="13"/>
      <c r="O53" s="13"/>
      <c r="P53" s="13"/>
      <c r="Q53" s="16"/>
    </row>
    <row r="55" spans="2:17" ht="14.7" customHeight="1" x14ac:dyDescent="0.3"/>
    <row r="56" spans="2:17" ht="14.25" customHeight="1" x14ac:dyDescent="0.3"/>
    <row r="57" spans="2:17" ht="15" customHeight="1" x14ac:dyDescent="0.3"/>
    <row r="58" spans="2:17" ht="14.25" customHeight="1" x14ac:dyDescent="0.3"/>
    <row r="107" spans="2:2" ht="15" thickBot="1" x14ac:dyDescent="0.35">
      <c r="B107" s="13"/>
    </row>
    <row r="108" spans="2:2" ht="14.7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7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:C10"/>
    <mergeCell ref="K4:K10"/>
    <mergeCell ref="C43:C49"/>
    <mergeCell ref="K43:K49"/>
    <mergeCell ref="C30:C36"/>
    <mergeCell ref="K30:K36"/>
    <mergeCell ref="C17:C23"/>
    <mergeCell ref="K17:K2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66F9-AA67-4982-B00F-6BD334AA5C25}">
  <dimension ref="A1:W213"/>
  <sheetViews>
    <sheetView topLeftCell="B21" zoomScale="80" zoomScaleNormal="80" workbookViewId="0">
      <selection activeCell="AD45" sqref="AD45"/>
    </sheetView>
  </sheetViews>
  <sheetFormatPr defaultColWidth="9.109375" defaultRowHeight="14.4" x14ac:dyDescent="0.3"/>
  <cols>
    <col min="1" max="1" width="56" style="2" bestFit="1" customWidth="1"/>
    <col min="2" max="2" width="25.44140625" style="2" bestFit="1" customWidth="1"/>
    <col min="3" max="3" width="10.6640625" style="2" bestFit="1" customWidth="1"/>
    <col min="4" max="4" width="7.6640625" style="2" customWidth="1"/>
    <col min="5" max="5" width="8.6640625" style="2" customWidth="1"/>
    <col min="6" max="6" width="6" style="2" customWidth="1"/>
    <col min="7" max="7" width="8.109375" style="2" customWidth="1"/>
    <col min="8" max="8" width="8.5546875" style="2" customWidth="1"/>
    <col min="9" max="9" width="8.6640625" style="2" customWidth="1"/>
    <col min="10" max="10" width="8.88671875" style="2" customWidth="1"/>
    <col min="11" max="11" width="9.109375" style="2"/>
    <col min="12" max="12" width="7.5546875" style="2" customWidth="1"/>
    <col min="13" max="13" width="9.33203125" style="2" customWidth="1"/>
    <col min="14" max="14" width="9.88671875" style="2" customWidth="1"/>
    <col min="15" max="15" width="11.5546875" style="2" customWidth="1"/>
    <col min="16" max="16" width="9.5546875" style="2" customWidth="1"/>
    <col min="17" max="17" width="6.5546875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25</v>
      </c>
    </row>
    <row r="2" spans="1:23" ht="26.4" thickBot="1" x14ac:dyDescent="0.55000000000000004">
      <c r="A2" s="51" t="s">
        <v>26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5.8" x14ac:dyDescent="0.5">
      <c r="A3" s="52">
        <v>45362</v>
      </c>
      <c r="B3" s="77"/>
      <c r="C3" s="3" t="s">
        <v>3</v>
      </c>
      <c r="D3" s="3" t="s">
        <v>4</v>
      </c>
      <c r="E3" s="3" t="s">
        <v>44</v>
      </c>
      <c r="F3" s="74" t="s">
        <v>6</v>
      </c>
      <c r="G3" s="74" t="s">
        <v>7</v>
      </c>
      <c r="H3" s="74" t="s">
        <v>8</v>
      </c>
      <c r="I3" s="79" t="s">
        <v>20</v>
      </c>
      <c r="K3" s="3" t="s">
        <v>3</v>
      </c>
      <c r="L3" s="3" t="s">
        <v>4</v>
      </c>
      <c r="M3" s="3" t="s">
        <v>44</v>
      </c>
      <c r="N3" s="20" t="s">
        <v>6</v>
      </c>
      <c r="O3" s="20" t="s">
        <v>7</v>
      </c>
      <c r="P3" s="20" t="s">
        <v>8</v>
      </c>
      <c r="Q3" s="21" t="s">
        <v>20</v>
      </c>
      <c r="S3" s="1"/>
      <c r="U3" s="1"/>
      <c r="W3" s="1"/>
    </row>
    <row r="4" spans="1:23" ht="15" customHeight="1" x14ac:dyDescent="0.3">
      <c r="B4" s="77"/>
      <c r="C4" s="213" t="s">
        <v>69</v>
      </c>
      <c r="D4" s="18">
        <v>0</v>
      </c>
      <c r="E4" s="43">
        <v>1.04</v>
      </c>
      <c r="F4" s="43">
        <v>14500</v>
      </c>
      <c r="G4" s="43">
        <v>2600</v>
      </c>
      <c r="H4" s="43">
        <v>170000</v>
      </c>
      <c r="I4" s="43">
        <v>4500</v>
      </c>
      <c r="K4" s="214" t="s">
        <v>69</v>
      </c>
      <c r="L4" s="18">
        <v>0</v>
      </c>
      <c r="M4" s="81">
        <v>2</v>
      </c>
      <c r="N4" s="101">
        <v>13500</v>
      </c>
      <c r="O4" s="43">
        <v>25000</v>
      </c>
      <c r="P4" s="43">
        <v>160000</v>
      </c>
      <c r="Q4" s="59">
        <v>4000</v>
      </c>
      <c r="S4" s="1"/>
      <c r="U4" s="1"/>
    </row>
    <row r="5" spans="1:23" x14ac:dyDescent="0.3">
      <c r="B5" s="77"/>
      <c r="C5" s="213"/>
      <c r="D5" s="18">
        <v>1</v>
      </c>
      <c r="E5" s="43">
        <v>0.82</v>
      </c>
      <c r="F5" s="43">
        <v>4600</v>
      </c>
      <c r="G5" s="43">
        <v>7000</v>
      </c>
      <c r="H5" s="43">
        <v>76000</v>
      </c>
      <c r="I5" s="43">
        <v>3700</v>
      </c>
      <c r="K5" s="214"/>
      <c r="L5" s="18">
        <v>1</v>
      </c>
      <c r="M5" s="81">
        <v>1.64</v>
      </c>
      <c r="N5" s="101">
        <v>560</v>
      </c>
      <c r="O5" s="43">
        <v>1100</v>
      </c>
      <c r="P5" s="43">
        <v>21500</v>
      </c>
      <c r="Q5" s="59">
        <v>2740</v>
      </c>
    </row>
    <row r="6" spans="1:23" ht="25.8" x14ac:dyDescent="0.5">
      <c r="A6" s="51" t="s">
        <v>70</v>
      </c>
      <c r="B6" s="91" t="s">
        <v>12</v>
      </c>
      <c r="C6" s="213"/>
      <c r="D6" s="18">
        <v>3</v>
      </c>
      <c r="E6" s="43">
        <v>0.83</v>
      </c>
      <c r="F6" s="43">
        <v>320</v>
      </c>
      <c r="G6" s="43">
        <v>1000</v>
      </c>
      <c r="H6" s="43">
        <v>27000</v>
      </c>
      <c r="I6" s="43">
        <v>1620</v>
      </c>
      <c r="K6" s="214"/>
      <c r="L6" s="18">
        <v>3</v>
      </c>
      <c r="M6" s="81">
        <v>1.51</v>
      </c>
      <c r="N6" s="101">
        <v>36</v>
      </c>
      <c r="O6" s="43">
        <v>76</v>
      </c>
      <c r="P6" s="43">
        <v>1020</v>
      </c>
      <c r="Q6" s="59">
        <v>480</v>
      </c>
    </row>
    <row r="7" spans="1:23" x14ac:dyDescent="0.3">
      <c r="B7" s="77"/>
      <c r="C7" s="213"/>
      <c r="D7" s="18">
        <v>5</v>
      </c>
      <c r="E7" s="43">
        <v>0.74</v>
      </c>
      <c r="F7" s="43">
        <v>42</v>
      </c>
      <c r="G7" s="43">
        <v>90</v>
      </c>
      <c r="H7" s="43">
        <v>3650</v>
      </c>
      <c r="I7" s="43">
        <v>844</v>
      </c>
      <c r="K7" s="214"/>
      <c r="L7" s="18">
        <v>5</v>
      </c>
      <c r="M7" s="81">
        <v>1.49</v>
      </c>
      <c r="N7" s="101">
        <v>46</v>
      </c>
      <c r="O7" s="43">
        <v>78</v>
      </c>
      <c r="P7" s="43">
        <v>845</v>
      </c>
      <c r="Q7" s="59">
        <v>170</v>
      </c>
    </row>
    <row r="8" spans="1:23" x14ac:dyDescent="0.3">
      <c r="B8" s="77"/>
      <c r="C8" s="213"/>
      <c r="D8" s="18">
        <v>10</v>
      </c>
      <c r="E8" s="43">
        <v>0.68</v>
      </c>
      <c r="F8" s="43">
        <v>35</v>
      </c>
      <c r="G8" s="43">
        <v>70</v>
      </c>
      <c r="H8" s="43">
        <v>670</v>
      </c>
      <c r="I8" s="43">
        <v>143</v>
      </c>
      <c r="K8" s="214"/>
      <c r="L8" s="18">
        <v>10</v>
      </c>
      <c r="M8" s="81">
        <v>1.34</v>
      </c>
      <c r="N8" s="101">
        <v>24</v>
      </c>
      <c r="O8" s="43">
        <v>35</v>
      </c>
      <c r="P8" s="43">
        <v>568</v>
      </c>
      <c r="Q8" s="59">
        <v>10</v>
      </c>
    </row>
    <row r="9" spans="1:23" x14ac:dyDescent="0.3">
      <c r="B9" s="77"/>
      <c r="C9" s="213"/>
      <c r="D9" s="18">
        <v>30</v>
      </c>
      <c r="E9" s="43">
        <v>0.46</v>
      </c>
      <c r="F9" s="43">
        <v>31</v>
      </c>
      <c r="G9" s="43">
        <v>38</v>
      </c>
      <c r="H9" s="43">
        <v>292</v>
      </c>
      <c r="I9" s="43">
        <v>8</v>
      </c>
      <c r="K9" s="214"/>
      <c r="L9" s="18">
        <v>30</v>
      </c>
      <c r="M9" s="81">
        <v>0.9</v>
      </c>
      <c r="N9" s="101">
        <v>10</v>
      </c>
      <c r="O9" s="43">
        <v>23</v>
      </c>
      <c r="P9" s="43">
        <v>113</v>
      </c>
      <c r="Q9" s="59">
        <v>6</v>
      </c>
    </row>
    <row r="10" spans="1:23" x14ac:dyDescent="0.3">
      <c r="B10" s="77"/>
      <c r="C10" s="213"/>
      <c r="D10" s="5"/>
      <c r="E10" s="5"/>
      <c r="F10" s="4"/>
      <c r="G10" s="4"/>
      <c r="H10" s="4"/>
      <c r="I10" s="4"/>
      <c r="K10" s="214"/>
      <c r="L10" s="5"/>
      <c r="M10" s="5"/>
      <c r="N10" s="4"/>
      <c r="O10" s="4"/>
      <c r="P10" s="4"/>
      <c r="Q10" s="22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x14ac:dyDescent="0.3">
      <c r="B13" s="58"/>
      <c r="C13" s="6"/>
      <c r="D13" s="6"/>
      <c r="E13" s="100"/>
      <c r="F13" s="100"/>
      <c r="G13" s="6"/>
      <c r="H13" s="6"/>
      <c r="I13" s="6"/>
      <c r="J13" s="6"/>
      <c r="K13" s="6"/>
      <c r="L13" s="6"/>
      <c r="M13" s="100"/>
      <c r="N13" s="100"/>
      <c r="O13" s="6"/>
      <c r="P13" s="6"/>
      <c r="Q13" s="8"/>
    </row>
    <row r="14" spans="1:23" ht="15" thickBot="1" x14ac:dyDescent="0.35">
      <c r="B14" s="77"/>
      <c r="C14" s="14"/>
      <c r="D14" s="15"/>
      <c r="E14" s="15"/>
      <c r="F14" s="15"/>
      <c r="G14" s="15"/>
      <c r="H14" s="15"/>
      <c r="I14" s="15"/>
      <c r="J14" s="13"/>
      <c r="K14" s="13"/>
      <c r="L14" s="15"/>
      <c r="M14" s="15"/>
      <c r="N14" s="13"/>
      <c r="O14" s="13"/>
      <c r="P14" s="13"/>
      <c r="Q14" s="16"/>
    </row>
    <row r="15" spans="1:23" ht="15" thickBot="1" x14ac:dyDescent="0.35">
      <c r="B15" s="77"/>
      <c r="C15" s="7" t="s">
        <v>42</v>
      </c>
      <c r="D15" s="6"/>
      <c r="E15" s="6" t="s">
        <v>47</v>
      </c>
      <c r="F15" s="6"/>
      <c r="G15" s="6"/>
      <c r="H15" s="6"/>
      <c r="I15" s="6"/>
      <c r="J15" s="6"/>
      <c r="K15" s="7" t="s">
        <v>42</v>
      </c>
      <c r="L15" s="6"/>
      <c r="M15" s="6" t="s">
        <v>47</v>
      </c>
      <c r="N15" s="6"/>
      <c r="O15" s="6"/>
      <c r="P15" s="6"/>
      <c r="Q15" s="8"/>
    </row>
    <row r="16" spans="1:23" x14ac:dyDescent="0.3">
      <c r="B16" s="77"/>
      <c r="C16" s="3" t="s">
        <v>3</v>
      </c>
      <c r="D16" s="3" t="s">
        <v>4</v>
      </c>
      <c r="E16" s="3" t="s">
        <v>55</v>
      </c>
      <c r="F16" s="20" t="s">
        <v>6</v>
      </c>
      <c r="G16" s="20" t="s">
        <v>7</v>
      </c>
      <c r="H16" s="20" t="s">
        <v>8</v>
      </c>
      <c r="I16" s="20" t="s">
        <v>20</v>
      </c>
      <c r="K16" s="3" t="s">
        <v>3</v>
      </c>
      <c r="L16" s="3" t="s">
        <v>4</v>
      </c>
      <c r="M16" s="3" t="s">
        <v>55</v>
      </c>
      <c r="N16" s="20" t="s">
        <v>6</v>
      </c>
      <c r="O16" s="20" t="s">
        <v>7</v>
      </c>
      <c r="P16" s="20" t="s">
        <v>8</v>
      </c>
      <c r="Q16" s="21" t="s">
        <v>20</v>
      </c>
    </row>
    <row r="17" spans="2:18" ht="15" customHeight="1" x14ac:dyDescent="0.3">
      <c r="B17" s="77"/>
      <c r="C17" s="214" t="s">
        <v>69</v>
      </c>
      <c r="D17" s="18">
        <v>0</v>
      </c>
      <c r="E17" s="81">
        <v>1.9</v>
      </c>
      <c r="F17" s="101">
        <v>38000</v>
      </c>
      <c r="G17" s="43">
        <v>37000</v>
      </c>
      <c r="H17" s="43">
        <v>220000</v>
      </c>
      <c r="I17" s="59">
        <v>12500</v>
      </c>
      <c r="K17" s="214" t="s">
        <v>69</v>
      </c>
      <c r="L17" s="18">
        <v>0</v>
      </c>
      <c r="M17" s="64">
        <v>3.99</v>
      </c>
      <c r="N17" s="101">
        <v>23000</v>
      </c>
      <c r="O17" s="43">
        <v>32000</v>
      </c>
      <c r="P17" s="43">
        <v>220000</v>
      </c>
      <c r="Q17" s="59">
        <v>13500</v>
      </c>
    </row>
    <row r="18" spans="2:18" x14ac:dyDescent="0.3">
      <c r="B18" s="77"/>
      <c r="C18" s="214"/>
      <c r="D18" s="18">
        <v>1</v>
      </c>
      <c r="E18" s="81">
        <v>1.76</v>
      </c>
      <c r="F18" s="101">
        <v>30500</v>
      </c>
      <c r="G18" s="43">
        <v>46000</v>
      </c>
      <c r="H18" s="43">
        <v>200000</v>
      </c>
      <c r="I18" s="59">
        <v>16500</v>
      </c>
      <c r="K18" s="214"/>
      <c r="L18" s="18">
        <v>1</v>
      </c>
      <c r="M18" s="64">
        <v>3.69</v>
      </c>
      <c r="N18" s="101">
        <v>25250</v>
      </c>
      <c r="O18" s="43">
        <v>35000</v>
      </c>
      <c r="P18" s="43">
        <v>245000</v>
      </c>
      <c r="Q18" s="59">
        <v>10500</v>
      </c>
    </row>
    <row r="19" spans="2:18" ht="14.25" customHeight="1" x14ac:dyDescent="0.3">
      <c r="B19" s="91" t="s">
        <v>13</v>
      </c>
      <c r="C19" s="214"/>
      <c r="D19" s="18">
        <v>3</v>
      </c>
      <c r="E19" s="81">
        <v>1.63</v>
      </c>
      <c r="F19" s="101">
        <v>23000</v>
      </c>
      <c r="G19" s="43">
        <v>34000</v>
      </c>
      <c r="H19" s="43">
        <v>230000</v>
      </c>
      <c r="I19" s="59">
        <v>12000</v>
      </c>
      <c r="K19" s="214"/>
      <c r="L19" s="18">
        <v>3</v>
      </c>
      <c r="M19" s="64">
        <v>3.62</v>
      </c>
      <c r="N19" s="101">
        <v>8600</v>
      </c>
      <c r="O19" s="43">
        <v>18500</v>
      </c>
      <c r="P19" s="43">
        <v>118000</v>
      </c>
      <c r="Q19" s="59">
        <v>8800</v>
      </c>
    </row>
    <row r="20" spans="2:18" x14ac:dyDescent="0.3">
      <c r="B20" s="77"/>
      <c r="C20" s="214"/>
      <c r="D20" s="18">
        <v>5</v>
      </c>
      <c r="E20" s="81">
        <v>1.61</v>
      </c>
      <c r="F20" s="101">
        <v>28500</v>
      </c>
      <c r="G20" s="43">
        <v>32000</v>
      </c>
      <c r="H20" s="43">
        <v>190000</v>
      </c>
      <c r="I20" s="59">
        <v>12000</v>
      </c>
      <c r="K20" s="214"/>
      <c r="L20" s="18">
        <v>5</v>
      </c>
      <c r="M20" s="64">
        <v>3.56</v>
      </c>
      <c r="N20" s="101">
        <v>334</v>
      </c>
      <c r="O20" s="43">
        <v>1670</v>
      </c>
      <c r="P20" s="43">
        <v>27500</v>
      </c>
      <c r="Q20" s="59">
        <v>3920</v>
      </c>
    </row>
    <row r="21" spans="2:18" x14ac:dyDescent="0.3">
      <c r="B21" s="77"/>
      <c r="C21" s="214"/>
      <c r="D21" s="18">
        <v>10</v>
      </c>
      <c r="E21" s="81">
        <v>1.55</v>
      </c>
      <c r="F21" s="101">
        <v>1600</v>
      </c>
      <c r="G21" s="43">
        <v>9200</v>
      </c>
      <c r="H21" s="43">
        <v>92000</v>
      </c>
      <c r="I21" s="59">
        <v>7540</v>
      </c>
      <c r="K21" s="214"/>
      <c r="L21" s="18">
        <v>10</v>
      </c>
      <c r="M21" s="64">
        <v>3.52</v>
      </c>
      <c r="N21" s="101">
        <v>122</v>
      </c>
      <c r="O21" s="43">
        <v>460</v>
      </c>
      <c r="P21" s="43">
        <v>5000</v>
      </c>
      <c r="Q21" s="59">
        <v>1480</v>
      </c>
    </row>
    <row r="22" spans="2:18" x14ac:dyDescent="0.3">
      <c r="B22" s="77"/>
      <c r="C22" s="214"/>
      <c r="D22" s="18">
        <v>30</v>
      </c>
      <c r="E22" s="81">
        <v>1.38</v>
      </c>
      <c r="F22" s="101">
        <v>129</v>
      </c>
      <c r="G22" s="43">
        <v>430</v>
      </c>
      <c r="H22" s="43">
        <v>5800</v>
      </c>
      <c r="I22" s="59">
        <v>940</v>
      </c>
      <c r="K22" s="214"/>
      <c r="L22" s="18">
        <v>30</v>
      </c>
      <c r="M22" s="64">
        <v>3.39</v>
      </c>
      <c r="N22" s="101">
        <v>104</v>
      </c>
      <c r="O22" s="43">
        <v>118</v>
      </c>
      <c r="P22" s="43">
        <v>550</v>
      </c>
      <c r="Q22" s="59">
        <v>20</v>
      </c>
    </row>
    <row r="23" spans="2:18" x14ac:dyDescent="0.3">
      <c r="B23" s="77"/>
      <c r="C23" s="214"/>
      <c r="D23" s="5"/>
      <c r="E23" s="5"/>
      <c r="F23" s="4"/>
      <c r="G23" s="4"/>
      <c r="H23" s="4"/>
      <c r="I23" s="4"/>
      <c r="K23" s="214"/>
      <c r="L23" s="5"/>
      <c r="M23" s="5"/>
      <c r="N23" s="4"/>
      <c r="O23" s="4"/>
      <c r="P23" s="4"/>
      <c r="Q23" s="22"/>
    </row>
    <row r="24" spans="2:18" x14ac:dyDescent="0.3">
      <c r="B24" s="77"/>
      <c r="C24" s="11"/>
      <c r="D24" s="10"/>
      <c r="E24" s="10"/>
      <c r="F24" s="61"/>
      <c r="G24" s="61"/>
      <c r="H24" s="61"/>
      <c r="I24" s="61"/>
      <c r="K24" s="11"/>
      <c r="L24" s="10"/>
      <c r="M24" s="10"/>
      <c r="N24" s="61"/>
      <c r="O24" s="61"/>
      <c r="P24" s="61"/>
      <c r="Q24" s="23"/>
    </row>
    <row r="25" spans="2:18" ht="15" thickBot="1" x14ac:dyDescent="0.35">
      <c r="B25" s="78"/>
      <c r="C25" s="15"/>
      <c r="D25" s="15"/>
      <c r="E25" s="15"/>
      <c r="F25" s="15"/>
      <c r="G25" s="15"/>
      <c r="H25" s="15"/>
      <c r="I25" s="15"/>
      <c r="J25" s="13"/>
      <c r="K25" s="15"/>
      <c r="L25" s="15"/>
      <c r="M25" s="15"/>
      <c r="N25" s="15"/>
      <c r="O25" s="15"/>
      <c r="P25" s="15"/>
      <c r="Q25" s="94"/>
    </row>
    <row r="26" spans="2:18" x14ac:dyDescent="0.3">
      <c r="B26" s="58"/>
      <c r="C26" s="6"/>
      <c r="D26" s="6"/>
      <c r="E26" s="100"/>
      <c r="F26" s="100"/>
      <c r="G26" s="6"/>
      <c r="H26" s="6"/>
      <c r="I26" s="6"/>
      <c r="J26" s="6"/>
      <c r="K26" s="6"/>
      <c r="L26" s="6"/>
      <c r="M26" s="100"/>
      <c r="N26" s="100"/>
      <c r="O26" s="6"/>
      <c r="P26" s="6"/>
      <c r="Q26" s="8"/>
    </row>
    <row r="27" spans="2:18" ht="15" thickBot="1" x14ac:dyDescent="0.35">
      <c r="B27" s="77"/>
      <c r="C27" s="14"/>
      <c r="D27" s="15"/>
      <c r="E27" s="15"/>
      <c r="F27" s="15"/>
      <c r="G27" s="15"/>
      <c r="H27" s="15"/>
      <c r="I27" s="15"/>
      <c r="J27" s="13"/>
      <c r="K27" s="13"/>
      <c r="L27" s="15"/>
      <c r="M27" s="15"/>
      <c r="N27" s="13"/>
      <c r="O27" s="13"/>
      <c r="P27" s="13"/>
      <c r="Q27" s="16"/>
    </row>
    <row r="28" spans="2:18" ht="15" thickBot="1" x14ac:dyDescent="0.35">
      <c r="B28" s="77"/>
      <c r="C28" s="7" t="s">
        <v>42</v>
      </c>
      <c r="D28" s="6"/>
      <c r="E28" s="6" t="s">
        <v>48</v>
      </c>
      <c r="F28" s="6"/>
      <c r="G28" s="6"/>
      <c r="H28" s="6"/>
      <c r="I28" s="6"/>
      <c r="J28" s="6"/>
      <c r="K28" s="7" t="s">
        <v>42</v>
      </c>
      <c r="L28" s="6"/>
      <c r="M28" s="6" t="s">
        <v>48</v>
      </c>
      <c r="N28" s="6"/>
      <c r="O28" s="6"/>
      <c r="P28" s="6"/>
      <c r="Q28" s="8"/>
    </row>
    <row r="29" spans="2:18" x14ac:dyDescent="0.3">
      <c r="B29" s="77"/>
      <c r="C29" s="3" t="s">
        <v>3</v>
      </c>
      <c r="D29" s="3" t="s">
        <v>4</v>
      </c>
      <c r="E29" s="3" t="s">
        <v>49</v>
      </c>
      <c r="F29" s="20" t="s">
        <v>6</v>
      </c>
      <c r="G29" s="20" t="s">
        <v>7</v>
      </c>
      <c r="H29" s="20" t="s">
        <v>8</v>
      </c>
      <c r="I29" s="20" t="s">
        <v>20</v>
      </c>
      <c r="J29" s="74" t="s">
        <v>14</v>
      </c>
      <c r="K29" s="3" t="s">
        <v>3</v>
      </c>
      <c r="L29" s="3" t="s">
        <v>4</v>
      </c>
      <c r="M29" s="3" t="s">
        <v>49</v>
      </c>
      <c r="N29" s="20" t="s">
        <v>6</v>
      </c>
      <c r="O29" s="20" t="s">
        <v>7</v>
      </c>
      <c r="P29" s="20" t="s">
        <v>8</v>
      </c>
      <c r="Q29" s="21" t="s">
        <v>20</v>
      </c>
      <c r="R29" s="74" t="s">
        <v>14</v>
      </c>
    </row>
    <row r="30" spans="2:18" ht="14.25" customHeight="1" x14ac:dyDescent="0.3">
      <c r="B30" s="77"/>
      <c r="C30" s="214" t="s">
        <v>69</v>
      </c>
      <c r="D30" s="18">
        <v>0</v>
      </c>
      <c r="E30" s="81">
        <v>2.1</v>
      </c>
      <c r="F30" s="101">
        <v>22250</v>
      </c>
      <c r="G30" s="43">
        <v>43500</v>
      </c>
      <c r="H30" s="43">
        <v>115000</v>
      </c>
      <c r="I30" s="59">
        <v>11500</v>
      </c>
      <c r="J30" s="112"/>
      <c r="K30" s="214" t="s">
        <v>69</v>
      </c>
      <c r="L30" s="18">
        <v>0</v>
      </c>
      <c r="M30" s="64">
        <v>4.0599999999999996</v>
      </c>
      <c r="N30" s="101">
        <v>24000</v>
      </c>
      <c r="O30" s="43">
        <v>40000</v>
      </c>
      <c r="P30" s="43">
        <v>290000</v>
      </c>
      <c r="Q30" s="59">
        <v>18000</v>
      </c>
      <c r="R30" s="112"/>
    </row>
    <row r="31" spans="2:18" x14ac:dyDescent="0.3">
      <c r="B31" s="77"/>
      <c r="C31" s="214"/>
      <c r="D31" s="18">
        <v>1</v>
      </c>
      <c r="E31" s="81">
        <v>1.63</v>
      </c>
      <c r="F31" s="101">
        <v>29000</v>
      </c>
      <c r="G31" s="43">
        <v>37000</v>
      </c>
      <c r="H31" s="43">
        <v>440000</v>
      </c>
      <c r="I31" s="59">
        <v>13500</v>
      </c>
      <c r="J31" s="112"/>
      <c r="K31" s="214"/>
      <c r="L31" s="18">
        <v>1</v>
      </c>
      <c r="M31" s="64">
        <v>3.46</v>
      </c>
      <c r="N31" s="101">
        <v>12400</v>
      </c>
      <c r="O31" s="43">
        <v>24000</v>
      </c>
      <c r="P31" s="43">
        <v>255000</v>
      </c>
      <c r="Q31" s="59">
        <v>9800</v>
      </c>
      <c r="R31" s="112"/>
    </row>
    <row r="32" spans="2:18" ht="14.25" customHeight="1" x14ac:dyDescent="0.3">
      <c r="B32" s="91" t="s">
        <v>15</v>
      </c>
      <c r="C32" s="214"/>
      <c r="D32" s="18">
        <v>3</v>
      </c>
      <c r="E32" s="81">
        <v>1.62</v>
      </c>
      <c r="F32" s="101">
        <v>9000</v>
      </c>
      <c r="G32" s="43">
        <v>10000</v>
      </c>
      <c r="H32" s="43">
        <v>380000</v>
      </c>
      <c r="I32" s="59">
        <v>7800</v>
      </c>
      <c r="J32" s="112"/>
      <c r="K32" s="214"/>
      <c r="L32" s="18">
        <v>3</v>
      </c>
      <c r="M32" s="64">
        <v>3.34</v>
      </c>
      <c r="N32" s="101">
        <v>410</v>
      </c>
      <c r="O32" s="43">
        <v>1680</v>
      </c>
      <c r="P32" s="43">
        <v>124000</v>
      </c>
      <c r="Q32" s="59">
        <v>1400</v>
      </c>
      <c r="R32" s="112"/>
    </row>
    <row r="33" spans="2:18" x14ac:dyDescent="0.3">
      <c r="B33" s="77"/>
      <c r="C33" s="214"/>
      <c r="D33" s="18">
        <v>5</v>
      </c>
      <c r="E33" s="81">
        <v>1.58</v>
      </c>
      <c r="F33" s="101">
        <v>1000</v>
      </c>
      <c r="G33" s="43">
        <v>4400</v>
      </c>
      <c r="H33" s="43">
        <v>210000</v>
      </c>
      <c r="I33" s="59">
        <v>6600</v>
      </c>
      <c r="J33" s="112"/>
      <c r="K33" s="214"/>
      <c r="L33" s="18">
        <v>5</v>
      </c>
      <c r="M33" s="64">
        <v>3.4</v>
      </c>
      <c r="N33" s="101">
        <v>108</v>
      </c>
      <c r="O33" s="43">
        <v>296</v>
      </c>
      <c r="P33" s="43">
        <v>48000</v>
      </c>
      <c r="Q33" s="59">
        <v>3470</v>
      </c>
      <c r="R33" s="112"/>
    </row>
    <row r="34" spans="2:18" x14ac:dyDescent="0.3">
      <c r="B34" s="77"/>
      <c r="C34" s="214"/>
      <c r="D34" s="18">
        <v>10</v>
      </c>
      <c r="E34" s="81">
        <v>1.58</v>
      </c>
      <c r="F34" s="101">
        <v>430</v>
      </c>
      <c r="G34" s="43">
        <v>620</v>
      </c>
      <c r="H34" s="43">
        <v>54000</v>
      </c>
      <c r="I34" s="59">
        <v>3400</v>
      </c>
      <c r="J34" s="115">
        <v>0.311</v>
      </c>
      <c r="K34" s="214"/>
      <c r="L34" s="18">
        <v>10</v>
      </c>
      <c r="M34" s="64">
        <v>3.38</v>
      </c>
      <c r="N34" s="101">
        <v>3</v>
      </c>
      <c r="O34" s="43">
        <v>7</v>
      </c>
      <c r="P34" s="43">
        <v>1250</v>
      </c>
      <c r="Q34" s="59">
        <v>580</v>
      </c>
      <c r="R34" s="115">
        <v>0.498</v>
      </c>
    </row>
    <row r="35" spans="2:18" ht="15" thickBot="1" x14ac:dyDescent="0.35">
      <c r="B35" s="77"/>
      <c r="C35" s="214"/>
      <c r="D35" s="18">
        <v>30</v>
      </c>
      <c r="E35" s="81">
        <v>1.54</v>
      </c>
      <c r="F35" s="101">
        <v>1</v>
      </c>
      <c r="G35" s="43">
        <v>2</v>
      </c>
      <c r="H35" s="43">
        <v>17</v>
      </c>
      <c r="I35" s="59">
        <v>245</v>
      </c>
      <c r="J35" s="115">
        <v>0.25700000000000001</v>
      </c>
      <c r="K35" s="214"/>
      <c r="L35" s="18">
        <v>30</v>
      </c>
      <c r="M35" s="76">
        <v>3.26</v>
      </c>
      <c r="N35" s="103" t="s">
        <v>24</v>
      </c>
      <c r="O35" s="45" t="s">
        <v>24</v>
      </c>
      <c r="P35" s="45">
        <v>1</v>
      </c>
      <c r="Q35" s="104">
        <v>17</v>
      </c>
      <c r="R35" s="115">
        <v>0.51900000000000002</v>
      </c>
    </row>
    <row r="36" spans="2:18" ht="15" customHeight="1" x14ac:dyDescent="0.3">
      <c r="B36" s="77"/>
      <c r="C36" s="214"/>
      <c r="D36" s="5"/>
      <c r="E36" s="5"/>
      <c r="F36" s="4"/>
      <c r="G36" s="4"/>
      <c r="H36" s="4"/>
      <c r="I36" s="4"/>
      <c r="J36" s="117"/>
      <c r="K36" s="214"/>
      <c r="L36" s="5"/>
      <c r="M36" s="5"/>
      <c r="N36" s="4"/>
      <c r="O36" s="4"/>
      <c r="P36" s="4"/>
      <c r="Q36" s="22"/>
      <c r="R36" s="117"/>
    </row>
    <row r="37" spans="2:18" x14ac:dyDescent="0.3">
      <c r="B37" s="77"/>
      <c r="C37" s="11"/>
      <c r="D37" s="10"/>
      <c r="E37" s="10"/>
      <c r="F37" s="61"/>
      <c r="G37" s="61"/>
      <c r="H37" s="61"/>
      <c r="I37" s="61"/>
      <c r="K37" s="11"/>
      <c r="L37" s="10"/>
      <c r="M37" s="10"/>
      <c r="N37" s="61"/>
      <c r="O37" s="61"/>
      <c r="P37" s="61"/>
      <c r="Q37" s="23"/>
    </row>
    <row r="38" spans="2:18" ht="15" thickBot="1" x14ac:dyDescent="0.35">
      <c r="B38" s="78"/>
      <c r="C38" s="15"/>
      <c r="D38" s="15"/>
      <c r="E38" s="15"/>
      <c r="F38" s="15"/>
      <c r="G38" s="15"/>
      <c r="H38" s="15"/>
      <c r="I38" s="15"/>
      <c r="J38" s="13"/>
      <c r="K38" s="15"/>
      <c r="L38" s="15"/>
      <c r="M38" s="15"/>
      <c r="N38" s="15"/>
      <c r="O38" s="15"/>
      <c r="P38" s="15"/>
      <c r="Q38" s="94"/>
    </row>
    <row r="39" spans="2:18" ht="15" customHeight="1" x14ac:dyDescent="0.3">
      <c r="B39" s="77"/>
      <c r="E39" s="11"/>
      <c r="F39" s="11"/>
      <c r="M39" s="11"/>
      <c r="N39" s="11"/>
      <c r="Q39" s="9"/>
    </row>
    <row r="40" spans="2:18" ht="15" thickBot="1" x14ac:dyDescent="0.35">
      <c r="B40" s="77"/>
      <c r="C40" s="14"/>
      <c r="D40" s="15"/>
      <c r="E40" s="15"/>
      <c r="F40" s="15"/>
      <c r="G40" s="15"/>
      <c r="H40" s="15"/>
      <c r="I40" s="15"/>
      <c r="J40" s="13"/>
      <c r="K40" s="13"/>
      <c r="L40" s="15"/>
      <c r="M40" s="15"/>
      <c r="N40" s="13"/>
      <c r="O40" s="13"/>
      <c r="P40" s="13"/>
      <c r="Q40" s="16"/>
    </row>
    <row r="41" spans="2:18" ht="15" thickBot="1" x14ac:dyDescent="0.35">
      <c r="B41" s="77"/>
      <c r="C41" s="7" t="s">
        <v>42</v>
      </c>
      <c r="D41" s="6"/>
      <c r="E41" s="6" t="s">
        <v>48</v>
      </c>
      <c r="F41" s="6"/>
      <c r="G41" s="6"/>
      <c r="H41" s="6"/>
      <c r="I41" s="6"/>
      <c r="J41" s="6"/>
      <c r="K41" s="7" t="s">
        <v>42</v>
      </c>
      <c r="L41" s="6"/>
      <c r="M41" s="6" t="s">
        <v>48</v>
      </c>
      <c r="N41" s="6"/>
      <c r="O41" s="6"/>
      <c r="P41" s="6"/>
      <c r="Q41" s="8"/>
    </row>
    <row r="42" spans="2:18" ht="15" thickBot="1" x14ac:dyDescent="0.35">
      <c r="B42" s="77"/>
      <c r="C42" s="3" t="s">
        <v>3</v>
      </c>
      <c r="D42" s="3" t="s">
        <v>4</v>
      </c>
      <c r="E42" s="3" t="s">
        <v>49</v>
      </c>
      <c r="F42" s="20" t="s">
        <v>6</v>
      </c>
      <c r="G42" s="20" t="s">
        <v>7</v>
      </c>
      <c r="H42" s="20" t="s">
        <v>8</v>
      </c>
      <c r="I42" s="20" t="s">
        <v>20</v>
      </c>
      <c r="K42" s="3" t="s">
        <v>3</v>
      </c>
      <c r="L42" s="3" t="s">
        <v>4</v>
      </c>
      <c r="M42" s="3" t="s">
        <v>49</v>
      </c>
      <c r="N42" s="20" t="s">
        <v>6</v>
      </c>
      <c r="O42" s="20" t="s">
        <v>7</v>
      </c>
      <c r="P42" s="20" t="s">
        <v>8</v>
      </c>
      <c r="Q42" s="21" t="s">
        <v>20</v>
      </c>
    </row>
    <row r="43" spans="2:18" ht="14.25" customHeight="1" x14ac:dyDescent="0.3">
      <c r="B43" s="77"/>
      <c r="C43" s="214" t="s">
        <v>69</v>
      </c>
      <c r="D43" s="18">
        <v>0</v>
      </c>
      <c r="E43" s="105">
        <v>2.1</v>
      </c>
      <c r="F43" s="101">
        <v>22250</v>
      </c>
      <c r="G43" s="43">
        <v>43500</v>
      </c>
      <c r="H43" s="43">
        <v>115000</v>
      </c>
      <c r="I43" s="59">
        <v>11500</v>
      </c>
      <c r="K43" s="214" t="s">
        <v>69</v>
      </c>
      <c r="L43" s="18">
        <v>0</v>
      </c>
      <c r="M43" s="89">
        <v>4.0599999999999996</v>
      </c>
      <c r="N43" s="101">
        <v>24000</v>
      </c>
      <c r="O43" s="43">
        <v>40000</v>
      </c>
      <c r="P43" s="43">
        <v>290000</v>
      </c>
      <c r="Q43" s="59">
        <v>18000</v>
      </c>
    </row>
    <row r="44" spans="2:18" x14ac:dyDescent="0.3">
      <c r="B44" s="77"/>
      <c r="C44" s="214"/>
      <c r="D44" s="18">
        <v>1</v>
      </c>
      <c r="E44" s="88">
        <v>0.17</v>
      </c>
      <c r="F44" s="101">
        <v>29000</v>
      </c>
      <c r="G44" s="43">
        <v>37000</v>
      </c>
      <c r="H44" s="43">
        <v>440000</v>
      </c>
      <c r="I44" s="59">
        <v>13500</v>
      </c>
      <c r="K44" s="214"/>
      <c r="L44" s="18">
        <v>1</v>
      </c>
      <c r="M44" s="89">
        <v>0.19</v>
      </c>
      <c r="N44" s="101">
        <v>12400</v>
      </c>
      <c r="O44" s="43">
        <v>24000</v>
      </c>
      <c r="P44" s="43">
        <v>255000</v>
      </c>
      <c r="Q44" s="59">
        <v>9800</v>
      </c>
    </row>
    <row r="45" spans="2:18" ht="14.25" customHeight="1" x14ac:dyDescent="0.3">
      <c r="B45" s="91" t="s">
        <v>17</v>
      </c>
      <c r="C45" s="214"/>
      <c r="D45" s="18">
        <v>3</v>
      </c>
      <c r="E45" s="88">
        <v>0.08</v>
      </c>
      <c r="F45" s="101">
        <v>9000</v>
      </c>
      <c r="G45" s="43">
        <v>10000</v>
      </c>
      <c r="H45" s="43">
        <v>380000</v>
      </c>
      <c r="I45" s="59">
        <v>7800</v>
      </c>
      <c r="K45" s="214"/>
      <c r="L45" s="18">
        <v>3</v>
      </c>
      <c r="M45" s="89">
        <v>0.17</v>
      </c>
      <c r="N45" s="101">
        <v>410</v>
      </c>
      <c r="O45" s="43">
        <v>1680</v>
      </c>
      <c r="P45" s="43">
        <v>124000</v>
      </c>
      <c r="Q45" s="59">
        <v>1400</v>
      </c>
    </row>
    <row r="46" spans="2:18" x14ac:dyDescent="0.3">
      <c r="B46" s="77"/>
      <c r="C46" s="214"/>
      <c r="D46" s="18">
        <v>5</v>
      </c>
      <c r="E46" s="88">
        <v>0.06</v>
      </c>
      <c r="F46" s="101">
        <v>1000</v>
      </c>
      <c r="G46" s="43">
        <v>4400</v>
      </c>
      <c r="H46" s="43">
        <v>210000</v>
      </c>
      <c r="I46" s="59">
        <v>6600</v>
      </c>
      <c r="K46" s="214"/>
      <c r="L46" s="18">
        <v>5</v>
      </c>
      <c r="M46" s="89">
        <v>0.12</v>
      </c>
      <c r="N46" s="101">
        <v>108</v>
      </c>
      <c r="O46" s="43">
        <v>296</v>
      </c>
      <c r="P46" s="43">
        <v>48000</v>
      </c>
      <c r="Q46" s="59">
        <v>3470</v>
      </c>
    </row>
    <row r="47" spans="2:18" x14ac:dyDescent="0.3">
      <c r="B47" s="77"/>
      <c r="C47" s="214"/>
      <c r="D47" s="18">
        <v>10</v>
      </c>
      <c r="E47" s="88">
        <v>0.05</v>
      </c>
      <c r="F47" s="101">
        <v>430</v>
      </c>
      <c r="G47" s="43">
        <v>620</v>
      </c>
      <c r="H47" s="43">
        <v>54000</v>
      </c>
      <c r="I47" s="59">
        <v>3400</v>
      </c>
      <c r="K47" s="214"/>
      <c r="L47" s="18">
        <v>10</v>
      </c>
      <c r="M47" s="89">
        <v>0.09</v>
      </c>
      <c r="N47" s="101">
        <v>3</v>
      </c>
      <c r="O47" s="43">
        <v>7</v>
      </c>
      <c r="P47" s="43">
        <v>1250</v>
      </c>
      <c r="Q47" s="59">
        <v>580</v>
      </c>
    </row>
    <row r="48" spans="2:18" ht="15" thickBot="1" x14ac:dyDescent="0.35">
      <c r="B48" s="77"/>
      <c r="C48" s="214"/>
      <c r="D48" s="18">
        <v>30</v>
      </c>
      <c r="E48" s="88">
        <v>0.05</v>
      </c>
      <c r="F48" s="101">
        <v>1</v>
      </c>
      <c r="G48" s="43">
        <v>2</v>
      </c>
      <c r="H48" s="43">
        <v>17</v>
      </c>
      <c r="I48" s="59">
        <v>245</v>
      </c>
      <c r="K48" s="214"/>
      <c r="L48" s="18">
        <v>30</v>
      </c>
      <c r="M48" s="95">
        <v>7.0000000000000007E-2</v>
      </c>
      <c r="N48" s="103">
        <v>1</v>
      </c>
      <c r="O48" s="45">
        <v>1</v>
      </c>
      <c r="P48" s="45">
        <v>1</v>
      </c>
      <c r="Q48" s="104">
        <v>17</v>
      </c>
    </row>
    <row r="49" spans="2:17" x14ac:dyDescent="0.3">
      <c r="B49" s="77"/>
      <c r="C49" s="214"/>
      <c r="D49" s="5"/>
      <c r="E49" s="5"/>
      <c r="F49" s="4"/>
      <c r="G49" s="4"/>
      <c r="H49" s="4"/>
      <c r="I49" s="4"/>
      <c r="K49" s="214"/>
      <c r="L49" s="5"/>
      <c r="M49" s="5"/>
      <c r="N49" s="4"/>
      <c r="O49" s="4"/>
      <c r="P49" s="4"/>
      <c r="Q49" s="22"/>
    </row>
    <row r="50" spans="2:17" x14ac:dyDescent="0.3">
      <c r="B50" s="77"/>
      <c r="C50" s="11"/>
      <c r="D50" s="10"/>
      <c r="E50" s="10"/>
      <c r="F50" s="61"/>
      <c r="G50" s="61"/>
      <c r="H50" s="61"/>
      <c r="I50" s="61"/>
      <c r="K50" s="11"/>
      <c r="L50" s="10"/>
      <c r="M50" s="10"/>
      <c r="N50" s="61"/>
      <c r="O50" s="61"/>
      <c r="P50" s="61"/>
      <c r="Q50" s="23"/>
    </row>
    <row r="51" spans="2:17" x14ac:dyDescent="0.3">
      <c r="B51" s="77"/>
      <c r="C51" s="11"/>
      <c r="D51" s="11"/>
      <c r="E51" s="11"/>
      <c r="F51" s="11"/>
      <c r="G51" s="11"/>
      <c r="H51" s="11"/>
      <c r="I51" s="11"/>
      <c r="K51" s="11"/>
      <c r="L51" s="11"/>
      <c r="M51" s="11"/>
      <c r="N51" s="11"/>
      <c r="O51" s="11"/>
      <c r="P51" s="11"/>
      <c r="Q51" s="84"/>
    </row>
    <row r="52" spans="2:17" ht="15" customHeight="1" x14ac:dyDescent="0.3">
      <c r="B52" s="77"/>
      <c r="E52" s="11"/>
      <c r="F52" s="11"/>
      <c r="M52" s="11"/>
      <c r="N52" s="11"/>
      <c r="Q52" s="9"/>
    </row>
    <row r="53" spans="2:17" ht="15" thickBot="1" x14ac:dyDescent="0.35">
      <c r="B53" s="78"/>
      <c r="C53" s="14"/>
      <c r="D53" s="15"/>
      <c r="E53" s="15"/>
      <c r="F53" s="15"/>
      <c r="G53" s="15"/>
      <c r="H53" s="15"/>
      <c r="I53" s="15"/>
      <c r="J53" s="13"/>
      <c r="K53" s="13"/>
      <c r="L53" s="15"/>
      <c r="M53" s="15"/>
      <c r="N53" s="13"/>
      <c r="O53" s="13"/>
      <c r="P53" s="13"/>
      <c r="Q53" s="16"/>
    </row>
    <row r="55" spans="2:17" ht="14.7" customHeight="1" x14ac:dyDescent="0.3"/>
    <row r="56" spans="2:17" ht="14.25" customHeight="1" x14ac:dyDescent="0.3"/>
    <row r="57" spans="2:17" ht="15" customHeight="1" x14ac:dyDescent="0.3"/>
    <row r="58" spans="2:17" ht="14.25" customHeight="1" x14ac:dyDescent="0.3"/>
    <row r="107" spans="2:2" ht="15" thickBot="1" x14ac:dyDescent="0.35">
      <c r="B107" s="13"/>
    </row>
    <row r="108" spans="2:2" ht="14.7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7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3:C49"/>
    <mergeCell ref="K43:K49"/>
    <mergeCell ref="C4:C10"/>
    <mergeCell ref="K4:K10"/>
    <mergeCell ref="C17:C23"/>
    <mergeCell ref="K17:K23"/>
    <mergeCell ref="C30:C36"/>
    <mergeCell ref="K30:K36"/>
  </mergeCells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13"/>
  <sheetViews>
    <sheetView topLeftCell="F3" zoomScale="80" zoomScaleNormal="80" workbookViewId="0">
      <selection activeCell="J29" sqref="J29:J36"/>
    </sheetView>
  </sheetViews>
  <sheetFormatPr defaultColWidth="9.109375" defaultRowHeight="14.4" x14ac:dyDescent="0.3"/>
  <cols>
    <col min="1" max="1" width="78" style="2" bestFit="1" customWidth="1"/>
    <col min="2" max="2" width="25.44140625" style="2" bestFit="1" customWidth="1"/>
    <col min="3" max="3" width="10.6640625" style="2" bestFit="1" customWidth="1"/>
    <col min="4" max="4" width="19.33203125" style="2" bestFit="1" customWidth="1"/>
    <col min="5" max="5" width="28.109375" style="2" bestFit="1" customWidth="1"/>
    <col min="6" max="6" width="28.44140625" style="2" bestFit="1" customWidth="1"/>
    <col min="7" max="8" width="28.44140625" style="2" customWidth="1"/>
    <col min="9" max="9" width="32.44140625" style="2" customWidth="1"/>
    <col min="10" max="10" width="29.88671875" style="2" bestFit="1" customWidth="1"/>
    <col min="11" max="11" width="9.109375" style="2"/>
    <col min="12" max="12" width="29.33203125" style="2" bestFit="1" customWidth="1"/>
    <col min="13" max="13" width="25.88671875" style="2" customWidth="1"/>
    <col min="14" max="17" width="32.44140625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71</v>
      </c>
    </row>
    <row r="2" spans="1:23" ht="26.4" thickBot="1" x14ac:dyDescent="0.55000000000000004">
      <c r="A2" s="51" t="s">
        <v>72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6.4" thickBot="1" x14ac:dyDescent="0.55000000000000004">
      <c r="A3" s="52">
        <v>45383</v>
      </c>
      <c r="B3" s="77"/>
      <c r="C3" s="3" t="s">
        <v>3</v>
      </c>
      <c r="D3" s="3" t="s">
        <v>4</v>
      </c>
      <c r="E3" s="3" t="s">
        <v>44</v>
      </c>
      <c r="F3" s="20" t="s">
        <v>6</v>
      </c>
      <c r="G3" s="20" t="s">
        <v>7</v>
      </c>
      <c r="H3" s="20" t="s">
        <v>8</v>
      </c>
      <c r="I3" s="82" t="s">
        <v>20</v>
      </c>
      <c r="K3" s="3" t="s">
        <v>3</v>
      </c>
      <c r="L3" s="3" t="s">
        <v>4</v>
      </c>
      <c r="M3" s="3" t="s">
        <v>44</v>
      </c>
      <c r="N3" s="20" t="s">
        <v>6</v>
      </c>
      <c r="O3" s="20" t="s">
        <v>7</v>
      </c>
      <c r="P3" s="20" t="s">
        <v>8</v>
      </c>
      <c r="Q3" s="21" t="s">
        <v>20</v>
      </c>
      <c r="S3" s="1"/>
      <c r="U3" s="1"/>
      <c r="W3" s="1"/>
    </row>
    <row r="4" spans="1:23" ht="15" customHeight="1" x14ac:dyDescent="0.3">
      <c r="B4" s="77"/>
      <c r="C4" s="214" t="s">
        <v>73</v>
      </c>
      <c r="D4" s="18">
        <v>0</v>
      </c>
      <c r="E4" s="83">
        <v>0.99</v>
      </c>
      <c r="F4" s="107">
        <v>3300</v>
      </c>
      <c r="G4" s="41">
        <v>7200</v>
      </c>
      <c r="H4" s="41">
        <v>79000</v>
      </c>
      <c r="I4" s="108">
        <v>900</v>
      </c>
      <c r="K4" s="214" t="s">
        <v>73</v>
      </c>
      <c r="L4" s="18">
        <v>0</v>
      </c>
      <c r="M4" s="64">
        <v>2.08</v>
      </c>
      <c r="N4" s="101">
        <v>2600</v>
      </c>
      <c r="O4" s="43">
        <v>4600</v>
      </c>
      <c r="P4" s="43">
        <v>82000</v>
      </c>
      <c r="Q4" s="59">
        <v>1150</v>
      </c>
      <c r="S4" s="1"/>
      <c r="U4" s="1"/>
    </row>
    <row r="5" spans="1:23" x14ac:dyDescent="0.3">
      <c r="B5" s="77"/>
      <c r="C5" s="214"/>
      <c r="D5" s="18">
        <v>1</v>
      </c>
      <c r="E5" s="64">
        <v>0.71</v>
      </c>
      <c r="F5" s="101">
        <v>2100</v>
      </c>
      <c r="G5" s="43">
        <v>3100</v>
      </c>
      <c r="H5" s="43">
        <v>43000</v>
      </c>
      <c r="I5" s="59">
        <v>750</v>
      </c>
      <c r="K5" s="214"/>
      <c r="L5" s="18">
        <v>1</v>
      </c>
      <c r="M5" s="64">
        <v>1.67</v>
      </c>
      <c r="N5" s="101">
        <v>268</v>
      </c>
      <c r="O5" s="43">
        <v>380</v>
      </c>
      <c r="P5" s="43">
        <v>11700</v>
      </c>
      <c r="Q5" s="59">
        <v>384</v>
      </c>
    </row>
    <row r="6" spans="1:23" ht="25.8" x14ac:dyDescent="0.5">
      <c r="A6" s="51" t="s">
        <v>74</v>
      </c>
      <c r="B6" s="91" t="s">
        <v>12</v>
      </c>
      <c r="C6" s="214"/>
      <c r="D6" s="18">
        <v>3</v>
      </c>
      <c r="E6" s="64">
        <v>0.65</v>
      </c>
      <c r="F6" s="101">
        <v>510</v>
      </c>
      <c r="G6" s="43">
        <v>1000</v>
      </c>
      <c r="H6" s="43">
        <v>25000</v>
      </c>
      <c r="I6" s="59">
        <v>480</v>
      </c>
      <c r="K6" s="214"/>
      <c r="L6" s="18">
        <v>3</v>
      </c>
      <c r="M6" s="64">
        <v>1.58</v>
      </c>
      <c r="N6" s="101">
        <v>12</v>
      </c>
      <c r="O6" s="43">
        <v>40</v>
      </c>
      <c r="P6" s="43">
        <v>340</v>
      </c>
      <c r="Q6" s="59">
        <v>88</v>
      </c>
    </row>
    <row r="7" spans="1:23" x14ac:dyDescent="0.3">
      <c r="B7" s="77"/>
      <c r="C7" s="214"/>
      <c r="D7" s="18">
        <v>5</v>
      </c>
      <c r="E7" s="64">
        <v>0.62</v>
      </c>
      <c r="F7" s="101">
        <v>30</v>
      </c>
      <c r="G7" s="43">
        <v>110</v>
      </c>
      <c r="H7" s="43">
        <v>6050</v>
      </c>
      <c r="I7" s="59">
        <v>244</v>
      </c>
      <c r="K7" s="214"/>
      <c r="L7" s="18">
        <v>5</v>
      </c>
      <c r="M7" s="64">
        <v>1.55</v>
      </c>
      <c r="N7" s="101">
        <v>14</v>
      </c>
      <c r="O7" s="43">
        <v>22</v>
      </c>
      <c r="P7" s="43">
        <v>298</v>
      </c>
      <c r="Q7" s="59">
        <v>22</v>
      </c>
    </row>
    <row r="8" spans="1:23" x14ac:dyDescent="0.3">
      <c r="B8" s="77"/>
      <c r="C8" s="214"/>
      <c r="D8" s="18">
        <v>10</v>
      </c>
      <c r="E8" s="64">
        <v>0.56000000000000005</v>
      </c>
      <c r="F8" s="101">
        <v>28</v>
      </c>
      <c r="G8" s="43">
        <v>47</v>
      </c>
      <c r="H8" s="43">
        <v>436</v>
      </c>
      <c r="I8" s="59">
        <v>63</v>
      </c>
      <c r="K8" s="214"/>
      <c r="L8" s="18">
        <v>10</v>
      </c>
      <c r="M8" s="64">
        <v>1.42</v>
      </c>
      <c r="N8" s="101">
        <v>16</v>
      </c>
      <c r="O8" s="43">
        <v>22</v>
      </c>
      <c r="P8" s="43">
        <v>240</v>
      </c>
      <c r="Q8" s="59">
        <v>1</v>
      </c>
    </row>
    <row r="9" spans="1:23" x14ac:dyDescent="0.3">
      <c r="B9" s="77"/>
      <c r="C9" s="214"/>
      <c r="D9" s="18">
        <v>30</v>
      </c>
      <c r="E9" s="64">
        <v>0.35</v>
      </c>
      <c r="F9" s="101">
        <v>13</v>
      </c>
      <c r="G9" s="43">
        <v>14</v>
      </c>
      <c r="H9" s="43">
        <v>204</v>
      </c>
      <c r="I9" s="59">
        <v>5</v>
      </c>
      <c r="K9" s="214"/>
      <c r="L9" s="18">
        <v>30</v>
      </c>
      <c r="M9" s="64">
        <v>0.98</v>
      </c>
      <c r="N9" s="101">
        <v>7</v>
      </c>
      <c r="O9" s="43">
        <v>7</v>
      </c>
      <c r="P9" s="43">
        <v>111</v>
      </c>
      <c r="Q9" s="59">
        <v>7</v>
      </c>
    </row>
    <row r="10" spans="1:23" x14ac:dyDescent="0.3">
      <c r="B10" s="77"/>
      <c r="C10" s="214"/>
      <c r="D10" s="5"/>
      <c r="E10" s="5"/>
      <c r="F10" s="4"/>
      <c r="G10" s="4"/>
      <c r="H10" s="4"/>
      <c r="I10" s="4"/>
      <c r="K10" s="214"/>
      <c r="L10" s="5"/>
      <c r="M10" s="5"/>
      <c r="N10" s="4"/>
      <c r="O10" s="4"/>
      <c r="P10" s="4"/>
      <c r="Q10" s="22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x14ac:dyDescent="0.3">
      <c r="B13" s="58"/>
      <c r="C13" s="6"/>
      <c r="D13" s="6"/>
      <c r="E13" s="100"/>
      <c r="F13" s="100"/>
      <c r="G13" s="6"/>
      <c r="H13" s="6"/>
      <c r="I13" s="6"/>
      <c r="J13" s="6"/>
      <c r="K13" s="6"/>
      <c r="L13" s="6"/>
      <c r="M13" s="100"/>
      <c r="N13" s="100"/>
      <c r="O13" s="6"/>
      <c r="P13" s="6"/>
      <c r="Q13" s="8"/>
    </row>
    <row r="14" spans="1:23" ht="15" thickBot="1" x14ac:dyDescent="0.35">
      <c r="B14" s="77"/>
      <c r="C14" s="14"/>
      <c r="D14" s="15"/>
      <c r="E14" s="15"/>
      <c r="F14" s="15"/>
      <c r="G14" s="15"/>
      <c r="H14" s="15"/>
      <c r="I14" s="15"/>
      <c r="J14" s="13"/>
      <c r="K14" s="13"/>
      <c r="L14" s="15"/>
      <c r="M14" s="15"/>
      <c r="N14" s="13"/>
      <c r="O14" s="13"/>
      <c r="P14" s="13"/>
      <c r="Q14" s="16"/>
    </row>
    <row r="15" spans="1:23" ht="15" thickBot="1" x14ac:dyDescent="0.35">
      <c r="B15" s="77"/>
      <c r="C15" s="7" t="s">
        <v>42</v>
      </c>
      <c r="D15" s="6"/>
      <c r="E15" s="6" t="s">
        <v>47</v>
      </c>
      <c r="F15" s="6"/>
      <c r="G15" s="6"/>
      <c r="H15" s="6"/>
      <c r="I15" s="6"/>
      <c r="J15" s="6"/>
      <c r="K15" s="7" t="s">
        <v>42</v>
      </c>
      <c r="L15" s="6"/>
      <c r="M15" s="6" t="s">
        <v>47</v>
      </c>
      <c r="N15" s="6"/>
      <c r="O15" s="6"/>
      <c r="P15" s="6"/>
      <c r="Q15" s="8"/>
    </row>
    <row r="16" spans="1:23" x14ac:dyDescent="0.3">
      <c r="B16" s="77"/>
      <c r="C16" s="3" t="s">
        <v>3</v>
      </c>
      <c r="D16" s="3" t="s">
        <v>4</v>
      </c>
      <c r="E16" s="3" t="s">
        <v>55</v>
      </c>
      <c r="F16" s="20" t="s">
        <v>6</v>
      </c>
      <c r="G16" s="20" t="s">
        <v>7</v>
      </c>
      <c r="H16" s="20" t="s">
        <v>8</v>
      </c>
      <c r="I16" s="20" t="s">
        <v>20</v>
      </c>
      <c r="K16" s="3" t="s">
        <v>3</v>
      </c>
      <c r="L16" s="3" t="s">
        <v>4</v>
      </c>
      <c r="M16" s="3" t="s">
        <v>55</v>
      </c>
      <c r="N16" s="20" t="s">
        <v>6</v>
      </c>
      <c r="O16" s="20" t="s">
        <v>7</v>
      </c>
      <c r="P16" s="20" t="s">
        <v>8</v>
      </c>
      <c r="Q16" s="21" t="s">
        <v>20</v>
      </c>
    </row>
    <row r="17" spans="2:18" ht="15" customHeight="1" x14ac:dyDescent="0.3">
      <c r="B17" s="77"/>
      <c r="C17" s="214" t="s">
        <v>73</v>
      </c>
      <c r="D17" s="18">
        <v>0</v>
      </c>
      <c r="E17" s="64">
        <v>1.97</v>
      </c>
      <c r="F17" s="101">
        <v>1450</v>
      </c>
      <c r="G17" s="43">
        <v>5800</v>
      </c>
      <c r="H17" s="43">
        <v>74000</v>
      </c>
      <c r="I17" s="59">
        <v>400</v>
      </c>
      <c r="K17" s="214" t="s">
        <v>73</v>
      </c>
      <c r="L17" s="18">
        <v>0</v>
      </c>
      <c r="M17" s="64">
        <v>4</v>
      </c>
      <c r="N17" s="101">
        <v>3250</v>
      </c>
      <c r="O17" s="43">
        <v>6400</v>
      </c>
      <c r="P17" s="43">
        <v>79000</v>
      </c>
      <c r="Q17" s="59">
        <v>1200</v>
      </c>
    </row>
    <row r="18" spans="2:18" x14ac:dyDescent="0.3">
      <c r="B18" s="77"/>
      <c r="C18" s="214"/>
      <c r="D18" s="18">
        <v>1</v>
      </c>
      <c r="E18" s="64">
        <v>1.65</v>
      </c>
      <c r="F18" s="101">
        <v>2300</v>
      </c>
      <c r="G18" s="43">
        <v>4850</v>
      </c>
      <c r="H18" s="43">
        <v>83000</v>
      </c>
      <c r="I18" s="59">
        <v>525</v>
      </c>
      <c r="K18" s="214"/>
      <c r="L18" s="18">
        <v>1</v>
      </c>
      <c r="M18" s="64">
        <v>3.63</v>
      </c>
      <c r="N18" s="101">
        <v>3050</v>
      </c>
      <c r="O18" s="43">
        <v>4100</v>
      </c>
      <c r="P18" s="43">
        <v>60000</v>
      </c>
      <c r="Q18" s="59">
        <v>950</v>
      </c>
    </row>
    <row r="19" spans="2:18" ht="14.25" customHeight="1" x14ac:dyDescent="0.3">
      <c r="B19" s="91" t="s">
        <v>13</v>
      </c>
      <c r="C19" s="214"/>
      <c r="D19" s="18">
        <v>3</v>
      </c>
      <c r="E19" s="64">
        <v>1.56</v>
      </c>
      <c r="F19" s="101">
        <v>1750</v>
      </c>
      <c r="G19" s="43">
        <v>4200</v>
      </c>
      <c r="H19" s="43">
        <v>63000</v>
      </c>
      <c r="I19" s="59">
        <v>200</v>
      </c>
      <c r="K19" s="214"/>
      <c r="L19" s="18">
        <v>3</v>
      </c>
      <c r="M19" s="64">
        <v>3.54</v>
      </c>
      <c r="N19" s="101">
        <v>1440</v>
      </c>
      <c r="O19" s="43">
        <v>3650</v>
      </c>
      <c r="P19" s="43">
        <v>48000</v>
      </c>
      <c r="Q19" s="59">
        <v>660</v>
      </c>
    </row>
    <row r="20" spans="2:18" x14ac:dyDescent="0.3">
      <c r="B20" s="77"/>
      <c r="C20" s="214"/>
      <c r="D20" s="18">
        <v>5</v>
      </c>
      <c r="E20" s="64">
        <v>1.55</v>
      </c>
      <c r="F20" s="101">
        <v>1950</v>
      </c>
      <c r="G20" s="43">
        <v>5300</v>
      </c>
      <c r="H20" s="43">
        <v>50000</v>
      </c>
      <c r="I20" s="59">
        <v>300</v>
      </c>
      <c r="K20" s="214"/>
      <c r="L20" s="18">
        <v>5</v>
      </c>
      <c r="M20" s="64">
        <v>3.34</v>
      </c>
      <c r="N20" s="101">
        <v>358</v>
      </c>
      <c r="O20" s="43">
        <v>1075</v>
      </c>
      <c r="P20" s="43">
        <v>23600</v>
      </c>
      <c r="Q20" s="59">
        <v>454</v>
      </c>
    </row>
    <row r="21" spans="2:18" x14ac:dyDescent="0.3">
      <c r="B21" s="77"/>
      <c r="C21" s="214"/>
      <c r="D21" s="18">
        <v>10</v>
      </c>
      <c r="E21" s="64">
        <v>1.53</v>
      </c>
      <c r="F21" s="101">
        <v>580</v>
      </c>
      <c r="G21" s="43">
        <v>2300</v>
      </c>
      <c r="H21" s="43">
        <v>35750</v>
      </c>
      <c r="I21" s="59">
        <v>180</v>
      </c>
      <c r="K21" s="214"/>
      <c r="L21" s="18">
        <v>10</v>
      </c>
      <c r="M21" s="64">
        <v>3.31</v>
      </c>
      <c r="N21" s="101">
        <v>86</v>
      </c>
      <c r="O21" s="43">
        <v>86</v>
      </c>
      <c r="P21" s="43">
        <v>6300</v>
      </c>
      <c r="Q21" s="59">
        <v>156</v>
      </c>
    </row>
    <row r="22" spans="2:18" x14ac:dyDescent="0.3">
      <c r="B22" s="77"/>
      <c r="C22" s="214"/>
      <c r="D22" s="18">
        <v>30</v>
      </c>
      <c r="E22" s="64">
        <v>1.37</v>
      </c>
      <c r="F22" s="101">
        <v>64</v>
      </c>
      <c r="G22" s="43">
        <v>210</v>
      </c>
      <c r="H22" s="43">
        <v>5200</v>
      </c>
      <c r="I22" s="59">
        <v>40</v>
      </c>
      <c r="K22" s="214"/>
      <c r="L22" s="18">
        <v>30</v>
      </c>
      <c r="M22" s="64">
        <v>2.99</v>
      </c>
      <c r="N22" s="101">
        <v>43</v>
      </c>
      <c r="O22" s="43">
        <v>61</v>
      </c>
      <c r="P22" s="43">
        <v>910</v>
      </c>
      <c r="Q22" s="59">
        <v>13</v>
      </c>
    </row>
    <row r="23" spans="2:18" x14ac:dyDescent="0.3">
      <c r="B23" s="77"/>
      <c r="C23" s="214"/>
      <c r="D23" s="5"/>
      <c r="E23" s="5"/>
      <c r="F23" s="4"/>
      <c r="G23" s="4"/>
      <c r="H23" s="4"/>
      <c r="I23" s="4"/>
      <c r="K23" s="214"/>
      <c r="L23" s="5"/>
      <c r="M23" s="5"/>
      <c r="N23" s="4"/>
      <c r="O23" s="4"/>
      <c r="P23" s="4"/>
      <c r="Q23" s="22"/>
    </row>
    <row r="24" spans="2:18" x14ac:dyDescent="0.3">
      <c r="B24" s="77"/>
      <c r="C24" s="11"/>
      <c r="D24" s="10"/>
      <c r="E24" s="10"/>
      <c r="F24" s="61"/>
      <c r="G24" s="61"/>
      <c r="H24" s="61"/>
      <c r="I24" s="61"/>
      <c r="K24" s="11"/>
      <c r="L24" s="10"/>
      <c r="M24" s="10"/>
      <c r="N24" s="61"/>
      <c r="O24" s="61"/>
      <c r="P24" s="61"/>
      <c r="Q24" s="23"/>
    </row>
    <row r="25" spans="2:18" ht="15" thickBot="1" x14ac:dyDescent="0.35">
      <c r="B25" s="78"/>
      <c r="C25" s="15"/>
      <c r="D25" s="15"/>
      <c r="E25" s="15"/>
      <c r="F25" s="15"/>
      <c r="G25" s="15"/>
      <c r="H25" s="15"/>
      <c r="I25" s="15"/>
      <c r="J25" s="13"/>
      <c r="K25" s="15"/>
      <c r="L25" s="15"/>
      <c r="M25" s="15"/>
      <c r="N25" s="15"/>
      <c r="O25" s="15"/>
      <c r="P25" s="15"/>
      <c r="Q25" s="94"/>
    </row>
    <row r="26" spans="2:18" x14ac:dyDescent="0.3">
      <c r="B26" s="58"/>
      <c r="C26" s="6"/>
      <c r="D26" s="6"/>
      <c r="E26" s="100"/>
      <c r="F26" s="100"/>
      <c r="G26" s="6"/>
      <c r="H26" s="6"/>
      <c r="I26" s="6"/>
      <c r="J26" s="6"/>
      <c r="K26" s="6"/>
      <c r="L26" s="6"/>
      <c r="M26" s="100"/>
      <c r="N26" s="100"/>
      <c r="O26" s="6"/>
      <c r="P26" s="6"/>
      <c r="Q26" s="8"/>
    </row>
    <row r="27" spans="2:18" ht="15" thickBot="1" x14ac:dyDescent="0.35">
      <c r="B27" s="77"/>
      <c r="C27" s="14"/>
      <c r="D27" s="15"/>
      <c r="E27" s="15"/>
      <c r="F27" s="15"/>
      <c r="G27" s="15"/>
      <c r="H27" s="15"/>
      <c r="I27" s="15"/>
      <c r="J27" s="13"/>
      <c r="K27" s="13"/>
      <c r="L27" s="15"/>
      <c r="M27" s="15"/>
      <c r="N27" s="13"/>
      <c r="O27" s="13"/>
      <c r="P27" s="13"/>
      <c r="Q27" s="16"/>
    </row>
    <row r="28" spans="2:18" ht="15" thickBot="1" x14ac:dyDescent="0.35">
      <c r="B28" s="77"/>
      <c r="C28" s="7" t="s">
        <v>42</v>
      </c>
      <c r="D28" s="6"/>
      <c r="E28" s="6" t="s">
        <v>48</v>
      </c>
      <c r="F28" s="6"/>
      <c r="G28" s="6"/>
      <c r="H28" s="6"/>
      <c r="I28" s="6"/>
      <c r="J28" s="6"/>
      <c r="K28" s="7" t="s">
        <v>42</v>
      </c>
      <c r="L28" s="6"/>
      <c r="M28" s="6" t="s">
        <v>48</v>
      </c>
      <c r="N28" s="6"/>
      <c r="O28" s="6"/>
      <c r="P28" s="6"/>
      <c r="Q28" s="8"/>
    </row>
    <row r="29" spans="2:18" x14ac:dyDescent="0.3">
      <c r="B29" s="77"/>
      <c r="C29" s="3" t="s">
        <v>3</v>
      </c>
      <c r="D29" s="3" t="s">
        <v>4</v>
      </c>
      <c r="E29" s="3" t="s">
        <v>49</v>
      </c>
      <c r="F29" s="20" t="s">
        <v>6</v>
      </c>
      <c r="G29" s="20" t="s">
        <v>7</v>
      </c>
      <c r="H29" s="20" t="s">
        <v>8</v>
      </c>
      <c r="I29" s="20" t="s">
        <v>20</v>
      </c>
      <c r="J29" s="74" t="s">
        <v>14</v>
      </c>
      <c r="K29" s="3" t="s">
        <v>3</v>
      </c>
      <c r="L29" s="3" t="s">
        <v>4</v>
      </c>
      <c r="M29" s="3" t="s">
        <v>49</v>
      </c>
      <c r="N29" s="20" t="s">
        <v>6</v>
      </c>
      <c r="O29" s="20" t="s">
        <v>7</v>
      </c>
      <c r="P29" s="20" t="s">
        <v>8</v>
      </c>
      <c r="Q29" s="21" t="s">
        <v>20</v>
      </c>
      <c r="R29" s="74" t="s">
        <v>14</v>
      </c>
    </row>
    <row r="30" spans="2:18" ht="14.25" customHeight="1" x14ac:dyDescent="0.3">
      <c r="B30" s="77"/>
      <c r="C30" s="214" t="s">
        <v>73</v>
      </c>
      <c r="D30" s="18">
        <v>0</v>
      </c>
      <c r="E30" s="81">
        <v>2</v>
      </c>
      <c r="F30" s="101">
        <v>1750</v>
      </c>
      <c r="G30" s="43">
        <v>5500</v>
      </c>
      <c r="H30" s="43">
        <v>61500</v>
      </c>
      <c r="I30" s="59">
        <v>112</v>
      </c>
      <c r="J30" s="112"/>
      <c r="K30" s="214" t="s">
        <v>73</v>
      </c>
      <c r="L30" s="18">
        <v>0</v>
      </c>
      <c r="M30" s="81">
        <v>4</v>
      </c>
      <c r="N30" s="101">
        <v>3200</v>
      </c>
      <c r="O30" s="43">
        <v>8600</v>
      </c>
      <c r="P30" s="43">
        <v>80000</v>
      </c>
      <c r="Q30" s="59">
        <v>650</v>
      </c>
      <c r="R30" s="112"/>
    </row>
    <row r="31" spans="2:18" x14ac:dyDescent="0.3">
      <c r="B31" s="77"/>
      <c r="C31" s="214"/>
      <c r="D31" s="18">
        <v>1</v>
      </c>
      <c r="E31" s="81">
        <v>0.63</v>
      </c>
      <c r="F31" s="101">
        <v>210</v>
      </c>
      <c r="G31" s="43">
        <v>320</v>
      </c>
      <c r="H31" s="43">
        <v>6200</v>
      </c>
      <c r="I31" s="59">
        <v>190</v>
      </c>
      <c r="J31" s="112"/>
      <c r="K31" s="214"/>
      <c r="L31" s="18">
        <v>1</v>
      </c>
      <c r="M31" s="81">
        <v>2.38</v>
      </c>
      <c r="N31" s="101">
        <v>52</v>
      </c>
      <c r="O31" s="43">
        <v>60</v>
      </c>
      <c r="P31" s="43">
        <v>2080</v>
      </c>
      <c r="Q31" s="59">
        <v>28</v>
      </c>
      <c r="R31" s="112"/>
    </row>
    <row r="32" spans="2:18" ht="14.25" customHeight="1" x14ac:dyDescent="0.3">
      <c r="B32" s="91" t="s">
        <v>15</v>
      </c>
      <c r="C32" s="214"/>
      <c r="D32" s="18">
        <v>3</v>
      </c>
      <c r="E32" s="81">
        <v>0.61</v>
      </c>
      <c r="F32" s="101">
        <v>180</v>
      </c>
      <c r="G32" s="43">
        <v>320</v>
      </c>
      <c r="H32" s="43">
        <v>6600</v>
      </c>
      <c r="I32" s="59">
        <v>190</v>
      </c>
      <c r="J32" s="112"/>
      <c r="K32" s="214"/>
      <c r="L32" s="18">
        <v>3</v>
      </c>
      <c r="M32" s="81">
        <v>2.02</v>
      </c>
      <c r="N32" s="101">
        <v>28</v>
      </c>
      <c r="O32" s="43">
        <v>48</v>
      </c>
      <c r="P32" s="43">
        <v>500</v>
      </c>
      <c r="Q32" s="59">
        <v>12</v>
      </c>
      <c r="R32" s="112"/>
    </row>
    <row r="33" spans="2:18" x14ac:dyDescent="0.3">
      <c r="B33" s="77"/>
      <c r="C33" s="214"/>
      <c r="D33" s="18">
        <v>5</v>
      </c>
      <c r="E33" s="81">
        <v>0.52</v>
      </c>
      <c r="F33" s="101">
        <v>128</v>
      </c>
      <c r="G33" s="43">
        <v>600</v>
      </c>
      <c r="H33" s="43">
        <v>8200</v>
      </c>
      <c r="I33" s="59">
        <v>128</v>
      </c>
      <c r="J33" s="112"/>
      <c r="K33" s="214"/>
      <c r="L33" s="18">
        <v>5</v>
      </c>
      <c r="M33" s="81">
        <v>1.82</v>
      </c>
      <c r="N33" s="101">
        <v>22</v>
      </c>
      <c r="O33" s="43">
        <v>50</v>
      </c>
      <c r="P33" s="43">
        <v>490</v>
      </c>
      <c r="Q33" s="59">
        <v>8</v>
      </c>
      <c r="R33" s="112"/>
    </row>
    <row r="34" spans="2:18" x14ac:dyDescent="0.3">
      <c r="B34" s="77"/>
      <c r="C34" s="214"/>
      <c r="D34" s="18">
        <v>10</v>
      </c>
      <c r="E34" s="81">
        <v>0.51</v>
      </c>
      <c r="F34" s="101">
        <v>428</v>
      </c>
      <c r="G34" s="43">
        <v>590</v>
      </c>
      <c r="H34" s="43">
        <v>7000</v>
      </c>
      <c r="I34" s="59">
        <v>100</v>
      </c>
      <c r="J34" s="115">
        <v>5.2999999999999999E-2</v>
      </c>
      <c r="K34" s="214"/>
      <c r="L34" s="18">
        <v>10</v>
      </c>
      <c r="M34" s="81">
        <v>1.54</v>
      </c>
      <c r="N34" s="101">
        <v>22</v>
      </c>
      <c r="O34" s="43">
        <v>28</v>
      </c>
      <c r="P34" s="43">
        <v>420</v>
      </c>
      <c r="Q34" s="59">
        <v>2</v>
      </c>
      <c r="R34" s="115">
        <v>2.5999999999999999E-2</v>
      </c>
    </row>
    <row r="35" spans="2:18" ht="15" thickBot="1" x14ac:dyDescent="0.35">
      <c r="B35" s="77"/>
      <c r="C35" s="214"/>
      <c r="D35" s="18">
        <v>30</v>
      </c>
      <c r="E35" s="81">
        <v>0.45</v>
      </c>
      <c r="F35" s="101">
        <v>52</v>
      </c>
      <c r="G35" s="43">
        <v>184</v>
      </c>
      <c r="H35" s="43">
        <v>2600</v>
      </c>
      <c r="I35" s="59">
        <v>47</v>
      </c>
      <c r="J35" s="115">
        <v>5.1999999999999998E-2</v>
      </c>
      <c r="K35" s="214"/>
      <c r="L35" s="18">
        <v>30</v>
      </c>
      <c r="M35" s="102">
        <v>1.06</v>
      </c>
      <c r="N35" s="103">
        <v>14</v>
      </c>
      <c r="O35" s="45">
        <v>22</v>
      </c>
      <c r="P35" s="45">
        <v>220</v>
      </c>
      <c r="Q35" s="104">
        <v>2</v>
      </c>
      <c r="R35" s="115">
        <v>2.3E-2</v>
      </c>
    </row>
    <row r="36" spans="2:18" ht="15" customHeight="1" x14ac:dyDescent="0.3">
      <c r="B36" s="77"/>
      <c r="C36" s="214"/>
      <c r="D36" s="5"/>
      <c r="E36" s="5"/>
      <c r="F36" s="4"/>
      <c r="G36" s="4"/>
      <c r="H36" s="4"/>
      <c r="I36" s="4"/>
      <c r="J36" s="117"/>
      <c r="K36" s="214"/>
      <c r="L36" s="5"/>
      <c r="M36" s="5"/>
      <c r="N36" s="4"/>
      <c r="O36" s="4"/>
      <c r="P36" s="4"/>
      <c r="Q36" s="22"/>
      <c r="R36" s="117"/>
    </row>
    <row r="37" spans="2:18" x14ac:dyDescent="0.3">
      <c r="B37" s="77"/>
      <c r="C37" s="11"/>
      <c r="D37" s="10"/>
      <c r="E37" s="10"/>
      <c r="F37" s="61"/>
      <c r="G37" s="61"/>
      <c r="H37" s="61"/>
      <c r="I37" s="61"/>
      <c r="K37" s="11"/>
      <c r="L37" s="10"/>
      <c r="M37" s="10"/>
      <c r="N37" s="61"/>
      <c r="O37" s="61"/>
      <c r="P37" s="61"/>
      <c r="Q37" s="23"/>
    </row>
    <row r="38" spans="2:18" ht="15" thickBot="1" x14ac:dyDescent="0.35">
      <c r="B38" s="78"/>
      <c r="C38" s="15"/>
      <c r="D38" s="15"/>
      <c r="E38" s="15"/>
      <c r="F38" s="15"/>
      <c r="G38" s="15"/>
      <c r="H38" s="15"/>
      <c r="I38" s="15"/>
      <c r="J38" s="13"/>
      <c r="K38" s="15"/>
      <c r="L38" s="15"/>
      <c r="M38" s="15"/>
      <c r="N38" s="15"/>
      <c r="O38" s="15"/>
      <c r="P38" s="15"/>
      <c r="Q38" s="94"/>
    </row>
    <row r="39" spans="2:18" ht="15" customHeight="1" x14ac:dyDescent="0.3">
      <c r="B39" s="58"/>
      <c r="C39" s="6"/>
      <c r="D39" s="6"/>
      <c r="E39" s="100"/>
      <c r="F39" s="100"/>
      <c r="G39" s="6"/>
      <c r="H39" s="6"/>
      <c r="I39" s="6"/>
      <c r="J39" s="6"/>
      <c r="K39" s="6"/>
      <c r="L39" s="6"/>
      <c r="M39" s="100"/>
      <c r="N39" s="100"/>
      <c r="O39" s="6"/>
      <c r="P39" s="6"/>
      <c r="Q39" s="8"/>
    </row>
    <row r="40" spans="2:18" ht="15" thickBot="1" x14ac:dyDescent="0.35">
      <c r="B40" s="77"/>
      <c r="C40" s="14"/>
      <c r="D40" s="15"/>
      <c r="E40" s="15"/>
      <c r="F40" s="15"/>
      <c r="G40" s="15"/>
      <c r="H40" s="15"/>
      <c r="I40" s="15"/>
      <c r="J40" s="13"/>
      <c r="K40" s="13"/>
      <c r="L40" s="15"/>
      <c r="M40" s="15"/>
      <c r="N40" s="13"/>
      <c r="O40" s="13"/>
      <c r="P40" s="13"/>
      <c r="Q40" s="16"/>
    </row>
    <row r="41" spans="2:18" ht="15" thickBot="1" x14ac:dyDescent="0.35">
      <c r="B41" s="77"/>
      <c r="C41" s="7" t="s">
        <v>42</v>
      </c>
      <c r="D41" s="6"/>
      <c r="E41" s="6" t="s">
        <v>48</v>
      </c>
      <c r="F41" s="6"/>
      <c r="G41" s="6"/>
      <c r="H41" s="6"/>
      <c r="I41" s="6"/>
      <c r="J41" s="6"/>
      <c r="K41" s="7" t="s">
        <v>42</v>
      </c>
      <c r="L41" s="6"/>
      <c r="M41" s="6" t="s">
        <v>48</v>
      </c>
      <c r="N41" s="6"/>
      <c r="O41" s="6"/>
      <c r="P41" s="6"/>
      <c r="Q41" s="8"/>
    </row>
    <row r="42" spans="2:18" ht="15" thickBot="1" x14ac:dyDescent="0.35">
      <c r="B42" s="77"/>
      <c r="C42" s="3" t="s">
        <v>3</v>
      </c>
      <c r="D42" s="3" t="s">
        <v>4</v>
      </c>
      <c r="E42" s="3" t="s">
        <v>49</v>
      </c>
      <c r="F42" s="20" t="s">
        <v>6</v>
      </c>
      <c r="G42" s="20" t="s">
        <v>7</v>
      </c>
      <c r="H42" s="20" t="s">
        <v>8</v>
      </c>
      <c r="I42" s="20" t="s">
        <v>20</v>
      </c>
      <c r="K42" s="3" t="s">
        <v>3</v>
      </c>
      <c r="L42" s="3" t="s">
        <v>4</v>
      </c>
      <c r="M42" s="3" t="s">
        <v>49</v>
      </c>
      <c r="N42" s="20" t="s">
        <v>6</v>
      </c>
      <c r="O42" s="20" t="s">
        <v>7</v>
      </c>
      <c r="P42" s="20" t="s">
        <v>8</v>
      </c>
      <c r="Q42" s="21" t="s">
        <v>20</v>
      </c>
    </row>
    <row r="43" spans="2:18" ht="14.25" customHeight="1" x14ac:dyDescent="0.3">
      <c r="B43" s="77"/>
      <c r="C43" s="214" t="s">
        <v>73</v>
      </c>
      <c r="D43" s="18">
        <v>0</v>
      </c>
      <c r="E43" s="105">
        <v>2</v>
      </c>
      <c r="F43" s="101">
        <v>1750</v>
      </c>
      <c r="G43" s="43">
        <v>5500</v>
      </c>
      <c r="H43" s="43">
        <v>61500</v>
      </c>
      <c r="I43" s="59">
        <v>112</v>
      </c>
      <c r="K43" s="214" t="s">
        <v>73</v>
      </c>
      <c r="L43" s="18">
        <v>0</v>
      </c>
      <c r="M43" s="88">
        <v>4</v>
      </c>
      <c r="N43" s="101">
        <v>3200</v>
      </c>
      <c r="O43" s="43">
        <v>8600</v>
      </c>
      <c r="P43" s="43">
        <v>80000</v>
      </c>
      <c r="Q43" s="59">
        <v>650</v>
      </c>
    </row>
    <row r="44" spans="2:18" x14ac:dyDescent="0.3">
      <c r="B44" s="77"/>
      <c r="C44" s="214"/>
      <c r="D44" s="18">
        <v>1</v>
      </c>
      <c r="E44" s="88">
        <v>0.17</v>
      </c>
      <c r="F44" s="101">
        <v>210</v>
      </c>
      <c r="G44" s="43">
        <v>320</v>
      </c>
      <c r="H44" s="43">
        <v>6200</v>
      </c>
      <c r="I44" s="59">
        <v>190</v>
      </c>
      <c r="K44" s="214"/>
      <c r="L44" s="18">
        <v>1</v>
      </c>
      <c r="M44" s="88">
        <v>1.63</v>
      </c>
      <c r="N44" s="101">
        <v>52</v>
      </c>
      <c r="O44" s="43">
        <v>60</v>
      </c>
      <c r="P44" s="43">
        <v>2080</v>
      </c>
      <c r="Q44" s="59">
        <v>28</v>
      </c>
    </row>
    <row r="45" spans="2:18" ht="14.25" customHeight="1" x14ac:dyDescent="0.3">
      <c r="B45" s="91" t="s">
        <v>17</v>
      </c>
      <c r="C45" s="214"/>
      <c r="D45" s="18">
        <v>3</v>
      </c>
      <c r="E45" s="88">
        <v>0.17</v>
      </c>
      <c r="F45" s="101">
        <v>180</v>
      </c>
      <c r="G45" s="43">
        <v>320</v>
      </c>
      <c r="H45" s="43">
        <v>6600</v>
      </c>
      <c r="I45" s="59">
        <v>190</v>
      </c>
      <c r="K45" s="214"/>
      <c r="L45" s="18">
        <v>3</v>
      </c>
      <c r="M45" s="88">
        <v>1.06</v>
      </c>
      <c r="N45" s="101">
        <v>28</v>
      </c>
      <c r="O45" s="43">
        <v>48</v>
      </c>
      <c r="P45" s="43">
        <v>500</v>
      </c>
      <c r="Q45" s="59">
        <v>12</v>
      </c>
    </row>
    <row r="46" spans="2:18" x14ac:dyDescent="0.3">
      <c r="B46" s="77"/>
      <c r="C46" s="214"/>
      <c r="D46" s="18">
        <v>5</v>
      </c>
      <c r="E46" s="88">
        <v>0.14000000000000001</v>
      </c>
      <c r="F46" s="101">
        <v>128</v>
      </c>
      <c r="G46" s="43">
        <v>600</v>
      </c>
      <c r="H46" s="43">
        <v>8200</v>
      </c>
      <c r="I46" s="59">
        <v>128</v>
      </c>
      <c r="K46" s="214"/>
      <c r="L46" s="18">
        <v>5</v>
      </c>
      <c r="M46" s="88">
        <v>0.9</v>
      </c>
      <c r="N46" s="101">
        <v>22</v>
      </c>
      <c r="O46" s="43">
        <v>50</v>
      </c>
      <c r="P46" s="43">
        <v>490</v>
      </c>
      <c r="Q46" s="59">
        <v>8</v>
      </c>
    </row>
    <row r="47" spans="2:18" x14ac:dyDescent="0.3">
      <c r="B47" s="77"/>
      <c r="C47" s="214"/>
      <c r="D47" s="18">
        <v>10</v>
      </c>
      <c r="E47" s="88">
        <v>7.0000000000000007E-2</v>
      </c>
      <c r="F47" s="101">
        <v>428</v>
      </c>
      <c r="G47" s="43">
        <v>590</v>
      </c>
      <c r="H47" s="43">
        <v>7000</v>
      </c>
      <c r="I47" s="59">
        <v>100</v>
      </c>
      <c r="K47" s="214"/>
      <c r="L47" s="18">
        <v>10</v>
      </c>
      <c r="M47" s="88">
        <v>0.64</v>
      </c>
      <c r="N47" s="101">
        <v>22</v>
      </c>
      <c r="O47" s="43">
        <v>28</v>
      </c>
      <c r="P47" s="43">
        <v>420</v>
      </c>
      <c r="Q47" s="59">
        <v>2</v>
      </c>
    </row>
    <row r="48" spans="2:18" ht="15" thickBot="1" x14ac:dyDescent="0.35">
      <c r="B48" s="77"/>
      <c r="C48" s="214"/>
      <c r="D48" s="18">
        <v>30</v>
      </c>
      <c r="E48" s="88">
        <v>0.04</v>
      </c>
      <c r="F48" s="101">
        <v>52</v>
      </c>
      <c r="G48" s="43">
        <v>184</v>
      </c>
      <c r="H48" s="43">
        <v>2600</v>
      </c>
      <c r="I48" s="59">
        <v>47</v>
      </c>
      <c r="K48" s="214"/>
      <c r="L48" s="18">
        <v>30</v>
      </c>
      <c r="M48" s="90">
        <v>0.22</v>
      </c>
      <c r="N48" s="103">
        <v>14</v>
      </c>
      <c r="O48" s="45">
        <v>22</v>
      </c>
      <c r="P48" s="45">
        <v>220</v>
      </c>
      <c r="Q48" s="104">
        <v>2</v>
      </c>
    </row>
    <row r="49" spans="2:17" x14ac:dyDescent="0.3">
      <c r="B49" s="77"/>
      <c r="C49" s="214"/>
      <c r="D49" s="5"/>
      <c r="E49" s="5"/>
      <c r="F49" s="4"/>
      <c r="G49" s="4"/>
      <c r="H49" s="4"/>
      <c r="I49" s="4"/>
      <c r="K49" s="214"/>
      <c r="L49" s="5"/>
      <c r="M49" s="5"/>
      <c r="N49" s="4"/>
      <c r="O49" s="4"/>
      <c r="P49" s="4"/>
      <c r="Q49" s="22"/>
    </row>
    <row r="50" spans="2:17" x14ac:dyDescent="0.3">
      <c r="B50" s="77"/>
      <c r="C50" s="11"/>
      <c r="D50" s="10"/>
      <c r="E50" s="10"/>
      <c r="F50" s="61"/>
      <c r="G50" s="61"/>
      <c r="H50" s="61"/>
      <c r="I50" s="61"/>
      <c r="K50" s="11"/>
      <c r="L50" s="10"/>
      <c r="M50" s="10"/>
      <c r="N50" s="61"/>
      <c r="O50" s="61"/>
      <c r="P50" s="61"/>
      <c r="Q50" s="23"/>
    </row>
    <row r="51" spans="2:17" x14ac:dyDescent="0.3">
      <c r="B51" s="77"/>
      <c r="C51" s="11"/>
      <c r="D51" s="11"/>
      <c r="E51" s="11"/>
      <c r="F51" s="11"/>
      <c r="G51" s="11"/>
      <c r="H51" s="11"/>
      <c r="I51" s="11"/>
      <c r="K51" s="11"/>
      <c r="L51" s="11"/>
      <c r="M51" s="11"/>
      <c r="N51" s="11"/>
      <c r="O51" s="11"/>
      <c r="P51" s="11"/>
      <c r="Q51" s="84"/>
    </row>
    <row r="52" spans="2:17" ht="15" customHeight="1" x14ac:dyDescent="0.3">
      <c r="B52" s="77"/>
      <c r="E52" s="11"/>
      <c r="F52" s="11"/>
      <c r="M52" s="11"/>
      <c r="N52" s="11"/>
      <c r="Q52" s="9"/>
    </row>
    <row r="53" spans="2:17" ht="15" thickBot="1" x14ac:dyDescent="0.35">
      <c r="B53" s="7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6"/>
    </row>
    <row r="55" spans="2:17" ht="14.7" customHeight="1" x14ac:dyDescent="0.3"/>
    <row r="56" spans="2:17" ht="14.25" customHeight="1" x14ac:dyDescent="0.3"/>
    <row r="57" spans="2:17" ht="15" customHeight="1" x14ac:dyDescent="0.3"/>
    <row r="58" spans="2:17" ht="14.25" customHeight="1" x14ac:dyDescent="0.3"/>
    <row r="107" spans="2:2" ht="15" thickBot="1" x14ac:dyDescent="0.35">
      <c r="B107" s="13"/>
    </row>
    <row r="108" spans="2:2" ht="14.7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7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:C10"/>
    <mergeCell ref="K4:K10"/>
    <mergeCell ref="C43:C49"/>
    <mergeCell ref="K43:K49"/>
    <mergeCell ref="C30:C36"/>
    <mergeCell ref="K30:K36"/>
    <mergeCell ref="C17:C23"/>
    <mergeCell ref="K17:K2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BCF5-5075-42E3-B2C4-6CB46736214F}">
  <dimension ref="A1:W213"/>
  <sheetViews>
    <sheetView topLeftCell="C1" zoomScale="70" zoomScaleNormal="70" workbookViewId="0">
      <selection activeCell="AE34" sqref="AE34"/>
    </sheetView>
  </sheetViews>
  <sheetFormatPr defaultColWidth="9.109375" defaultRowHeight="14.4" x14ac:dyDescent="0.3"/>
  <cols>
    <col min="1" max="1" width="78" style="2" bestFit="1" customWidth="1"/>
    <col min="2" max="2" width="25.44140625" style="2" bestFit="1" customWidth="1"/>
    <col min="3" max="3" width="10.6640625" style="2" bestFit="1" customWidth="1"/>
    <col min="4" max="4" width="12.33203125" style="2" customWidth="1"/>
    <col min="5" max="5" width="15.88671875" style="2" customWidth="1"/>
    <col min="6" max="6" width="16.88671875" style="2" customWidth="1"/>
    <col min="7" max="7" width="15" style="2" customWidth="1"/>
    <col min="8" max="8" width="14.109375" style="2" customWidth="1"/>
    <col min="9" max="9" width="15.33203125" style="2" customWidth="1"/>
    <col min="10" max="10" width="29.88671875" style="2" bestFit="1" customWidth="1"/>
    <col min="11" max="11" width="9.109375" style="2"/>
    <col min="12" max="12" width="13.6640625" style="2" customWidth="1"/>
    <col min="13" max="13" width="14.5546875" style="2" customWidth="1"/>
    <col min="14" max="14" width="14.88671875" style="2" customWidth="1"/>
    <col min="15" max="15" width="11.5546875" style="2" customWidth="1"/>
    <col min="16" max="16" width="13.33203125" style="2" customWidth="1"/>
    <col min="17" max="17" width="17.33203125" style="2" customWidth="1"/>
    <col min="18" max="18" width="13.6640625" style="2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71</v>
      </c>
    </row>
    <row r="2" spans="1:23" ht="26.4" thickBot="1" x14ac:dyDescent="0.55000000000000004">
      <c r="A2" s="51" t="s">
        <v>72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6.4" thickBot="1" x14ac:dyDescent="0.55000000000000004">
      <c r="A3" s="52">
        <v>45383</v>
      </c>
      <c r="B3" s="77"/>
      <c r="C3" s="3" t="s">
        <v>3</v>
      </c>
      <c r="D3" s="3" t="s">
        <v>4</v>
      </c>
      <c r="E3" s="3" t="s">
        <v>44</v>
      </c>
      <c r="F3" s="20" t="s">
        <v>6</v>
      </c>
      <c r="G3" s="20" t="s">
        <v>7</v>
      </c>
      <c r="H3" s="20" t="s">
        <v>8</v>
      </c>
      <c r="I3" s="82" t="s">
        <v>20</v>
      </c>
      <c r="K3" s="3" t="s">
        <v>3</v>
      </c>
      <c r="L3" s="3" t="s">
        <v>4</v>
      </c>
      <c r="M3" s="3" t="s">
        <v>44</v>
      </c>
      <c r="N3" s="20" t="s">
        <v>6</v>
      </c>
      <c r="O3" s="20" t="s">
        <v>7</v>
      </c>
      <c r="P3" s="20" t="s">
        <v>8</v>
      </c>
      <c r="Q3" s="21" t="s">
        <v>20</v>
      </c>
      <c r="S3" s="1"/>
      <c r="U3" s="1"/>
      <c r="W3" s="1"/>
    </row>
    <row r="4" spans="1:23" ht="15" customHeight="1" x14ac:dyDescent="0.3">
      <c r="B4" s="77"/>
      <c r="C4" s="214" t="s">
        <v>73</v>
      </c>
      <c r="D4" s="18">
        <v>0</v>
      </c>
      <c r="E4" s="83">
        <v>0.99</v>
      </c>
      <c r="F4" s="107">
        <v>3300</v>
      </c>
      <c r="G4" s="41">
        <v>7200</v>
      </c>
      <c r="H4" s="41">
        <v>79000</v>
      </c>
      <c r="I4" s="108">
        <v>900</v>
      </c>
      <c r="K4" s="214" t="s">
        <v>73</v>
      </c>
      <c r="L4" s="18">
        <v>0</v>
      </c>
      <c r="M4" s="64">
        <v>2.08</v>
      </c>
      <c r="N4" s="101">
        <v>2600</v>
      </c>
      <c r="O4" s="43">
        <v>4600</v>
      </c>
      <c r="P4" s="43">
        <v>82000</v>
      </c>
      <c r="Q4" s="59">
        <v>1150</v>
      </c>
      <c r="S4" s="1"/>
      <c r="U4" s="1"/>
    </row>
    <row r="5" spans="1:23" x14ac:dyDescent="0.3">
      <c r="B5" s="77"/>
      <c r="C5" s="214"/>
      <c r="D5" s="18">
        <v>1</v>
      </c>
      <c r="E5" s="64">
        <v>0.71</v>
      </c>
      <c r="F5" s="101">
        <v>2100</v>
      </c>
      <c r="G5" s="43">
        <v>3100</v>
      </c>
      <c r="H5" s="43">
        <v>43000</v>
      </c>
      <c r="I5" s="59">
        <v>750</v>
      </c>
      <c r="K5" s="214"/>
      <c r="L5" s="18">
        <v>1</v>
      </c>
      <c r="M5" s="64">
        <v>1.67</v>
      </c>
      <c r="N5" s="101">
        <v>268</v>
      </c>
      <c r="O5" s="43">
        <v>380</v>
      </c>
      <c r="P5" s="43">
        <v>11700</v>
      </c>
      <c r="Q5" s="59">
        <v>384</v>
      </c>
    </row>
    <row r="6" spans="1:23" ht="25.8" x14ac:dyDescent="0.5">
      <c r="A6" s="51" t="s">
        <v>74</v>
      </c>
      <c r="B6" s="91" t="s">
        <v>12</v>
      </c>
      <c r="C6" s="214"/>
      <c r="D6" s="18">
        <v>3</v>
      </c>
      <c r="E6" s="64">
        <v>0.65</v>
      </c>
      <c r="F6" s="101">
        <v>510</v>
      </c>
      <c r="G6" s="43">
        <v>1000</v>
      </c>
      <c r="H6" s="43">
        <v>25000</v>
      </c>
      <c r="I6" s="59">
        <v>480</v>
      </c>
      <c r="K6" s="214"/>
      <c r="L6" s="18">
        <v>3</v>
      </c>
      <c r="M6" s="64">
        <v>1.58</v>
      </c>
      <c r="N6" s="101">
        <v>12</v>
      </c>
      <c r="O6" s="43">
        <v>40</v>
      </c>
      <c r="P6" s="43">
        <v>340</v>
      </c>
      <c r="Q6" s="59">
        <v>88</v>
      </c>
    </row>
    <row r="7" spans="1:23" x14ac:dyDescent="0.3">
      <c r="B7" s="77"/>
      <c r="C7" s="214"/>
      <c r="D7" s="18">
        <v>5</v>
      </c>
      <c r="E7" s="64">
        <v>0.62</v>
      </c>
      <c r="F7" s="101">
        <v>30</v>
      </c>
      <c r="G7" s="43">
        <v>110</v>
      </c>
      <c r="H7" s="43">
        <v>6050</v>
      </c>
      <c r="I7" s="59">
        <v>244</v>
      </c>
      <c r="K7" s="214"/>
      <c r="L7" s="18">
        <v>5</v>
      </c>
      <c r="M7" s="64">
        <v>1.55</v>
      </c>
      <c r="N7" s="101">
        <v>14</v>
      </c>
      <c r="O7" s="43">
        <v>22</v>
      </c>
      <c r="P7" s="43">
        <v>298</v>
      </c>
      <c r="Q7" s="59">
        <v>22</v>
      </c>
    </row>
    <row r="8" spans="1:23" x14ac:dyDescent="0.3">
      <c r="B8" s="77"/>
      <c r="C8" s="214"/>
      <c r="D8" s="18">
        <v>10</v>
      </c>
      <c r="E8" s="64">
        <v>0.56000000000000005</v>
      </c>
      <c r="F8" s="101">
        <v>28</v>
      </c>
      <c r="G8" s="43">
        <v>47</v>
      </c>
      <c r="H8" s="43">
        <v>436</v>
      </c>
      <c r="I8" s="59">
        <v>63</v>
      </c>
      <c r="K8" s="214"/>
      <c r="L8" s="18">
        <v>10</v>
      </c>
      <c r="M8" s="64">
        <v>1.42</v>
      </c>
      <c r="N8" s="101">
        <v>16</v>
      </c>
      <c r="O8" s="43">
        <v>22</v>
      </c>
      <c r="P8" s="43">
        <v>240</v>
      </c>
      <c r="Q8" s="59">
        <v>1</v>
      </c>
    </row>
    <row r="9" spans="1:23" x14ac:dyDescent="0.3">
      <c r="B9" s="77"/>
      <c r="C9" s="214"/>
      <c r="D9" s="18">
        <v>30</v>
      </c>
      <c r="E9" s="64">
        <v>0.35</v>
      </c>
      <c r="F9" s="101">
        <v>13</v>
      </c>
      <c r="G9" s="43">
        <v>14</v>
      </c>
      <c r="H9" s="43">
        <v>204</v>
      </c>
      <c r="I9" s="59">
        <v>5</v>
      </c>
      <c r="K9" s="214"/>
      <c r="L9" s="18">
        <v>30</v>
      </c>
      <c r="M9" s="64">
        <v>0.98</v>
      </c>
      <c r="N9" s="101">
        <v>7</v>
      </c>
      <c r="O9" s="43">
        <v>7</v>
      </c>
      <c r="P9" s="43">
        <v>111</v>
      </c>
      <c r="Q9" s="59">
        <v>7</v>
      </c>
    </row>
    <row r="10" spans="1:23" x14ac:dyDescent="0.3">
      <c r="B10" s="77"/>
      <c r="C10" s="214"/>
      <c r="D10" s="5"/>
      <c r="E10" s="5"/>
      <c r="F10" s="4"/>
      <c r="G10" s="4"/>
      <c r="H10" s="4"/>
      <c r="I10" s="4"/>
      <c r="K10" s="214"/>
      <c r="L10" s="5"/>
      <c r="M10" s="5"/>
      <c r="N10" s="4"/>
      <c r="O10" s="4"/>
      <c r="P10" s="4"/>
      <c r="Q10" s="22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x14ac:dyDescent="0.3">
      <c r="B13" s="58"/>
      <c r="C13" s="6"/>
      <c r="D13" s="6"/>
      <c r="E13" s="100"/>
      <c r="F13" s="100"/>
      <c r="G13" s="6"/>
      <c r="H13" s="6"/>
      <c r="I13" s="6"/>
      <c r="J13" s="6"/>
      <c r="K13" s="6"/>
      <c r="L13" s="6"/>
      <c r="M13" s="100"/>
      <c r="N13" s="100"/>
      <c r="O13" s="6"/>
      <c r="P13" s="6"/>
      <c r="Q13" s="8"/>
    </row>
    <row r="14" spans="1:23" ht="15" thickBot="1" x14ac:dyDescent="0.35">
      <c r="B14" s="77"/>
      <c r="C14" s="14"/>
      <c r="D14" s="15"/>
      <c r="E14" s="15"/>
      <c r="F14" s="15"/>
      <c r="G14" s="15"/>
      <c r="H14" s="15"/>
      <c r="I14" s="15"/>
      <c r="J14" s="13"/>
      <c r="K14" s="13"/>
      <c r="L14" s="15"/>
      <c r="M14" s="15"/>
      <c r="N14" s="13"/>
      <c r="O14" s="13"/>
      <c r="P14" s="13"/>
      <c r="Q14" s="16"/>
    </row>
    <row r="15" spans="1:23" ht="15" thickBot="1" x14ac:dyDescent="0.35">
      <c r="B15" s="77"/>
      <c r="C15" s="7" t="s">
        <v>42</v>
      </c>
      <c r="D15" s="6"/>
      <c r="E15" s="6" t="s">
        <v>47</v>
      </c>
      <c r="F15" s="6"/>
      <c r="G15" s="6"/>
      <c r="H15" s="6"/>
      <c r="I15" s="6"/>
      <c r="J15" s="6"/>
      <c r="K15" s="7" t="s">
        <v>42</v>
      </c>
      <c r="L15" s="6"/>
      <c r="M15" s="6" t="s">
        <v>47</v>
      </c>
      <c r="N15" s="6"/>
      <c r="O15" s="6"/>
      <c r="P15" s="6"/>
      <c r="Q15" s="8"/>
    </row>
    <row r="16" spans="1:23" x14ac:dyDescent="0.3">
      <c r="B16" s="77"/>
      <c r="C16" s="3" t="s">
        <v>3</v>
      </c>
      <c r="D16" s="3" t="s">
        <v>4</v>
      </c>
      <c r="E16" s="3" t="s">
        <v>55</v>
      </c>
      <c r="F16" s="20" t="s">
        <v>6</v>
      </c>
      <c r="G16" s="20" t="s">
        <v>7</v>
      </c>
      <c r="H16" s="20" t="s">
        <v>8</v>
      </c>
      <c r="I16" s="20" t="s">
        <v>20</v>
      </c>
      <c r="K16" s="3" t="s">
        <v>3</v>
      </c>
      <c r="L16" s="3" t="s">
        <v>4</v>
      </c>
      <c r="M16" s="3" t="s">
        <v>55</v>
      </c>
      <c r="N16" s="20" t="s">
        <v>6</v>
      </c>
      <c r="O16" s="20" t="s">
        <v>7</v>
      </c>
      <c r="P16" s="20" t="s">
        <v>8</v>
      </c>
      <c r="Q16" s="21" t="s">
        <v>20</v>
      </c>
    </row>
    <row r="17" spans="2:18" ht="15" customHeight="1" x14ac:dyDescent="0.3">
      <c r="B17" s="77"/>
      <c r="C17" s="214" t="s">
        <v>73</v>
      </c>
      <c r="D17" s="18">
        <v>0</v>
      </c>
      <c r="E17" s="64">
        <v>1.97</v>
      </c>
      <c r="F17" s="101">
        <v>1450</v>
      </c>
      <c r="G17" s="43">
        <v>5800</v>
      </c>
      <c r="H17" s="43">
        <v>74000</v>
      </c>
      <c r="I17" s="59">
        <v>400</v>
      </c>
      <c r="K17" s="214" t="s">
        <v>73</v>
      </c>
      <c r="L17" s="18">
        <v>0</v>
      </c>
      <c r="M17" s="64">
        <v>4</v>
      </c>
      <c r="N17" s="101">
        <v>3250</v>
      </c>
      <c r="O17" s="43">
        <v>6400</v>
      </c>
      <c r="P17" s="43">
        <v>79000</v>
      </c>
      <c r="Q17" s="59">
        <v>1200</v>
      </c>
    </row>
    <row r="18" spans="2:18" x14ac:dyDescent="0.3">
      <c r="B18" s="77"/>
      <c r="C18" s="214"/>
      <c r="D18" s="18">
        <v>1</v>
      </c>
      <c r="E18" s="64">
        <v>1.65</v>
      </c>
      <c r="F18" s="101">
        <v>2300</v>
      </c>
      <c r="G18" s="43">
        <v>4850</v>
      </c>
      <c r="H18" s="43">
        <v>83000</v>
      </c>
      <c r="I18" s="59">
        <v>525</v>
      </c>
      <c r="K18" s="214"/>
      <c r="L18" s="18">
        <v>1</v>
      </c>
      <c r="M18" s="64">
        <v>3.63</v>
      </c>
      <c r="N18" s="101">
        <v>3050</v>
      </c>
      <c r="O18" s="43">
        <v>4100</v>
      </c>
      <c r="P18" s="43">
        <v>60000</v>
      </c>
      <c r="Q18" s="59">
        <v>950</v>
      </c>
    </row>
    <row r="19" spans="2:18" ht="14.25" customHeight="1" x14ac:dyDescent="0.3">
      <c r="B19" s="91" t="s">
        <v>13</v>
      </c>
      <c r="C19" s="214"/>
      <c r="D19" s="18">
        <v>3</v>
      </c>
      <c r="E19" s="64">
        <v>1.56</v>
      </c>
      <c r="F19" s="101">
        <v>1750</v>
      </c>
      <c r="G19" s="43">
        <v>4200</v>
      </c>
      <c r="H19" s="43">
        <v>63000</v>
      </c>
      <c r="I19" s="59">
        <v>200</v>
      </c>
      <c r="K19" s="214"/>
      <c r="L19" s="18">
        <v>3</v>
      </c>
      <c r="M19" s="64">
        <v>3.54</v>
      </c>
      <c r="N19" s="101">
        <v>1440</v>
      </c>
      <c r="O19" s="43">
        <v>3650</v>
      </c>
      <c r="P19" s="43">
        <v>48000</v>
      </c>
      <c r="Q19" s="59">
        <v>660</v>
      </c>
    </row>
    <row r="20" spans="2:18" x14ac:dyDescent="0.3">
      <c r="B20" s="77"/>
      <c r="C20" s="214"/>
      <c r="D20" s="18">
        <v>5</v>
      </c>
      <c r="E20" s="64">
        <v>1.55</v>
      </c>
      <c r="F20" s="101">
        <v>1950</v>
      </c>
      <c r="G20" s="43">
        <v>5300</v>
      </c>
      <c r="H20" s="43">
        <v>50000</v>
      </c>
      <c r="I20" s="59">
        <v>300</v>
      </c>
      <c r="K20" s="214"/>
      <c r="L20" s="18">
        <v>5</v>
      </c>
      <c r="M20" s="64">
        <v>3.34</v>
      </c>
      <c r="N20" s="101">
        <v>358</v>
      </c>
      <c r="O20" s="43">
        <v>1075</v>
      </c>
      <c r="P20" s="43">
        <v>23600</v>
      </c>
      <c r="Q20" s="59">
        <v>454</v>
      </c>
    </row>
    <row r="21" spans="2:18" x14ac:dyDescent="0.3">
      <c r="B21" s="77"/>
      <c r="C21" s="214"/>
      <c r="D21" s="18">
        <v>10</v>
      </c>
      <c r="E21" s="64">
        <v>1.53</v>
      </c>
      <c r="F21" s="101">
        <v>580</v>
      </c>
      <c r="G21" s="43">
        <v>2300</v>
      </c>
      <c r="H21" s="43">
        <v>35750</v>
      </c>
      <c r="I21" s="59">
        <v>180</v>
      </c>
      <c r="K21" s="214"/>
      <c r="L21" s="18">
        <v>10</v>
      </c>
      <c r="M21" s="64">
        <v>3.31</v>
      </c>
      <c r="N21" s="101">
        <v>86</v>
      </c>
      <c r="O21" s="43">
        <v>86</v>
      </c>
      <c r="P21" s="43">
        <v>6300</v>
      </c>
      <c r="Q21" s="59">
        <v>156</v>
      </c>
    </row>
    <row r="22" spans="2:18" x14ac:dyDescent="0.3">
      <c r="B22" s="77"/>
      <c r="C22" s="214"/>
      <c r="D22" s="18">
        <v>30</v>
      </c>
      <c r="E22" s="64">
        <v>1.37</v>
      </c>
      <c r="F22" s="101">
        <v>64</v>
      </c>
      <c r="G22" s="43">
        <v>210</v>
      </c>
      <c r="H22" s="43">
        <v>5200</v>
      </c>
      <c r="I22" s="59">
        <v>40</v>
      </c>
      <c r="K22" s="214"/>
      <c r="L22" s="18">
        <v>30</v>
      </c>
      <c r="M22" s="64">
        <v>2.99</v>
      </c>
      <c r="N22" s="101">
        <v>43</v>
      </c>
      <c r="O22" s="43">
        <v>61</v>
      </c>
      <c r="P22" s="43">
        <v>910</v>
      </c>
      <c r="Q22" s="59">
        <v>13</v>
      </c>
    </row>
    <row r="23" spans="2:18" x14ac:dyDescent="0.3">
      <c r="B23" s="77"/>
      <c r="C23" s="214"/>
      <c r="D23" s="5"/>
      <c r="E23" s="5"/>
      <c r="F23" s="4"/>
      <c r="G23" s="4"/>
      <c r="H23" s="4"/>
      <c r="I23" s="4"/>
      <c r="K23" s="214"/>
      <c r="L23" s="5"/>
      <c r="M23" s="5"/>
      <c r="N23" s="4"/>
      <c r="O23" s="4"/>
      <c r="P23" s="4"/>
      <c r="Q23" s="22"/>
    </row>
    <row r="24" spans="2:18" x14ac:dyDescent="0.3">
      <c r="B24" s="77"/>
      <c r="C24" s="11"/>
      <c r="D24" s="10"/>
      <c r="E24" s="10"/>
      <c r="F24" s="61"/>
      <c r="G24" s="61"/>
      <c r="H24" s="61"/>
      <c r="I24" s="61"/>
      <c r="K24" s="11"/>
      <c r="L24" s="10"/>
      <c r="M24" s="10"/>
      <c r="N24" s="61"/>
      <c r="O24" s="61"/>
      <c r="P24" s="61"/>
      <c r="Q24" s="23"/>
    </row>
    <row r="25" spans="2:18" ht="15" thickBot="1" x14ac:dyDescent="0.35">
      <c r="B25" s="78"/>
      <c r="C25" s="15"/>
      <c r="D25" s="15"/>
      <c r="E25" s="15"/>
      <c r="F25" s="15"/>
      <c r="G25" s="15"/>
      <c r="H25" s="15"/>
      <c r="I25" s="15"/>
      <c r="J25" s="13"/>
      <c r="K25" s="15"/>
      <c r="L25" s="15"/>
      <c r="M25" s="15"/>
      <c r="N25" s="15"/>
      <c r="O25" s="15"/>
      <c r="P25" s="15"/>
      <c r="Q25" s="94"/>
    </row>
    <row r="26" spans="2:18" x14ac:dyDescent="0.3">
      <c r="B26" s="58"/>
      <c r="C26" s="6"/>
      <c r="D26" s="6"/>
      <c r="E26" s="100"/>
      <c r="F26" s="100"/>
      <c r="G26" s="6"/>
      <c r="H26" s="6"/>
      <c r="I26" s="6"/>
      <c r="J26" s="6"/>
      <c r="K26" s="6"/>
      <c r="L26" s="6"/>
      <c r="M26" s="100"/>
      <c r="N26" s="100"/>
      <c r="O26" s="6"/>
      <c r="P26" s="6"/>
      <c r="Q26" s="8"/>
    </row>
    <row r="27" spans="2:18" ht="15" thickBot="1" x14ac:dyDescent="0.35">
      <c r="B27" s="77"/>
      <c r="C27" s="14"/>
      <c r="D27" s="15"/>
      <c r="E27" s="15"/>
      <c r="F27" s="15"/>
      <c r="G27" s="15"/>
      <c r="H27" s="15"/>
      <c r="I27" s="15"/>
      <c r="J27" s="13"/>
      <c r="K27" s="13"/>
      <c r="L27" s="15"/>
      <c r="M27" s="15"/>
      <c r="N27" s="13"/>
      <c r="O27" s="13"/>
      <c r="P27" s="13"/>
      <c r="Q27" s="16"/>
    </row>
    <row r="28" spans="2:18" ht="15" thickBot="1" x14ac:dyDescent="0.35">
      <c r="B28" s="77"/>
      <c r="C28" s="7" t="s">
        <v>42</v>
      </c>
      <c r="D28" s="6"/>
      <c r="E28" s="6" t="s">
        <v>48</v>
      </c>
      <c r="F28" s="6"/>
      <c r="G28" s="6"/>
      <c r="H28" s="6"/>
      <c r="I28" s="6"/>
      <c r="J28" s="6"/>
      <c r="K28" s="7" t="s">
        <v>42</v>
      </c>
      <c r="L28" s="6"/>
      <c r="M28" s="6" t="s">
        <v>48</v>
      </c>
      <c r="N28" s="6"/>
      <c r="O28" s="6"/>
      <c r="P28" s="6"/>
      <c r="Q28" s="8"/>
    </row>
    <row r="29" spans="2:18" x14ac:dyDescent="0.3">
      <c r="B29" s="77"/>
      <c r="C29" s="3" t="s">
        <v>3</v>
      </c>
      <c r="D29" s="3" t="s">
        <v>4</v>
      </c>
      <c r="E29" s="3" t="s">
        <v>49</v>
      </c>
      <c r="F29" s="20" t="s">
        <v>6</v>
      </c>
      <c r="G29" s="20" t="s">
        <v>7</v>
      </c>
      <c r="H29" s="20" t="s">
        <v>8</v>
      </c>
      <c r="I29" s="20" t="s">
        <v>20</v>
      </c>
      <c r="J29" s="74" t="s">
        <v>14</v>
      </c>
      <c r="K29" s="3" t="s">
        <v>3</v>
      </c>
      <c r="L29" s="3" t="s">
        <v>4</v>
      </c>
      <c r="M29" s="3" t="s">
        <v>49</v>
      </c>
      <c r="N29" s="20" t="s">
        <v>6</v>
      </c>
      <c r="O29" s="20" t="s">
        <v>7</v>
      </c>
      <c r="P29" s="20" t="s">
        <v>8</v>
      </c>
      <c r="Q29" s="21" t="s">
        <v>20</v>
      </c>
      <c r="R29" s="74" t="s">
        <v>14</v>
      </c>
    </row>
    <row r="30" spans="2:18" ht="14.25" customHeight="1" x14ac:dyDescent="0.3">
      <c r="B30" s="77"/>
      <c r="C30" s="214" t="s">
        <v>73</v>
      </c>
      <c r="D30" s="18">
        <v>0</v>
      </c>
      <c r="E30" s="81">
        <v>2</v>
      </c>
      <c r="F30" s="101">
        <v>1750</v>
      </c>
      <c r="G30" s="43">
        <v>5500</v>
      </c>
      <c r="H30" s="43">
        <v>61500</v>
      </c>
      <c r="I30" s="59">
        <v>112</v>
      </c>
      <c r="J30" s="112"/>
      <c r="K30" s="214" t="s">
        <v>73</v>
      </c>
      <c r="L30" s="18">
        <v>0</v>
      </c>
      <c r="M30" s="81">
        <v>4</v>
      </c>
      <c r="N30" s="101">
        <v>3200</v>
      </c>
      <c r="O30" s="43">
        <v>8600</v>
      </c>
      <c r="P30" s="43">
        <v>80000</v>
      </c>
      <c r="Q30" s="59">
        <v>650</v>
      </c>
      <c r="R30" s="112"/>
    </row>
    <row r="31" spans="2:18" x14ac:dyDescent="0.3">
      <c r="B31" s="77"/>
      <c r="C31" s="214"/>
      <c r="D31" s="18">
        <v>1</v>
      </c>
      <c r="E31" s="81">
        <v>0.63</v>
      </c>
      <c r="F31" s="101">
        <v>210</v>
      </c>
      <c r="G31" s="43">
        <v>320</v>
      </c>
      <c r="H31" s="43">
        <v>6200</v>
      </c>
      <c r="I31" s="59">
        <v>190</v>
      </c>
      <c r="J31" s="112"/>
      <c r="K31" s="214"/>
      <c r="L31" s="18">
        <v>1</v>
      </c>
      <c r="M31" s="81">
        <v>2.38</v>
      </c>
      <c r="N31" s="101">
        <v>52</v>
      </c>
      <c r="O31" s="43">
        <v>60</v>
      </c>
      <c r="P31" s="43">
        <v>2080</v>
      </c>
      <c r="Q31" s="59">
        <v>28</v>
      </c>
      <c r="R31" s="112"/>
    </row>
    <row r="32" spans="2:18" ht="14.25" customHeight="1" x14ac:dyDescent="0.3">
      <c r="B32" s="91" t="s">
        <v>15</v>
      </c>
      <c r="C32" s="214"/>
      <c r="D32" s="18">
        <v>3</v>
      </c>
      <c r="E32" s="81">
        <v>0.61</v>
      </c>
      <c r="F32" s="101">
        <v>180</v>
      </c>
      <c r="G32" s="43">
        <v>320</v>
      </c>
      <c r="H32" s="43">
        <v>6600</v>
      </c>
      <c r="I32" s="59">
        <v>190</v>
      </c>
      <c r="J32" s="112"/>
      <c r="K32" s="214"/>
      <c r="L32" s="18">
        <v>3</v>
      </c>
      <c r="M32" s="81">
        <v>2.02</v>
      </c>
      <c r="N32" s="101">
        <v>28</v>
      </c>
      <c r="O32" s="43">
        <v>48</v>
      </c>
      <c r="P32" s="43">
        <v>500</v>
      </c>
      <c r="Q32" s="59">
        <v>12</v>
      </c>
      <c r="R32" s="112"/>
    </row>
    <row r="33" spans="2:18" x14ac:dyDescent="0.3">
      <c r="B33" s="77"/>
      <c r="C33" s="214"/>
      <c r="D33" s="18">
        <v>5</v>
      </c>
      <c r="E33" s="81">
        <v>0.52</v>
      </c>
      <c r="F33" s="101">
        <v>128</v>
      </c>
      <c r="G33" s="43">
        <v>600</v>
      </c>
      <c r="H33" s="43">
        <v>8200</v>
      </c>
      <c r="I33" s="59">
        <v>128</v>
      </c>
      <c r="J33" s="112"/>
      <c r="K33" s="214"/>
      <c r="L33" s="18">
        <v>5</v>
      </c>
      <c r="M33" s="81">
        <v>1.82</v>
      </c>
      <c r="N33" s="101">
        <v>22</v>
      </c>
      <c r="O33" s="43">
        <v>50</v>
      </c>
      <c r="P33" s="43">
        <v>490</v>
      </c>
      <c r="Q33" s="59">
        <v>8</v>
      </c>
      <c r="R33" s="112"/>
    </row>
    <row r="34" spans="2:18" x14ac:dyDescent="0.3">
      <c r="B34" s="77"/>
      <c r="C34" s="214"/>
      <c r="D34" s="18">
        <v>10</v>
      </c>
      <c r="E34" s="81">
        <v>0.51</v>
      </c>
      <c r="F34" s="101">
        <v>428</v>
      </c>
      <c r="G34" s="43">
        <v>590</v>
      </c>
      <c r="H34" s="43">
        <v>7000</v>
      </c>
      <c r="I34" s="59">
        <v>100</v>
      </c>
      <c r="J34" s="115">
        <v>5.2999999999999999E-2</v>
      </c>
      <c r="K34" s="214"/>
      <c r="L34" s="18">
        <v>10</v>
      </c>
      <c r="M34" s="81">
        <v>1.54</v>
      </c>
      <c r="N34" s="101">
        <v>22</v>
      </c>
      <c r="O34" s="43">
        <v>28</v>
      </c>
      <c r="P34" s="43">
        <v>420</v>
      </c>
      <c r="Q34" s="59">
        <v>2</v>
      </c>
      <c r="R34" s="115">
        <v>2.5999999999999999E-2</v>
      </c>
    </row>
    <row r="35" spans="2:18" ht="15" thickBot="1" x14ac:dyDescent="0.35">
      <c r="B35" s="77"/>
      <c r="C35" s="214"/>
      <c r="D35" s="18">
        <v>30</v>
      </c>
      <c r="E35" s="81">
        <v>0.45</v>
      </c>
      <c r="F35" s="101">
        <v>52</v>
      </c>
      <c r="G35" s="43">
        <v>184</v>
      </c>
      <c r="H35" s="43">
        <v>2600</v>
      </c>
      <c r="I35" s="59">
        <v>47</v>
      </c>
      <c r="J35" s="115">
        <v>5.1999999999999998E-2</v>
      </c>
      <c r="K35" s="214"/>
      <c r="L35" s="18">
        <v>30</v>
      </c>
      <c r="M35" s="102">
        <v>1.06</v>
      </c>
      <c r="N35" s="103">
        <v>14</v>
      </c>
      <c r="O35" s="45">
        <v>22</v>
      </c>
      <c r="P35" s="45">
        <v>220</v>
      </c>
      <c r="Q35" s="104">
        <v>2</v>
      </c>
      <c r="R35" s="115">
        <v>2.3E-2</v>
      </c>
    </row>
    <row r="36" spans="2:18" ht="15" customHeight="1" x14ac:dyDescent="0.3">
      <c r="B36" s="77"/>
      <c r="C36" s="214"/>
      <c r="D36" s="5"/>
      <c r="E36" s="5"/>
      <c r="F36" s="4"/>
      <c r="G36" s="4"/>
      <c r="H36" s="4"/>
      <c r="I36" s="4"/>
      <c r="J36" s="117"/>
      <c r="K36" s="214"/>
      <c r="L36" s="5"/>
      <c r="M36" s="5"/>
      <c r="N36" s="4"/>
      <c r="O36" s="4"/>
      <c r="P36" s="4"/>
      <c r="Q36" s="22"/>
      <c r="R36" s="117"/>
    </row>
    <row r="37" spans="2:18" x14ac:dyDescent="0.3">
      <c r="B37" s="77"/>
      <c r="C37" s="11"/>
      <c r="D37" s="10"/>
      <c r="E37" s="10"/>
      <c r="F37" s="61"/>
      <c r="G37" s="61"/>
      <c r="H37" s="61"/>
      <c r="I37" s="61"/>
      <c r="K37" s="11"/>
      <c r="L37" s="10"/>
      <c r="M37" s="10"/>
      <c r="N37" s="61"/>
      <c r="O37" s="61"/>
      <c r="P37" s="61"/>
      <c r="Q37" s="23"/>
    </row>
    <row r="38" spans="2:18" ht="15" thickBot="1" x14ac:dyDescent="0.35">
      <c r="B38" s="78"/>
      <c r="C38" s="15"/>
      <c r="D38" s="15"/>
      <c r="E38" s="15"/>
      <c r="F38" s="15"/>
      <c r="G38" s="15"/>
      <c r="H38" s="15"/>
      <c r="I38" s="15"/>
      <c r="J38" s="13"/>
      <c r="K38" s="15"/>
      <c r="L38" s="15"/>
      <c r="M38" s="15"/>
      <c r="N38" s="15"/>
      <c r="O38" s="15"/>
      <c r="P38" s="15"/>
      <c r="Q38" s="94"/>
    </row>
    <row r="39" spans="2:18" ht="15" customHeight="1" x14ac:dyDescent="0.3">
      <c r="B39" s="58"/>
      <c r="C39" s="6"/>
      <c r="D39" s="6"/>
      <c r="E39" s="100"/>
      <c r="F39" s="100"/>
      <c r="G39" s="6"/>
      <c r="H39" s="6"/>
      <c r="I39" s="6"/>
      <c r="J39" s="6"/>
      <c r="K39" s="6"/>
      <c r="L39" s="6"/>
      <c r="M39" s="100"/>
      <c r="N39" s="100"/>
      <c r="O39" s="6"/>
      <c r="P39" s="6"/>
      <c r="Q39" s="8"/>
    </row>
    <row r="40" spans="2:18" ht="15" thickBot="1" x14ac:dyDescent="0.35">
      <c r="B40" s="77"/>
      <c r="C40" s="14"/>
      <c r="D40" s="15"/>
      <c r="E40" s="15"/>
      <c r="F40" s="15"/>
      <c r="G40" s="15"/>
      <c r="H40" s="15"/>
      <c r="I40" s="15"/>
      <c r="J40" s="13"/>
      <c r="K40" s="13"/>
      <c r="L40" s="15"/>
      <c r="M40" s="15"/>
      <c r="N40" s="13"/>
      <c r="O40" s="13"/>
      <c r="P40" s="13"/>
      <c r="Q40" s="16"/>
    </row>
    <row r="41" spans="2:18" ht="15" thickBot="1" x14ac:dyDescent="0.35">
      <c r="B41" s="77"/>
      <c r="C41" s="7" t="s">
        <v>42</v>
      </c>
      <c r="D41" s="6"/>
      <c r="E41" s="6" t="s">
        <v>48</v>
      </c>
      <c r="F41" s="6"/>
      <c r="G41" s="6"/>
      <c r="H41" s="6"/>
      <c r="I41" s="6"/>
      <c r="J41" s="6"/>
      <c r="K41" s="7" t="s">
        <v>42</v>
      </c>
      <c r="L41" s="6"/>
      <c r="M41" s="6" t="s">
        <v>48</v>
      </c>
      <c r="N41" s="6"/>
      <c r="O41" s="6"/>
      <c r="P41" s="6"/>
      <c r="Q41" s="8"/>
    </row>
    <row r="42" spans="2:18" ht="15" thickBot="1" x14ac:dyDescent="0.35">
      <c r="B42" s="77"/>
      <c r="C42" s="3" t="s">
        <v>3</v>
      </c>
      <c r="D42" s="3" t="s">
        <v>4</v>
      </c>
      <c r="E42" s="3" t="s">
        <v>49</v>
      </c>
      <c r="F42" s="20" t="s">
        <v>6</v>
      </c>
      <c r="G42" s="20" t="s">
        <v>7</v>
      </c>
      <c r="H42" s="20" t="s">
        <v>8</v>
      </c>
      <c r="I42" s="20" t="s">
        <v>20</v>
      </c>
      <c r="K42" s="3" t="s">
        <v>3</v>
      </c>
      <c r="L42" s="3" t="s">
        <v>4</v>
      </c>
      <c r="M42" s="3" t="s">
        <v>49</v>
      </c>
      <c r="N42" s="20" t="s">
        <v>6</v>
      </c>
      <c r="O42" s="20" t="s">
        <v>7</v>
      </c>
      <c r="P42" s="20" t="s">
        <v>8</v>
      </c>
      <c r="Q42" s="21" t="s">
        <v>20</v>
      </c>
    </row>
    <row r="43" spans="2:18" ht="14.25" customHeight="1" x14ac:dyDescent="0.3">
      <c r="B43" s="77"/>
      <c r="C43" s="214" t="s">
        <v>73</v>
      </c>
      <c r="D43" s="18">
        <v>0</v>
      </c>
      <c r="E43" s="105">
        <v>2</v>
      </c>
      <c r="F43" s="101">
        <v>1750</v>
      </c>
      <c r="G43" s="43">
        <v>5500</v>
      </c>
      <c r="H43" s="43">
        <v>61500</v>
      </c>
      <c r="I43" s="59">
        <v>112</v>
      </c>
      <c r="K43" s="214" t="s">
        <v>73</v>
      </c>
      <c r="L43" s="18">
        <v>0</v>
      </c>
      <c r="M43" s="88">
        <v>4</v>
      </c>
      <c r="N43" s="101">
        <v>3200</v>
      </c>
      <c r="O43" s="43">
        <v>8600</v>
      </c>
      <c r="P43" s="43">
        <v>80000</v>
      </c>
      <c r="Q43" s="59">
        <v>650</v>
      </c>
    </row>
    <row r="44" spans="2:18" x14ac:dyDescent="0.3">
      <c r="B44" s="77"/>
      <c r="C44" s="214"/>
      <c r="D44" s="18">
        <v>1</v>
      </c>
      <c r="E44" s="88">
        <v>0.17</v>
      </c>
      <c r="F44" s="101">
        <v>210</v>
      </c>
      <c r="G44" s="43">
        <v>320</v>
      </c>
      <c r="H44" s="43">
        <v>6200</v>
      </c>
      <c r="I44" s="59">
        <v>190</v>
      </c>
      <c r="K44" s="214"/>
      <c r="L44" s="18">
        <v>1</v>
      </c>
      <c r="M44" s="88">
        <v>1.63</v>
      </c>
      <c r="N44" s="101">
        <v>52</v>
      </c>
      <c r="O44" s="43">
        <v>60</v>
      </c>
      <c r="P44" s="43">
        <v>2080</v>
      </c>
      <c r="Q44" s="59">
        <v>28</v>
      </c>
    </row>
    <row r="45" spans="2:18" ht="14.25" customHeight="1" x14ac:dyDescent="0.3">
      <c r="B45" s="91" t="s">
        <v>17</v>
      </c>
      <c r="C45" s="214"/>
      <c r="D45" s="18">
        <v>3</v>
      </c>
      <c r="E45" s="88">
        <v>0.17</v>
      </c>
      <c r="F45" s="101">
        <v>180</v>
      </c>
      <c r="G45" s="43">
        <v>320</v>
      </c>
      <c r="H45" s="43">
        <v>6600</v>
      </c>
      <c r="I45" s="59">
        <v>190</v>
      </c>
      <c r="K45" s="214"/>
      <c r="L45" s="18">
        <v>3</v>
      </c>
      <c r="M45" s="88">
        <v>1.06</v>
      </c>
      <c r="N45" s="101">
        <v>28</v>
      </c>
      <c r="O45" s="43">
        <v>48</v>
      </c>
      <c r="P45" s="43">
        <v>500</v>
      </c>
      <c r="Q45" s="59">
        <v>12</v>
      </c>
    </row>
    <row r="46" spans="2:18" x14ac:dyDescent="0.3">
      <c r="B46" s="77"/>
      <c r="C46" s="214"/>
      <c r="D46" s="18">
        <v>5</v>
      </c>
      <c r="E46" s="88">
        <v>0.14000000000000001</v>
      </c>
      <c r="F46" s="101">
        <v>128</v>
      </c>
      <c r="G46" s="43">
        <v>600</v>
      </c>
      <c r="H46" s="43">
        <v>8200</v>
      </c>
      <c r="I46" s="59">
        <v>128</v>
      </c>
      <c r="K46" s="214"/>
      <c r="L46" s="18">
        <v>5</v>
      </c>
      <c r="M46" s="88">
        <v>0.9</v>
      </c>
      <c r="N46" s="101">
        <v>22</v>
      </c>
      <c r="O46" s="43">
        <v>50</v>
      </c>
      <c r="P46" s="43">
        <v>490</v>
      </c>
      <c r="Q46" s="59">
        <v>8</v>
      </c>
    </row>
    <row r="47" spans="2:18" x14ac:dyDescent="0.3">
      <c r="B47" s="77"/>
      <c r="C47" s="214"/>
      <c r="D47" s="18">
        <v>10</v>
      </c>
      <c r="E47" s="88">
        <v>7.0000000000000007E-2</v>
      </c>
      <c r="F47" s="101">
        <v>428</v>
      </c>
      <c r="G47" s="43">
        <v>590</v>
      </c>
      <c r="H47" s="43">
        <v>7000</v>
      </c>
      <c r="I47" s="59">
        <v>100</v>
      </c>
      <c r="K47" s="214"/>
      <c r="L47" s="18">
        <v>10</v>
      </c>
      <c r="M47" s="88">
        <v>0.64</v>
      </c>
      <c r="N47" s="101">
        <v>22</v>
      </c>
      <c r="O47" s="43">
        <v>28</v>
      </c>
      <c r="P47" s="43">
        <v>420</v>
      </c>
      <c r="Q47" s="59">
        <v>2</v>
      </c>
    </row>
    <row r="48" spans="2:18" ht="15" thickBot="1" x14ac:dyDescent="0.35">
      <c r="B48" s="77"/>
      <c r="C48" s="214"/>
      <c r="D48" s="18">
        <v>30</v>
      </c>
      <c r="E48" s="88">
        <v>0.04</v>
      </c>
      <c r="F48" s="101">
        <v>52</v>
      </c>
      <c r="G48" s="43">
        <v>184</v>
      </c>
      <c r="H48" s="43">
        <v>2600</v>
      </c>
      <c r="I48" s="59">
        <v>47</v>
      </c>
      <c r="K48" s="214"/>
      <c r="L48" s="18">
        <v>30</v>
      </c>
      <c r="M48" s="90">
        <v>0.22</v>
      </c>
      <c r="N48" s="103">
        <v>14</v>
      </c>
      <c r="O48" s="45">
        <v>22</v>
      </c>
      <c r="P48" s="45">
        <v>220</v>
      </c>
      <c r="Q48" s="104">
        <v>2</v>
      </c>
    </row>
    <row r="49" spans="2:17" x14ac:dyDescent="0.3">
      <c r="B49" s="77"/>
      <c r="C49" s="214"/>
      <c r="D49" s="5"/>
      <c r="E49" s="5"/>
      <c r="F49" s="4"/>
      <c r="G49" s="4"/>
      <c r="H49" s="4"/>
      <c r="I49" s="4"/>
      <c r="K49" s="214"/>
      <c r="L49" s="5"/>
      <c r="M49" s="5"/>
      <c r="N49" s="4"/>
      <c r="O49" s="4"/>
      <c r="P49" s="4"/>
      <c r="Q49" s="22"/>
    </row>
    <row r="50" spans="2:17" x14ac:dyDescent="0.3">
      <c r="B50" s="77"/>
      <c r="C50" s="11"/>
      <c r="D50" s="10"/>
      <c r="E50" s="10"/>
      <c r="F50" s="61"/>
      <c r="G50" s="61"/>
      <c r="H50" s="61"/>
      <c r="I50" s="61"/>
      <c r="K50" s="11"/>
      <c r="L50" s="10"/>
      <c r="M50" s="10"/>
      <c r="N50" s="61"/>
      <c r="O50" s="61"/>
      <c r="P50" s="61"/>
      <c r="Q50" s="23"/>
    </row>
    <row r="51" spans="2:17" x14ac:dyDescent="0.3">
      <c r="B51" s="77"/>
      <c r="C51" s="11"/>
      <c r="D51" s="11"/>
      <c r="E51" s="11"/>
      <c r="F51" s="11"/>
      <c r="G51" s="11"/>
      <c r="H51" s="11"/>
      <c r="I51" s="11"/>
      <c r="K51" s="11"/>
      <c r="L51" s="11"/>
      <c r="M51" s="11"/>
      <c r="N51" s="11"/>
      <c r="O51" s="11"/>
      <c r="P51" s="11"/>
      <c r="Q51" s="84"/>
    </row>
    <row r="52" spans="2:17" ht="15" customHeight="1" x14ac:dyDescent="0.3">
      <c r="B52" s="77"/>
      <c r="E52" s="11"/>
      <c r="F52" s="11"/>
      <c r="M52" s="11"/>
      <c r="N52" s="11"/>
      <c r="Q52" s="9"/>
    </row>
    <row r="53" spans="2:17" ht="15" thickBot="1" x14ac:dyDescent="0.35">
      <c r="B53" s="7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6"/>
    </row>
    <row r="55" spans="2:17" ht="14.7" customHeight="1" x14ac:dyDescent="0.3"/>
    <row r="56" spans="2:17" ht="14.25" customHeight="1" x14ac:dyDescent="0.3"/>
    <row r="57" spans="2:17" ht="15" customHeight="1" x14ac:dyDescent="0.3"/>
    <row r="58" spans="2:17" ht="14.25" customHeight="1" x14ac:dyDescent="0.3"/>
    <row r="107" spans="2:2" ht="15" thickBot="1" x14ac:dyDescent="0.35">
      <c r="B107" s="13"/>
    </row>
    <row r="108" spans="2:2" ht="14.7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7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3:C49"/>
    <mergeCell ref="K43:K49"/>
    <mergeCell ref="C4:C10"/>
    <mergeCell ref="K4:K10"/>
    <mergeCell ref="C17:C23"/>
    <mergeCell ref="K17:K23"/>
    <mergeCell ref="C30:C36"/>
    <mergeCell ref="K30:K36"/>
  </mergeCells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213"/>
  <sheetViews>
    <sheetView topLeftCell="A3" zoomScale="80" zoomScaleNormal="80" workbookViewId="0">
      <selection activeCell="F201" sqref="F201"/>
    </sheetView>
  </sheetViews>
  <sheetFormatPr defaultColWidth="9.109375" defaultRowHeight="14.4" x14ac:dyDescent="0.3"/>
  <cols>
    <col min="1" max="1" width="61.33203125" style="2" bestFit="1" customWidth="1"/>
    <col min="2" max="2" width="25.44140625" style="2" bestFit="1" customWidth="1"/>
    <col min="3" max="3" width="10.6640625" style="2" bestFit="1" customWidth="1"/>
    <col min="4" max="4" width="19.33203125" style="2" bestFit="1" customWidth="1"/>
    <col min="5" max="5" width="28.109375" style="2" bestFit="1" customWidth="1"/>
    <col min="6" max="6" width="28.44140625" style="2" bestFit="1" customWidth="1"/>
    <col min="7" max="8" width="28.44140625" style="2" customWidth="1"/>
    <col min="9" max="9" width="32.44140625" style="2" customWidth="1"/>
    <col min="10" max="10" width="29.88671875" style="2" bestFit="1" customWidth="1"/>
    <col min="11" max="11" width="9.109375" style="2"/>
    <col min="12" max="12" width="29.33203125" style="2" bestFit="1" customWidth="1"/>
    <col min="13" max="13" width="25.88671875" style="2" customWidth="1"/>
    <col min="14" max="17" width="32.44140625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75</v>
      </c>
    </row>
    <row r="2" spans="1:23" ht="26.4" thickBot="1" x14ac:dyDescent="0.55000000000000004">
      <c r="A2" s="51" t="s">
        <v>76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5.8" x14ac:dyDescent="0.5">
      <c r="A3" s="52">
        <v>45425</v>
      </c>
      <c r="B3" s="77"/>
      <c r="C3" s="3" t="s">
        <v>3</v>
      </c>
      <c r="D3" s="3" t="s">
        <v>4</v>
      </c>
      <c r="E3" s="3" t="s">
        <v>44</v>
      </c>
      <c r="F3" s="20" t="s">
        <v>6</v>
      </c>
      <c r="G3" s="20" t="s">
        <v>7</v>
      </c>
      <c r="H3" s="20" t="s">
        <v>8</v>
      </c>
      <c r="I3" s="82" t="s">
        <v>20</v>
      </c>
      <c r="K3" s="3" t="s">
        <v>3</v>
      </c>
      <c r="L3" s="3" t="s">
        <v>4</v>
      </c>
      <c r="M3" s="3" t="s">
        <v>44</v>
      </c>
      <c r="N3" s="20" t="s">
        <v>6</v>
      </c>
      <c r="O3" s="20" t="s">
        <v>7</v>
      </c>
      <c r="P3" s="20" t="s">
        <v>8</v>
      </c>
      <c r="Q3" s="21" t="s">
        <v>20</v>
      </c>
      <c r="S3" s="1"/>
      <c r="U3" s="1"/>
      <c r="W3" s="1"/>
    </row>
    <row r="4" spans="1:23" ht="15" customHeight="1" x14ac:dyDescent="0.3">
      <c r="B4" s="77"/>
      <c r="C4" s="214" t="s">
        <v>77</v>
      </c>
      <c r="D4" s="18">
        <v>0</v>
      </c>
      <c r="E4" s="64">
        <v>0.97</v>
      </c>
      <c r="F4" s="107">
        <v>2850</v>
      </c>
      <c r="G4" s="41">
        <v>3600</v>
      </c>
      <c r="H4" s="41">
        <v>21000</v>
      </c>
      <c r="I4" s="108">
        <v>200</v>
      </c>
      <c r="K4" s="214" t="s">
        <v>77</v>
      </c>
      <c r="L4" s="18">
        <v>0</v>
      </c>
      <c r="M4" s="81">
        <v>2</v>
      </c>
      <c r="N4" s="101">
        <v>2175</v>
      </c>
      <c r="O4" s="43">
        <v>3150</v>
      </c>
      <c r="P4" s="43">
        <v>23000</v>
      </c>
      <c r="Q4" s="59">
        <v>180</v>
      </c>
      <c r="S4" s="1"/>
      <c r="U4" s="1"/>
    </row>
    <row r="5" spans="1:23" x14ac:dyDescent="0.3">
      <c r="B5" s="77"/>
      <c r="C5" s="214"/>
      <c r="D5" s="18">
        <v>1</v>
      </c>
      <c r="E5" s="64">
        <v>0.87</v>
      </c>
      <c r="F5" s="101">
        <v>1560</v>
      </c>
      <c r="G5" s="43">
        <v>2350</v>
      </c>
      <c r="H5" s="43">
        <v>18000</v>
      </c>
      <c r="I5" s="59">
        <v>160</v>
      </c>
      <c r="K5" s="214"/>
      <c r="L5" s="18">
        <v>1</v>
      </c>
      <c r="M5" s="81">
        <v>1.77</v>
      </c>
      <c r="N5" s="101">
        <v>220</v>
      </c>
      <c r="O5" s="43">
        <v>280</v>
      </c>
      <c r="P5" s="43">
        <v>3000</v>
      </c>
      <c r="Q5" s="59">
        <v>44</v>
      </c>
    </row>
    <row r="6" spans="1:23" ht="25.8" x14ac:dyDescent="0.5">
      <c r="A6" s="51" t="s">
        <v>78</v>
      </c>
      <c r="B6" s="91" t="s">
        <v>12</v>
      </c>
      <c r="C6" s="214"/>
      <c r="D6" s="18">
        <v>3</v>
      </c>
      <c r="E6" s="64">
        <v>0.83</v>
      </c>
      <c r="F6" s="101">
        <v>312</v>
      </c>
      <c r="G6" s="43">
        <v>310</v>
      </c>
      <c r="H6" s="43">
        <v>6600</v>
      </c>
      <c r="I6" s="59">
        <v>68</v>
      </c>
      <c r="K6" s="214"/>
      <c r="L6" s="18">
        <v>3</v>
      </c>
      <c r="M6" s="81">
        <v>1.67</v>
      </c>
      <c r="N6" s="101">
        <v>4</v>
      </c>
      <c r="O6" s="43">
        <v>8</v>
      </c>
      <c r="P6" s="43">
        <v>68</v>
      </c>
      <c r="Q6" s="59">
        <v>4</v>
      </c>
    </row>
    <row r="7" spans="1:23" x14ac:dyDescent="0.3">
      <c r="B7" s="77"/>
      <c r="C7" s="214"/>
      <c r="D7" s="18">
        <v>5</v>
      </c>
      <c r="E7" s="64">
        <v>0.84</v>
      </c>
      <c r="F7" s="101">
        <v>12</v>
      </c>
      <c r="G7" s="43">
        <v>34</v>
      </c>
      <c r="H7" s="43">
        <v>485</v>
      </c>
      <c r="I7" s="59">
        <v>18</v>
      </c>
      <c r="K7" s="214"/>
      <c r="L7" s="18">
        <v>5</v>
      </c>
      <c r="M7" s="81">
        <v>1.61</v>
      </c>
      <c r="N7" s="101">
        <v>8</v>
      </c>
      <c r="O7" s="43">
        <v>6</v>
      </c>
      <c r="P7" s="43">
        <v>66</v>
      </c>
      <c r="Q7" s="59">
        <v>4</v>
      </c>
    </row>
    <row r="8" spans="1:23" x14ac:dyDescent="0.3">
      <c r="B8" s="77"/>
      <c r="C8" s="214"/>
      <c r="D8" s="18">
        <v>10</v>
      </c>
      <c r="E8" s="64">
        <v>0.76</v>
      </c>
      <c r="F8" s="101">
        <v>1</v>
      </c>
      <c r="G8" s="43">
        <v>8</v>
      </c>
      <c r="H8" s="43">
        <v>48</v>
      </c>
      <c r="I8" s="59">
        <v>8</v>
      </c>
      <c r="K8" s="214"/>
      <c r="L8" s="18">
        <v>10</v>
      </c>
      <c r="M8" s="81">
        <v>1.51</v>
      </c>
      <c r="N8" s="101">
        <v>1</v>
      </c>
      <c r="O8" s="43">
        <v>1</v>
      </c>
      <c r="P8" s="43">
        <v>30</v>
      </c>
      <c r="Q8" s="59">
        <v>1</v>
      </c>
    </row>
    <row r="9" spans="1:23" x14ac:dyDescent="0.3">
      <c r="B9" s="77"/>
      <c r="C9" s="214"/>
      <c r="D9" s="18">
        <v>30</v>
      </c>
      <c r="E9" s="64">
        <v>0.51</v>
      </c>
      <c r="F9" s="101">
        <v>2</v>
      </c>
      <c r="G9" s="43">
        <v>7</v>
      </c>
      <c r="H9" s="43">
        <v>74</v>
      </c>
      <c r="I9" s="59">
        <v>1</v>
      </c>
      <c r="K9" s="214"/>
      <c r="L9" s="18">
        <v>30</v>
      </c>
      <c r="M9" s="81">
        <v>1.07</v>
      </c>
      <c r="N9" s="101">
        <v>1</v>
      </c>
      <c r="O9" s="43">
        <v>3</v>
      </c>
      <c r="P9" s="43">
        <v>37</v>
      </c>
      <c r="Q9" s="59">
        <v>1</v>
      </c>
    </row>
    <row r="10" spans="1:23" x14ac:dyDescent="0.3">
      <c r="B10" s="77"/>
      <c r="C10" s="214"/>
      <c r="D10" s="5"/>
      <c r="E10" s="5"/>
      <c r="F10" s="4"/>
      <c r="G10" s="4"/>
      <c r="H10" s="4"/>
      <c r="I10" s="4"/>
      <c r="K10" s="214"/>
      <c r="L10" s="5"/>
      <c r="M10" s="5"/>
      <c r="N10" s="4"/>
      <c r="O10" s="4"/>
      <c r="P10" s="4"/>
      <c r="Q10" s="22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x14ac:dyDescent="0.3">
      <c r="B13" s="58"/>
      <c r="C13" s="6"/>
      <c r="D13" s="6"/>
      <c r="E13" s="100"/>
      <c r="F13" s="100"/>
      <c r="G13" s="6"/>
      <c r="H13" s="6"/>
      <c r="I13" s="6"/>
      <c r="J13" s="6"/>
      <c r="K13" s="6"/>
      <c r="L13" s="6"/>
      <c r="M13" s="100"/>
      <c r="N13" s="100"/>
      <c r="O13" s="6"/>
      <c r="P13" s="6"/>
      <c r="Q13" s="8"/>
    </row>
    <row r="14" spans="1:23" ht="15" thickBot="1" x14ac:dyDescent="0.35">
      <c r="B14" s="77"/>
      <c r="C14" s="14"/>
      <c r="D14" s="15"/>
      <c r="E14" s="15"/>
      <c r="F14" s="15"/>
      <c r="G14" s="15"/>
      <c r="H14" s="15"/>
      <c r="I14" s="15"/>
      <c r="J14" s="13"/>
      <c r="K14" s="13"/>
      <c r="L14" s="15"/>
      <c r="M14" s="15"/>
      <c r="N14" s="13"/>
      <c r="O14" s="13"/>
      <c r="P14" s="13"/>
      <c r="Q14" s="16"/>
    </row>
    <row r="15" spans="1:23" ht="15" thickBot="1" x14ac:dyDescent="0.35">
      <c r="B15" s="77"/>
      <c r="C15" s="7" t="s">
        <v>42</v>
      </c>
      <c r="D15" s="6"/>
      <c r="E15" s="6" t="s">
        <v>47</v>
      </c>
      <c r="F15" s="6"/>
      <c r="G15" s="6"/>
      <c r="H15" s="6"/>
      <c r="I15" s="6"/>
      <c r="J15" s="6"/>
      <c r="K15" s="7" t="s">
        <v>42</v>
      </c>
      <c r="L15" s="6"/>
      <c r="M15" s="6" t="s">
        <v>47</v>
      </c>
      <c r="N15" s="6"/>
      <c r="O15" s="6"/>
      <c r="P15" s="6"/>
      <c r="Q15" s="8"/>
    </row>
    <row r="16" spans="1:23" x14ac:dyDescent="0.3">
      <c r="B16" s="77"/>
      <c r="C16" s="3" t="s">
        <v>3</v>
      </c>
      <c r="D16" s="3" t="s">
        <v>4</v>
      </c>
      <c r="E16" s="3" t="s">
        <v>55</v>
      </c>
      <c r="F16" s="20" t="s">
        <v>6</v>
      </c>
      <c r="G16" s="20" t="s">
        <v>7</v>
      </c>
      <c r="H16" s="20" t="s">
        <v>8</v>
      </c>
      <c r="I16" s="20" t="s">
        <v>20</v>
      </c>
      <c r="K16" s="3" t="s">
        <v>3</v>
      </c>
      <c r="L16" s="3" t="s">
        <v>4</v>
      </c>
      <c r="M16" s="3" t="s">
        <v>55</v>
      </c>
      <c r="N16" s="20" t="s">
        <v>6</v>
      </c>
      <c r="O16" s="20" t="s">
        <v>7</v>
      </c>
      <c r="P16" s="20" t="s">
        <v>8</v>
      </c>
      <c r="Q16" s="21" t="s">
        <v>20</v>
      </c>
    </row>
    <row r="17" spans="2:18" ht="15" customHeight="1" x14ac:dyDescent="0.3">
      <c r="B17" s="77"/>
      <c r="C17" s="214" t="s">
        <v>77</v>
      </c>
      <c r="D17" s="18">
        <v>0</v>
      </c>
      <c r="E17" s="81">
        <v>2</v>
      </c>
      <c r="F17" s="101">
        <v>4175</v>
      </c>
      <c r="G17" s="43">
        <v>4175</v>
      </c>
      <c r="H17" s="43">
        <v>31000</v>
      </c>
      <c r="I17" s="59">
        <v>800</v>
      </c>
      <c r="K17" s="214" t="s">
        <v>77</v>
      </c>
      <c r="L17" s="18">
        <v>0</v>
      </c>
      <c r="M17" s="64">
        <v>3.97</v>
      </c>
      <c r="N17" s="101">
        <v>4150</v>
      </c>
      <c r="O17" s="43">
        <v>4200</v>
      </c>
      <c r="P17" s="43">
        <v>37000</v>
      </c>
      <c r="Q17" s="59">
        <v>700</v>
      </c>
    </row>
    <row r="18" spans="2:18" x14ac:dyDescent="0.3">
      <c r="B18" s="77"/>
      <c r="C18" s="214"/>
      <c r="D18" s="18">
        <v>1</v>
      </c>
      <c r="E18" s="81">
        <v>1.91</v>
      </c>
      <c r="F18" s="101">
        <v>3650</v>
      </c>
      <c r="G18" s="43">
        <v>3900</v>
      </c>
      <c r="H18" s="43">
        <v>30000</v>
      </c>
      <c r="I18" s="59">
        <v>700</v>
      </c>
      <c r="K18" s="214"/>
      <c r="L18" s="18">
        <v>1</v>
      </c>
      <c r="M18" s="64">
        <v>3.47</v>
      </c>
      <c r="N18" s="101">
        <v>2650</v>
      </c>
      <c r="O18" s="43">
        <v>3150</v>
      </c>
      <c r="P18" s="43">
        <v>25000</v>
      </c>
      <c r="Q18" s="59">
        <v>700</v>
      </c>
    </row>
    <row r="19" spans="2:18" ht="14.25" customHeight="1" x14ac:dyDescent="0.3">
      <c r="B19" s="91" t="s">
        <v>13</v>
      </c>
      <c r="C19" s="214"/>
      <c r="D19" s="18">
        <v>3</v>
      </c>
      <c r="E19" s="81">
        <v>1.86</v>
      </c>
      <c r="F19" s="101">
        <v>2250</v>
      </c>
      <c r="G19" s="43">
        <v>3600</v>
      </c>
      <c r="H19" s="43">
        <v>40000</v>
      </c>
      <c r="I19" s="59">
        <v>650</v>
      </c>
      <c r="K19" s="214"/>
      <c r="L19" s="18">
        <v>3</v>
      </c>
      <c r="M19" s="64">
        <v>3.61</v>
      </c>
      <c r="N19" s="101">
        <v>940</v>
      </c>
      <c r="O19" s="43">
        <v>1840</v>
      </c>
      <c r="P19" s="43">
        <v>14400</v>
      </c>
      <c r="Q19" s="59">
        <v>300</v>
      </c>
    </row>
    <row r="20" spans="2:18" x14ac:dyDescent="0.3">
      <c r="B20" s="77"/>
      <c r="C20" s="214"/>
      <c r="D20" s="18">
        <v>5</v>
      </c>
      <c r="E20" s="81">
        <v>1.83</v>
      </c>
      <c r="F20" s="101">
        <v>2700</v>
      </c>
      <c r="G20" s="43">
        <v>2700</v>
      </c>
      <c r="H20" s="43">
        <v>23600</v>
      </c>
      <c r="I20" s="59">
        <v>350</v>
      </c>
      <c r="K20" s="214"/>
      <c r="L20" s="18">
        <v>5</v>
      </c>
      <c r="M20" s="64">
        <v>3.55</v>
      </c>
      <c r="N20" s="101">
        <v>88</v>
      </c>
      <c r="O20" s="43">
        <v>354</v>
      </c>
      <c r="P20" s="43">
        <v>8000</v>
      </c>
      <c r="Q20" s="59">
        <v>168</v>
      </c>
    </row>
    <row r="21" spans="2:18" x14ac:dyDescent="0.3">
      <c r="B21" s="77"/>
      <c r="C21" s="214"/>
      <c r="D21" s="18">
        <v>10</v>
      </c>
      <c r="E21" s="81">
        <v>1.85</v>
      </c>
      <c r="F21" s="101">
        <v>260</v>
      </c>
      <c r="G21" s="43">
        <v>990</v>
      </c>
      <c r="H21" s="43">
        <v>10000</v>
      </c>
      <c r="I21" s="59">
        <v>230</v>
      </c>
      <c r="K21" s="214"/>
      <c r="L21" s="18">
        <v>10</v>
      </c>
      <c r="M21" s="64">
        <v>3.28</v>
      </c>
      <c r="N21" s="101">
        <v>10</v>
      </c>
      <c r="O21" s="43">
        <v>38</v>
      </c>
      <c r="P21" s="43">
        <v>1800</v>
      </c>
      <c r="Q21" s="59">
        <v>51</v>
      </c>
    </row>
    <row r="22" spans="2:18" x14ac:dyDescent="0.3">
      <c r="B22" s="77"/>
      <c r="C22" s="214"/>
      <c r="D22" s="18">
        <v>30</v>
      </c>
      <c r="E22" s="81">
        <v>1.72</v>
      </c>
      <c r="F22" s="101">
        <v>4</v>
      </c>
      <c r="G22" s="43">
        <v>58</v>
      </c>
      <c r="H22" s="43">
        <v>1030</v>
      </c>
      <c r="I22" s="59">
        <v>42</v>
      </c>
      <c r="K22" s="214"/>
      <c r="L22" s="18">
        <v>30</v>
      </c>
      <c r="M22" s="64">
        <v>3.02</v>
      </c>
      <c r="N22" s="101">
        <v>2</v>
      </c>
      <c r="O22" s="43">
        <v>13</v>
      </c>
      <c r="P22" s="43">
        <v>142</v>
      </c>
      <c r="Q22" s="59">
        <v>3</v>
      </c>
    </row>
    <row r="23" spans="2:18" x14ac:dyDescent="0.3">
      <c r="B23" s="77"/>
      <c r="C23" s="214"/>
      <c r="D23" s="5"/>
      <c r="E23" s="5"/>
      <c r="F23" s="4"/>
      <c r="G23" s="4"/>
      <c r="H23" s="4"/>
      <c r="I23" s="4"/>
      <c r="K23" s="214"/>
      <c r="L23" s="5"/>
      <c r="M23" s="5"/>
      <c r="N23" s="4"/>
      <c r="O23" s="4"/>
      <c r="P23" s="4"/>
      <c r="Q23" s="22"/>
    </row>
    <row r="24" spans="2:18" x14ac:dyDescent="0.3">
      <c r="B24" s="77"/>
      <c r="C24" s="11"/>
      <c r="D24" s="10"/>
      <c r="E24" s="10"/>
      <c r="F24" s="61"/>
      <c r="G24" s="61"/>
      <c r="H24" s="61"/>
      <c r="I24" s="61"/>
      <c r="K24" s="11"/>
      <c r="L24" s="10"/>
      <c r="M24" s="10"/>
      <c r="N24" s="61"/>
      <c r="O24" s="61"/>
      <c r="P24" s="61"/>
      <c r="Q24" s="23"/>
    </row>
    <row r="25" spans="2:18" ht="15" thickBot="1" x14ac:dyDescent="0.35">
      <c r="B25" s="78"/>
      <c r="C25" s="15"/>
      <c r="D25" s="15"/>
      <c r="E25" s="15"/>
      <c r="F25" s="15"/>
      <c r="G25" s="15"/>
      <c r="H25" s="15"/>
      <c r="I25" s="15"/>
      <c r="J25" s="13"/>
      <c r="K25" s="15"/>
      <c r="L25" s="15"/>
      <c r="M25" s="15"/>
      <c r="N25" s="15"/>
      <c r="O25" s="15"/>
      <c r="P25" s="15"/>
      <c r="Q25" s="94"/>
    </row>
    <row r="26" spans="2:18" x14ac:dyDescent="0.3">
      <c r="B26" s="58"/>
      <c r="C26" s="6"/>
      <c r="D26" s="6"/>
      <c r="E26" s="100"/>
      <c r="F26" s="100"/>
      <c r="G26" s="6"/>
      <c r="H26" s="6"/>
      <c r="I26" s="6"/>
      <c r="J26" s="6"/>
      <c r="K26" s="6"/>
      <c r="L26" s="6"/>
      <c r="M26" s="100"/>
      <c r="N26" s="100"/>
      <c r="O26" s="6"/>
      <c r="P26" s="6"/>
      <c r="Q26" s="8"/>
    </row>
    <row r="27" spans="2:18" ht="15" thickBot="1" x14ac:dyDescent="0.35">
      <c r="B27" s="77"/>
      <c r="C27" s="14"/>
      <c r="D27" s="15"/>
      <c r="E27" s="15"/>
      <c r="F27" s="15"/>
      <c r="G27" s="15"/>
      <c r="H27" s="15"/>
      <c r="I27" s="15"/>
      <c r="J27" s="13"/>
      <c r="K27" s="13"/>
      <c r="L27" s="15"/>
      <c r="M27" s="15"/>
      <c r="N27" s="13"/>
      <c r="O27" s="13"/>
      <c r="P27" s="13"/>
      <c r="Q27" s="16"/>
    </row>
    <row r="28" spans="2:18" ht="15" thickBot="1" x14ac:dyDescent="0.35">
      <c r="B28" s="77"/>
      <c r="C28" s="7" t="s">
        <v>42</v>
      </c>
      <c r="D28" s="6"/>
      <c r="E28" s="6" t="s">
        <v>48</v>
      </c>
      <c r="F28" s="6"/>
      <c r="G28" s="6"/>
      <c r="H28" s="6"/>
      <c r="I28" s="6"/>
      <c r="J28" s="6"/>
      <c r="K28" s="7" t="s">
        <v>42</v>
      </c>
      <c r="L28" s="6"/>
      <c r="M28" s="6" t="s">
        <v>48</v>
      </c>
      <c r="N28" s="6"/>
      <c r="O28" s="6"/>
      <c r="P28" s="6"/>
      <c r="Q28" s="8"/>
    </row>
    <row r="29" spans="2:18" x14ac:dyDescent="0.3">
      <c r="B29" s="77"/>
      <c r="C29" s="3" t="s">
        <v>3</v>
      </c>
      <c r="D29" s="3" t="s">
        <v>4</v>
      </c>
      <c r="E29" s="3" t="s">
        <v>49</v>
      </c>
      <c r="F29" s="20" t="s">
        <v>6</v>
      </c>
      <c r="G29" s="20" t="s">
        <v>7</v>
      </c>
      <c r="H29" s="20" t="s">
        <v>8</v>
      </c>
      <c r="I29" s="20" t="s">
        <v>20</v>
      </c>
      <c r="J29" s="74" t="s">
        <v>14</v>
      </c>
      <c r="K29" s="3" t="s">
        <v>3</v>
      </c>
      <c r="L29" s="3" t="s">
        <v>4</v>
      </c>
      <c r="M29" s="3" t="s">
        <v>49</v>
      </c>
      <c r="N29" s="20" t="s">
        <v>6</v>
      </c>
      <c r="O29" s="20" t="s">
        <v>7</v>
      </c>
      <c r="P29" s="20" t="s">
        <v>8</v>
      </c>
      <c r="Q29" s="21" t="s">
        <v>20</v>
      </c>
      <c r="R29" s="74" t="s">
        <v>14</v>
      </c>
    </row>
    <row r="30" spans="2:18" ht="14.25" customHeight="1" x14ac:dyDescent="0.3">
      <c r="B30" s="77"/>
      <c r="C30" s="214" t="s">
        <v>77</v>
      </c>
      <c r="D30" s="18">
        <v>0</v>
      </c>
      <c r="E30" s="81">
        <v>1.9</v>
      </c>
      <c r="F30" s="101">
        <v>2375</v>
      </c>
      <c r="G30" s="43">
        <v>3500</v>
      </c>
      <c r="H30" s="43">
        <v>30500</v>
      </c>
      <c r="I30" s="59">
        <v>180</v>
      </c>
      <c r="J30" s="112"/>
      <c r="K30" s="214" t="s">
        <v>77</v>
      </c>
      <c r="L30" s="18">
        <v>0</v>
      </c>
      <c r="M30" s="64">
        <v>3.98</v>
      </c>
      <c r="N30" s="101">
        <v>1750</v>
      </c>
      <c r="O30" s="43">
        <v>2200</v>
      </c>
      <c r="P30" s="43">
        <v>31000</v>
      </c>
      <c r="Q30" s="59">
        <v>260</v>
      </c>
      <c r="R30" s="112"/>
    </row>
    <row r="31" spans="2:18" x14ac:dyDescent="0.3">
      <c r="B31" s="77"/>
      <c r="C31" s="214"/>
      <c r="D31" s="18">
        <v>1</v>
      </c>
      <c r="E31" s="81">
        <v>1.8</v>
      </c>
      <c r="F31" s="101">
        <v>1600</v>
      </c>
      <c r="G31" s="43">
        <v>3100</v>
      </c>
      <c r="H31" s="43">
        <v>22000</v>
      </c>
      <c r="I31" s="59">
        <v>100</v>
      </c>
      <c r="J31" s="112"/>
      <c r="K31" s="214"/>
      <c r="L31" s="18">
        <v>1</v>
      </c>
      <c r="M31" s="64">
        <v>3.84</v>
      </c>
      <c r="N31" s="101">
        <v>750</v>
      </c>
      <c r="O31" s="43">
        <v>2100</v>
      </c>
      <c r="P31" s="43">
        <v>35000</v>
      </c>
      <c r="Q31" s="59">
        <v>60</v>
      </c>
      <c r="R31" s="112"/>
    </row>
    <row r="32" spans="2:18" ht="14.25" customHeight="1" x14ac:dyDescent="0.3">
      <c r="B32" s="91" t="s">
        <v>15</v>
      </c>
      <c r="C32" s="214"/>
      <c r="D32" s="18">
        <v>3</v>
      </c>
      <c r="E32" s="81">
        <v>1.83</v>
      </c>
      <c r="F32" s="101">
        <v>960</v>
      </c>
      <c r="G32" s="43">
        <v>1900</v>
      </c>
      <c r="H32" s="43">
        <v>25500</v>
      </c>
      <c r="I32" s="59">
        <v>40</v>
      </c>
      <c r="J32" s="112"/>
      <c r="K32" s="214"/>
      <c r="L32" s="18">
        <v>3</v>
      </c>
      <c r="M32" s="64">
        <v>3.76</v>
      </c>
      <c r="N32" s="101">
        <v>132</v>
      </c>
      <c r="O32" s="43">
        <v>230</v>
      </c>
      <c r="P32" s="43">
        <v>17600</v>
      </c>
      <c r="Q32" s="59">
        <v>4</v>
      </c>
      <c r="R32" s="112"/>
    </row>
    <row r="33" spans="2:18" x14ac:dyDescent="0.3">
      <c r="B33" s="77"/>
      <c r="C33" s="214"/>
      <c r="D33" s="18">
        <v>5</v>
      </c>
      <c r="E33" s="81">
        <v>1.79</v>
      </c>
      <c r="F33" s="101">
        <v>240</v>
      </c>
      <c r="G33" s="43">
        <v>520</v>
      </c>
      <c r="H33" s="43">
        <v>26500</v>
      </c>
      <c r="I33" s="59">
        <v>16</v>
      </c>
      <c r="J33" s="112"/>
      <c r="K33" s="214"/>
      <c r="L33" s="18">
        <v>5</v>
      </c>
      <c r="M33" s="64">
        <v>3.74</v>
      </c>
      <c r="N33" s="101">
        <v>30</v>
      </c>
      <c r="O33" s="43">
        <v>36</v>
      </c>
      <c r="P33" s="43">
        <v>6710</v>
      </c>
      <c r="Q33" s="59">
        <v>24</v>
      </c>
      <c r="R33" s="112"/>
    </row>
    <row r="34" spans="2:18" x14ac:dyDescent="0.3">
      <c r="B34" s="77"/>
      <c r="C34" s="214"/>
      <c r="D34" s="18">
        <v>10</v>
      </c>
      <c r="E34" s="81">
        <v>1.8</v>
      </c>
      <c r="F34" s="101">
        <v>48</v>
      </c>
      <c r="G34" s="43">
        <v>164</v>
      </c>
      <c r="H34" s="43">
        <v>13600</v>
      </c>
      <c r="I34" s="59">
        <v>32</v>
      </c>
      <c r="J34" s="115">
        <v>0.40799999999999997</v>
      </c>
      <c r="K34" s="214"/>
      <c r="L34" s="18">
        <v>10</v>
      </c>
      <c r="M34" s="64">
        <v>3.82</v>
      </c>
      <c r="N34" s="101">
        <v>2</v>
      </c>
      <c r="O34" s="43">
        <v>2</v>
      </c>
      <c r="P34" s="43">
        <v>1060</v>
      </c>
      <c r="Q34" s="59">
        <v>3</v>
      </c>
      <c r="R34" s="115">
        <v>0.83299999999999996</v>
      </c>
    </row>
    <row r="35" spans="2:18" ht="15" thickBot="1" x14ac:dyDescent="0.35">
      <c r="B35" s="77"/>
      <c r="C35" s="214"/>
      <c r="D35" s="18">
        <v>30</v>
      </c>
      <c r="E35" s="81">
        <v>1.74</v>
      </c>
      <c r="F35" s="101">
        <v>2</v>
      </c>
      <c r="G35" s="43">
        <v>1</v>
      </c>
      <c r="H35" s="43">
        <v>570</v>
      </c>
      <c r="I35" s="59">
        <v>4</v>
      </c>
      <c r="J35" s="115">
        <v>0.39400000000000002</v>
      </c>
      <c r="K35" s="214"/>
      <c r="L35" s="18">
        <v>30</v>
      </c>
      <c r="M35" s="76">
        <v>3.74</v>
      </c>
      <c r="N35" s="103">
        <v>1</v>
      </c>
      <c r="O35" s="45">
        <v>1</v>
      </c>
      <c r="P35" s="45">
        <v>8</v>
      </c>
      <c r="Q35" s="104">
        <v>1</v>
      </c>
      <c r="R35" s="115">
        <v>0.82799999999999996</v>
      </c>
    </row>
    <row r="36" spans="2:18" ht="15" customHeight="1" x14ac:dyDescent="0.3">
      <c r="B36" s="77"/>
      <c r="C36" s="214"/>
      <c r="D36" s="5"/>
      <c r="E36" s="5"/>
      <c r="F36" s="4"/>
      <c r="G36" s="4"/>
      <c r="H36" s="4"/>
      <c r="I36" s="4"/>
      <c r="J36" s="117"/>
      <c r="K36" s="214"/>
      <c r="L36" s="5"/>
      <c r="M36" s="5"/>
      <c r="N36" s="4"/>
      <c r="O36" s="4"/>
      <c r="P36" s="4"/>
      <c r="Q36" s="22"/>
      <c r="R36" s="117"/>
    </row>
    <row r="37" spans="2:18" x14ac:dyDescent="0.3">
      <c r="B37" s="77"/>
      <c r="C37" s="11"/>
      <c r="D37" s="10"/>
      <c r="E37" s="10"/>
      <c r="F37" s="61"/>
      <c r="G37" s="61"/>
      <c r="H37" s="61"/>
      <c r="I37" s="61"/>
      <c r="K37" s="11"/>
      <c r="L37" s="10"/>
      <c r="M37" s="10"/>
      <c r="N37" s="61"/>
      <c r="O37" s="61"/>
      <c r="P37" s="61"/>
      <c r="Q37" s="23"/>
    </row>
    <row r="38" spans="2:18" ht="15" thickBot="1" x14ac:dyDescent="0.35">
      <c r="B38" s="78"/>
      <c r="C38" s="15"/>
      <c r="D38" s="15"/>
      <c r="E38" s="15"/>
      <c r="F38" s="15"/>
      <c r="G38" s="15"/>
      <c r="H38" s="15"/>
      <c r="I38" s="15"/>
      <c r="J38" s="13"/>
      <c r="K38" s="15"/>
      <c r="L38" s="15"/>
      <c r="M38" s="15"/>
      <c r="N38" s="15"/>
      <c r="O38" s="15"/>
      <c r="P38" s="15"/>
      <c r="Q38" s="94"/>
    </row>
    <row r="39" spans="2:18" ht="15" customHeight="1" x14ac:dyDescent="0.3">
      <c r="B39" s="58"/>
      <c r="C39" s="6"/>
      <c r="D39" s="6"/>
      <c r="E39" s="100"/>
      <c r="F39" s="100"/>
      <c r="G39" s="6"/>
      <c r="H39" s="6"/>
      <c r="I39" s="6"/>
      <c r="J39" s="6"/>
      <c r="K39" s="6"/>
      <c r="L39" s="6"/>
      <c r="M39" s="100"/>
      <c r="N39" s="100"/>
      <c r="O39" s="6"/>
      <c r="P39" s="6"/>
      <c r="Q39" s="8"/>
    </row>
    <row r="40" spans="2:18" ht="15" thickBot="1" x14ac:dyDescent="0.35">
      <c r="B40" s="77"/>
      <c r="C40" s="14"/>
      <c r="D40" s="15"/>
      <c r="E40" s="15"/>
      <c r="F40" s="15"/>
      <c r="G40" s="15"/>
      <c r="H40" s="15"/>
      <c r="I40" s="15"/>
      <c r="J40" s="13"/>
      <c r="K40" s="13"/>
      <c r="L40" s="15"/>
      <c r="M40" s="15"/>
      <c r="N40" s="13"/>
      <c r="O40" s="13"/>
      <c r="P40" s="13"/>
      <c r="Q40" s="16"/>
    </row>
    <row r="41" spans="2:18" ht="15" thickBot="1" x14ac:dyDescent="0.35">
      <c r="B41" s="77"/>
      <c r="C41" s="7" t="s">
        <v>42</v>
      </c>
      <c r="D41" s="6"/>
      <c r="E41" s="6" t="s">
        <v>48</v>
      </c>
      <c r="F41" s="6"/>
      <c r="G41" s="6"/>
      <c r="H41" s="6"/>
      <c r="I41" s="6"/>
      <c r="J41" s="6"/>
      <c r="K41" s="7" t="s">
        <v>42</v>
      </c>
      <c r="L41" s="6"/>
      <c r="M41" s="6" t="s">
        <v>48</v>
      </c>
      <c r="N41" s="6"/>
      <c r="O41" s="6"/>
      <c r="P41" s="6"/>
      <c r="Q41" s="8"/>
    </row>
    <row r="42" spans="2:18" ht="15" thickBot="1" x14ac:dyDescent="0.35">
      <c r="B42" s="77"/>
      <c r="C42" s="3" t="s">
        <v>3</v>
      </c>
      <c r="D42" s="3" t="s">
        <v>4</v>
      </c>
      <c r="E42" s="3" t="s">
        <v>49</v>
      </c>
      <c r="F42" s="20" t="s">
        <v>6</v>
      </c>
      <c r="G42" s="20" t="s">
        <v>7</v>
      </c>
      <c r="H42" s="20" t="s">
        <v>8</v>
      </c>
      <c r="I42" s="20" t="s">
        <v>20</v>
      </c>
      <c r="K42" s="3" t="s">
        <v>3</v>
      </c>
      <c r="L42" s="3" t="s">
        <v>4</v>
      </c>
      <c r="M42" s="3" t="s">
        <v>49</v>
      </c>
      <c r="N42" s="20" t="s">
        <v>6</v>
      </c>
      <c r="O42" s="20" t="s">
        <v>7</v>
      </c>
      <c r="P42" s="20" t="s">
        <v>8</v>
      </c>
      <c r="Q42" s="21" t="s">
        <v>20</v>
      </c>
    </row>
    <row r="43" spans="2:18" ht="14.25" customHeight="1" x14ac:dyDescent="0.3">
      <c r="B43" s="77"/>
      <c r="C43" s="214" t="s">
        <v>77</v>
      </c>
      <c r="D43" s="18">
        <v>0</v>
      </c>
      <c r="E43" s="105">
        <v>1.9</v>
      </c>
      <c r="F43" s="101">
        <v>2375</v>
      </c>
      <c r="G43" s="43">
        <v>3500</v>
      </c>
      <c r="H43" s="43">
        <v>30500</v>
      </c>
      <c r="I43" s="59">
        <v>180</v>
      </c>
      <c r="K43" s="214" t="s">
        <v>77</v>
      </c>
      <c r="L43" s="18">
        <v>0</v>
      </c>
      <c r="M43" s="89">
        <v>3.98</v>
      </c>
      <c r="N43" s="101">
        <v>1750</v>
      </c>
      <c r="O43" s="43">
        <v>2200</v>
      </c>
      <c r="P43" s="43">
        <v>31000</v>
      </c>
      <c r="Q43" s="59">
        <v>260</v>
      </c>
    </row>
    <row r="44" spans="2:18" x14ac:dyDescent="0.3">
      <c r="B44" s="77"/>
      <c r="C44" s="214"/>
      <c r="D44" s="18">
        <v>1</v>
      </c>
      <c r="E44" s="88">
        <v>0.1</v>
      </c>
      <c r="F44" s="101">
        <v>1600</v>
      </c>
      <c r="G44" s="43">
        <v>3100</v>
      </c>
      <c r="H44" s="43">
        <v>22000</v>
      </c>
      <c r="I44" s="59">
        <v>100</v>
      </c>
      <c r="K44" s="214"/>
      <c r="L44" s="18">
        <v>1</v>
      </c>
      <c r="M44" s="89">
        <v>0.15</v>
      </c>
      <c r="N44" s="101">
        <v>750</v>
      </c>
      <c r="O44" s="43">
        <v>2100</v>
      </c>
      <c r="P44" s="43">
        <v>35000</v>
      </c>
      <c r="Q44" s="59">
        <v>60</v>
      </c>
    </row>
    <row r="45" spans="2:18" ht="14.25" customHeight="1" x14ac:dyDescent="0.3">
      <c r="B45" s="91" t="s">
        <v>17</v>
      </c>
      <c r="C45" s="214"/>
      <c r="D45" s="18">
        <v>3</v>
      </c>
      <c r="E45" s="88">
        <v>0.12</v>
      </c>
      <c r="F45" s="101">
        <v>960</v>
      </c>
      <c r="G45" s="43">
        <v>1900</v>
      </c>
      <c r="H45" s="43">
        <v>25500</v>
      </c>
      <c r="I45" s="59">
        <v>40</v>
      </c>
      <c r="K45" s="214"/>
      <c r="L45" s="18">
        <v>3</v>
      </c>
      <c r="M45" s="89">
        <v>0.34</v>
      </c>
      <c r="N45" s="101">
        <v>132</v>
      </c>
      <c r="O45" s="43">
        <v>230</v>
      </c>
      <c r="P45" s="43">
        <v>17600</v>
      </c>
      <c r="Q45" s="59">
        <v>4</v>
      </c>
    </row>
    <row r="46" spans="2:18" x14ac:dyDescent="0.3">
      <c r="B46" s="77"/>
      <c r="C46" s="214"/>
      <c r="D46" s="18">
        <v>5</v>
      </c>
      <c r="E46" s="88">
        <v>0.1</v>
      </c>
      <c r="F46" s="101">
        <v>240</v>
      </c>
      <c r="G46" s="43">
        <v>520</v>
      </c>
      <c r="H46" s="43">
        <v>26500</v>
      </c>
      <c r="I46" s="59">
        <v>16</v>
      </c>
      <c r="K46" s="214"/>
      <c r="L46" s="18">
        <v>5</v>
      </c>
      <c r="M46" s="89">
        <v>0.12</v>
      </c>
      <c r="N46" s="101">
        <v>30</v>
      </c>
      <c r="O46" s="43">
        <v>36</v>
      </c>
      <c r="P46" s="43">
        <v>6710</v>
      </c>
      <c r="Q46" s="59">
        <v>24</v>
      </c>
    </row>
    <row r="47" spans="2:18" x14ac:dyDescent="0.3">
      <c r="B47" s="77"/>
      <c r="C47" s="214"/>
      <c r="D47" s="18">
        <v>10</v>
      </c>
      <c r="E47" s="88">
        <v>0.09</v>
      </c>
      <c r="F47" s="101">
        <v>48</v>
      </c>
      <c r="G47" s="43">
        <v>164</v>
      </c>
      <c r="H47" s="43">
        <v>13600</v>
      </c>
      <c r="I47" s="59">
        <v>32</v>
      </c>
      <c r="K47" s="214"/>
      <c r="L47" s="18">
        <v>10</v>
      </c>
      <c r="M47" s="89">
        <v>0.71</v>
      </c>
      <c r="N47" s="101">
        <v>2</v>
      </c>
      <c r="O47" s="43">
        <v>2</v>
      </c>
      <c r="P47" s="43">
        <v>1060</v>
      </c>
      <c r="Q47" s="59">
        <v>3</v>
      </c>
    </row>
    <row r="48" spans="2:18" ht="15" thickBot="1" x14ac:dyDescent="0.35">
      <c r="B48" s="77"/>
      <c r="C48" s="214"/>
      <c r="D48" s="18">
        <v>30</v>
      </c>
      <c r="E48" s="88">
        <v>0.15</v>
      </c>
      <c r="F48" s="101">
        <v>2</v>
      </c>
      <c r="G48" s="43">
        <v>1</v>
      </c>
      <c r="H48" s="43">
        <v>570</v>
      </c>
      <c r="I48" s="59">
        <v>4</v>
      </c>
      <c r="K48" s="214"/>
      <c r="L48" s="18">
        <v>30</v>
      </c>
      <c r="M48" s="95">
        <v>0.45</v>
      </c>
      <c r="N48" s="103">
        <v>1</v>
      </c>
      <c r="O48" s="45">
        <v>1</v>
      </c>
      <c r="P48" s="45">
        <v>8</v>
      </c>
      <c r="Q48" s="104">
        <v>1</v>
      </c>
    </row>
    <row r="49" spans="2:17" x14ac:dyDescent="0.3">
      <c r="B49" s="77"/>
      <c r="C49" s="214"/>
      <c r="D49" s="5"/>
      <c r="E49" s="5"/>
      <c r="F49" s="4"/>
      <c r="G49" s="4"/>
      <c r="H49" s="4"/>
      <c r="I49" s="4"/>
      <c r="K49" s="214"/>
      <c r="L49" s="5"/>
      <c r="M49" s="5"/>
      <c r="N49" s="4"/>
      <c r="O49" s="4"/>
      <c r="P49" s="4"/>
      <c r="Q49" s="22"/>
    </row>
    <row r="50" spans="2:17" x14ac:dyDescent="0.3">
      <c r="B50" s="77"/>
      <c r="C50" s="11"/>
      <c r="D50" s="10"/>
      <c r="E50" s="10"/>
      <c r="F50" s="61"/>
      <c r="G50" s="61"/>
      <c r="H50" s="61"/>
      <c r="I50" s="61"/>
      <c r="K50" s="11"/>
      <c r="L50" s="10"/>
      <c r="M50" s="10"/>
      <c r="N50" s="61"/>
      <c r="O50" s="61"/>
      <c r="P50" s="61"/>
      <c r="Q50" s="23"/>
    </row>
    <row r="51" spans="2:17" x14ac:dyDescent="0.3">
      <c r="B51" s="77"/>
      <c r="C51" s="11"/>
      <c r="D51" s="11"/>
      <c r="E51" s="11"/>
      <c r="F51" s="11"/>
      <c r="G51" s="11"/>
      <c r="H51" s="11"/>
      <c r="I51" s="11"/>
      <c r="K51" s="11"/>
      <c r="L51" s="11"/>
      <c r="M51" s="11"/>
      <c r="N51" s="11"/>
      <c r="O51" s="11"/>
      <c r="P51" s="11"/>
      <c r="Q51" s="84"/>
    </row>
    <row r="52" spans="2:17" ht="15" customHeight="1" x14ac:dyDescent="0.3">
      <c r="B52" s="77"/>
      <c r="E52" s="11"/>
      <c r="F52" s="11"/>
      <c r="M52" s="11"/>
      <c r="N52" s="11"/>
      <c r="Q52" s="9"/>
    </row>
    <row r="53" spans="2:17" ht="15" thickBot="1" x14ac:dyDescent="0.35">
      <c r="B53" s="7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6"/>
    </row>
    <row r="55" spans="2:17" ht="14.7" customHeight="1" x14ac:dyDescent="0.3"/>
    <row r="56" spans="2:17" ht="14.25" customHeight="1" x14ac:dyDescent="0.3"/>
    <row r="57" spans="2:17" ht="15" customHeight="1" x14ac:dyDescent="0.3"/>
    <row r="58" spans="2:17" ht="14.25" customHeight="1" x14ac:dyDescent="0.3"/>
    <row r="107" spans="2:2" ht="15" thickBot="1" x14ac:dyDescent="0.35">
      <c r="B107" s="13"/>
    </row>
    <row r="108" spans="2:2" ht="14.7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7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:C10"/>
    <mergeCell ref="K4:K10"/>
    <mergeCell ref="C43:C49"/>
    <mergeCell ref="K43:K49"/>
    <mergeCell ref="C30:C36"/>
    <mergeCell ref="K30:K36"/>
    <mergeCell ref="C17:C23"/>
    <mergeCell ref="K17:K23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6A66-353A-4C00-9C6E-1848BE0566BA}">
  <dimension ref="A1:W213"/>
  <sheetViews>
    <sheetView topLeftCell="B33" zoomScale="80" zoomScaleNormal="80" workbookViewId="0">
      <selection activeCell="AC14" sqref="AC14"/>
    </sheetView>
  </sheetViews>
  <sheetFormatPr defaultColWidth="9.109375" defaultRowHeight="14.4" x14ac:dyDescent="0.3"/>
  <cols>
    <col min="1" max="1" width="61.33203125" style="2" bestFit="1" customWidth="1"/>
    <col min="2" max="2" width="25.44140625" style="2" bestFit="1" customWidth="1"/>
    <col min="3" max="3" width="10.6640625" style="2" bestFit="1" customWidth="1"/>
    <col min="4" max="4" width="8" style="2" customWidth="1"/>
    <col min="5" max="5" width="10.33203125" style="2" customWidth="1"/>
    <col min="6" max="6" width="10.5546875" style="2" customWidth="1"/>
    <col min="7" max="7" width="7.88671875" style="2" customWidth="1"/>
    <col min="8" max="9" width="7.44140625" style="2" customWidth="1"/>
    <col min="10" max="10" width="12" style="2" customWidth="1"/>
    <col min="11" max="11" width="9.109375" style="2"/>
    <col min="12" max="12" width="8.44140625" style="2" customWidth="1"/>
    <col min="13" max="13" width="9.5546875" style="2" customWidth="1"/>
    <col min="14" max="14" width="9.33203125" style="2" customWidth="1"/>
    <col min="15" max="16" width="8.88671875" style="2" customWidth="1"/>
    <col min="17" max="17" width="8" style="2" customWidth="1"/>
    <col min="18" max="18" width="29.88671875" style="2" bestFit="1" customWidth="1"/>
    <col min="19" max="27" width="9.109375" style="2"/>
    <col min="28" max="28" width="14.33203125" style="2" bestFit="1" customWidth="1"/>
    <col min="29" max="16384" width="9.109375" style="2"/>
  </cols>
  <sheetData>
    <row r="1" spans="1:23" ht="26.4" thickBot="1" x14ac:dyDescent="0.55000000000000004">
      <c r="A1" s="51" t="s">
        <v>75</v>
      </c>
    </row>
    <row r="2" spans="1:23" ht="26.4" thickBot="1" x14ac:dyDescent="0.55000000000000004">
      <c r="A2" s="51" t="s">
        <v>76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5.8" x14ac:dyDescent="0.5">
      <c r="A3" s="52">
        <v>45425</v>
      </c>
      <c r="B3" s="77"/>
      <c r="C3" s="3" t="s">
        <v>3</v>
      </c>
      <c r="D3" s="3" t="s">
        <v>4</v>
      </c>
      <c r="E3" s="3" t="s">
        <v>44</v>
      </c>
      <c r="F3" s="20" t="s">
        <v>6</v>
      </c>
      <c r="G3" s="20" t="s">
        <v>7</v>
      </c>
      <c r="H3" s="20" t="s">
        <v>8</v>
      </c>
      <c r="I3" s="82" t="s">
        <v>20</v>
      </c>
      <c r="K3" s="3" t="s">
        <v>3</v>
      </c>
      <c r="L3" s="3" t="s">
        <v>4</v>
      </c>
      <c r="M3" s="3" t="s">
        <v>44</v>
      </c>
      <c r="N3" s="20" t="s">
        <v>6</v>
      </c>
      <c r="O3" s="20" t="s">
        <v>7</v>
      </c>
      <c r="P3" s="20" t="s">
        <v>8</v>
      </c>
      <c r="Q3" s="21" t="s">
        <v>20</v>
      </c>
      <c r="S3" s="1"/>
      <c r="U3" s="1"/>
      <c r="W3" s="1"/>
    </row>
    <row r="4" spans="1:23" ht="15" customHeight="1" x14ac:dyDescent="0.3">
      <c r="B4" s="77"/>
      <c r="C4" s="214" t="s">
        <v>77</v>
      </c>
      <c r="D4" s="18">
        <v>0</v>
      </c>
      <c r="E4" s="64">
        <v>0.97</v>
      </c>
      <c r="F4" s="107">
        <v>2850</v>
      </c>
      <c r="G4" s="41">
        <v>3600</v>
      </c>
      <c r="H4" s="41">
        <v>21000</v>
      </c>
      <c r="I4" s="108">
        <v>200</v>
      </c>
      <c r="K4" s="214" t="s">
        <v>77</v>
      </c>
      <c r="L4" s="18">
        <v>0</v>
      </c>
      <c r="M4" s="81">
        <v>2</v>
      </c>
      <c r="N4" s="101">
        <v>2175</v>
      </c>
      <c r="O4" s="43">
        <v>3150</v>
      </c>
      <c r="P4" s="43">
        <v>23000</v>
      </c>
      <c r="Q4" s="59">
        <v>180</v>
      </c>
      <c r="S4" s="1"/>
      <c r="U4" s="1"/>
    </row>
    <row r="5" spans="1:23" x14ac:dyDescent="0.3">
      <c r="B5" s="77"/>
      <c r="C5" s="214"/>
      <c r="D5" s="18">
        <v>1</v>
      </c>
      <c r="E5" s="64">
        <v>0.87</v>
      </c>
      <c r="F5" s="101">
        <v>1560</v>
      </c>
      <c r="G5" s="43">
        <v>2350</v>
      </c>
      <c r="H5" s="43">
        <v>18000</v>
      </c>
      <c r="I5" s="59">
        <v>160</v>
      </c>
      <c r="K5" s="214"/>
      <c r="L5" s="18">
        <v>1</v>
      </c>
      <c r="M5" s="81">
        <v>1.77</v>
      </c>
      <c r="N5" s="101">
        <v>220</v>
      </c>
      <c r="O5" s="43">
        <v>280</v>
      </c>
      <c r="P5" s="43">
        <v>3000</v>
      </c>
      <c r="Q5" s="59">
        <v>44</v>
      </c>
    </row>
    <row r="6" spans="1:23" ht="25.8" x14ac:dyDescent="0.5">
      <c r="A6" s="51" t="s">
        <v>78</v>
      </c>
      <c r="B6" s="91" t="s">
        <v>12</v>
      </c>
      <c r="C6" s="214"/>
      <c r="D6" s="18">
        <v>3</v>
      </c>
      <c r="E6" s="64">
        <v>0.83</v>
      </c>
      <c r="F6" s="101">
        <v>312</v>
      </c>
      <c r="G6" s="43">
        <v>310</v>
      </c>
      <c r="H6" s="43">
        <v>6600</v>
      </c>
      <c r="I6" s="59">
        <v>68</v>
      </c>
      <c r="K6" s="214"/>
      <c r="L6" s="18">
        <v>3</v>
      </c>
      <c r="M6" s="81">
        <v>1.67</v>
      </c>
      <c r="N6" s="101">
        <v>4</v>
      </c>
      <c r="O6" s="43">
        <v>8</v>
      </c>
      <c r="P6" s="43">
        <v>68</v>
      </c>
      <c r="Q6" s="59">
        <v>4</v>
      </c>
    </row>
    <row r="7" spans="1:23" x14ac:dyDescent="0.3">
      <c r="B7" s="77"/>
      <c r="C7" s="214"/>
      <c r="D7" s="18">
        <v>5</v>
      </c>
      <c r="E7" s="64">
        <v>0.84</v>
      </c>
      <c r="F7" s="101">
        <v>12</v>
      </c>
      <c r="G7" s="43">
        <v>34</v>
      </c>
      <c r="H7" s="43">
        <v>485</v>
      </c>
      <c r="I7" s="59">
        <v>18</v>
      </c>
      <c r="K7" s="214"/>
      <c r="L7" s="18">
        <v>5</v>
      </c>
      <c r="M7" s="81">
        <v>1.61</v>
      </c>
      <c r="N7" s="101">
        <v>8</v>
      </c>
      <c r="O7" s="43">
        <v>6</v>
      </c>
      <c r="P7" s="43">
        <v>66</v>
      </c>
      <c r="Q7" s="59">
        <v>4</v>
      </c>
    </row>
    <row r="8" spans="1:23" x14ac:dyDescent="0.3">
      <c r="B8" s="77"/>
      <c r="C8" s="214"/>
      <c r="D8" s="18">
        <v>10</v>
      </c>
      <c r="E8" s="64">
        <v>0.76</v>
      </c>
      <c r="F8" s="101">
        <v>1</v>
      </c>
      <c r="G8" s="43">
        <v>8</v>
      </c>
      <c r="H8" s="43">
        <v>48</v>
      </c>
      <c r="I8" s="59">
        <v>8</v>
      </c>
      <c r="K8" s="214"/>
      <c r="L8" s="18">
        <v>10</v>
      </c>
      <c r="M8" s="81">
        <v>1.51</v>
      </c>
      <c r="N8" s="101">
        <v>1</v>
      </c>
      <c r="O8" s="43">
        <v>1</v>
      </c>
      <c r="P8" s="43">
        <v>30</v>
      </c>
      <c r="Q8" s="59">
        <v>1</v>
      </c>
    </row>
    <row r="9" spans="1:23" x14ac:dyDescent="0.3">
      <c r="B9" s="77"/>
      <c r="C9" s="214"/>
      <c r="D9" s="18">
        <v>30</v>
      </c>
      <c r="E9" s="64">
        <v>0.51</v>
      </c>
      <c r="F9" s="101">
        <v>2</v>
      </c>
      <c r="G9" s="43">
        <v>7</v>
      </c>
      <c r="H9" s="43">
        <v>74</v>
      </c>
      <c r="I9" s="59">
        <v>1</v>
      </c>
      <c r="K9" s="214"/>
      <c r="L9" s="18">
        <v>30</v>
      </c>
      <c r="M9" s="81">
        <v>1.07</v>
      </c>
      <c r="N9" s="101">
        <v>1</v>
      </c>
      <c r="O9" s="43">
        <v>3</v>
      </c>
      <c r="P9" s="43">
        <v>37</v>
      </c>
      <c r="Q9" s="59">
        <v>1</v>
      </c>
    </row>
    <row r="10" spans="1:23" x14ac:dyDescent="0.3">
      <c r="B10" s="77"/>
      <c r="C10" s="214"/>
      <c r="D10" s="5"/>
      <c r="E10" s="5"/>
      <c r="F10" s="4"/>
      <c r="G10" s="4"/>
      <c r="H10" s="4"/>
      <c r="I10" s="4"/>
      <c r="K10" s="214"/>
      <c r="L10" s="5"/>
      <c r="M10" s="5"/>
      <c r="N10" s="4"/>
      <c r="O10" s="4"/>
      <c r="P10" s="4"/>
      <c r="Q10" s="22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x14ac:dyDescent="0.3">
      <c r="B13" s="58"/>
      <c r="C13" s="6"/>
      <c r="D13" s="6"/>
      <c r="E13" s="100"/>
      <c r="F13" s="100"/>
      <c r="G13" s="6"/>
      <c r="H13" s="6"/>
      <c r="I13" s="6"/>
      <c r="J13" s="6"/>
      <c r="K13" s="6"/>
      <c r="L13" s="6"/>
      <c r="M13" s="100"/>
      <c r="N13" s="100"/>
      <c r="O13" s="6"/>
      <c r="P13" s="6"/>
      <c r="Q13" s="8"/>
    </row>
    <row r="14" spans="1:23" ht="15" thickBot="1" x14ac:dyDescent="0.35">
      <c r="B14" s="77"/>
      <c r="C14" s="14"/>
      <c r="D14" s="15"/>
      <c r="E14" s="15"/>
      <c r="F14" s="15"/>
      <c r="G14" s="15"/>
      <c r="H14" s="15"/>
      <c r="I14" s="15"/>
      <c r="J14" s="13"/>
      <c r="K14" s="13"/>
      <c r="L14" s="15"/>
      <c r="M14" s="15"/>
      <c r="N14" s="13"/>
      <c r="O14" s="13"/>
      <c r="P14" s="13"/>
      <c r="Q14" s="16"/>
    </row>
    <row r="15" spans="1:23" ht="15" thickBot="1" x14ac:dyDescent="0.35">
      <c r="B15" s="77"/>
      <c r="C15" s="7" t="s">
        <v>42</v>
      </c>
      <c r="D15" s="6"/>
      <c r="E15" s="6" t="s">
        <v>47</v>
      </c>
      <c r="F15" s="6"/>
      <c r="G15" s="6"/>
      <c r="H15" s="6"/>
      <c r="I15" s="6"/>
      <c r="J15" s="6"/>
      <c r="K15" s="7" t="s">
        <v>42</v>
      </c>
      <c r="L15" s="6"/>
      <c r="M15" s="6" t="s">
        <v>47</v>
      </c>
      <c r="N15" s="6"/>
      <c r="O15" s="6"/>
      <c r="P15" s="6"/>
      <c r="Q15" s="8"/>
    </row>
    <row r="16" spans="1:23" x14ac:dyDescent="0.3">
      <c r="B16" s="77"/>
      <c r="C16" s="3" t="s">
        <v>3</v>
      </c>
      <c r="D16" s="3" t="s">
        <v>4</v>
      </c>
      <c r="E16" s="3" t="s">
        <v>55</v>
      </c>
      <c r="F16" s="20" t="s">
        <v>6</v>
      </c>
      <c r="G16" s="20" t="s">
        <v>7</v>
      </c>
      <c r="H16" s="20" t="s">
        <v>8</v>
      </c>
      <c r="I16" s="20" t="s">
        <v>20</v>
      </c>
      <c r="K16" s="3" t="s">
        <v>3</v>
      </c>
      <c r="L16" s="3" t="s">
        <v>4</v>
      </c>
      <c r="M16" s="3" t="s">
        <v>55</v>
      </c>
      <c r="N16" s="20" t="s">
        <v>6</v>
      </c>
      <c r="O16" s="20" t="s">
        <v>7</v>
      </c>
      <c r="P16" s="20" t="s">
        <v>8</v>
      </c>
      <c r="Q16" s="21" t="s">
        <v>20</v>
      </c>
    </row>
    <row r="17" spans="2:18" ht="15" customHeight="1" x14ac:dyDescent="0.3">
      <c r="B17" s="77"/>
      <c r="C17" s="214" t="s">
        <v>77</v>
      </c>
      <c r="D17" s="18">
        <v>0</v>
      </c>
      <c r="E17" s="81">
        <v>2</v>
      </c>
      <c r="F17" s="101">
        <v>4175</v>
      </c>
      <c r="G17" s="43">
        <v>4175</v>
      </c>
      <c r="H17" s="43">
        <v>31000</v>
      </c>
      <c r="I17" s="59">
        <v>800</v>
      </c>
      <c r="K17" s="214" t="s">
        <v>77</v>
      </c>
      <c r="L17" s="18">
        <v>0</v>
      </c>
      <c r="M17" s="64">
        <v>3.97</v>
      </c>
      <c r="N17" s="101">
        <v>4150</v>
      </c>
      <c r="O17" s="43">
        <v>4200</v>
      </c>
      <c r="P17" s="43">
        <v>37000</v>
      </c>
      <c r="Q17" s="59">
        <v>700</v>
      </c>
    </row>
    <row r="18" spans="2:18" x14ac:dyDescent="0.3">
      <c r="B18" s="77"/>
      <c r="C18" s="214"/>
      <c r="D18" s="18">
        <v>1</v>
      </c>
      <c r="E18" s="81">
        <v>1.91</v>
      </c>
      <c r="F18" s="101">
        <v>3650</v>
      </c>
      <c r="G18" s="43">
        <v>3900</v>
      </c>
      <c r="H18" s="43">
        <v>30000</v>
      </c>
      <c r="I18" s="59">
        <v>700</v>
      </c>
      <c r="K18" s="214"/>
      <c r="L18" s="18">
        <v>1</v>
      </c>
      <c r="M18" s="64">
        <v>3.47</v>
      </c>
      <c r="N18" s="101">
        <v>2650</v>
      </c>
      <c r="O18" s="43">
        <v>3150</v>
      </c>
      <c r="P18" s="43">
        <v>25000</v>
      </c>
      <c r="Q18" s="59">
        <v>700</v>
      </c>
    </row>
    <row r="19" spans="2:18" ht="14.25" customHeight="1" x14ac:dyDescent="0.3">
      <c r="B19" s="91" t="s">
        <v>13</v>
      </c>
      <c r="C19" s="214"/>
      <c r="D19" s="18">
        <v>3</v>
      </c>
      <c r="E19" s="81">
        <v>1.86</v>
      </c>
      <c r="F19" s="101">
        <v>2250</v>
      </c>
      <c r="G19" s="43">
        <v>3600</v>
      </c>
      <c r="H19" s="43">
        <v>40000</v>
      </c>
      <c r="I19" s="59">
        <v>650</v>
      </c>
      <c r="K19" s="214"/>
      <c r="L19" s="18">
        <v>3</v>
      </c>
      <c r="M19" s="64">
        <v>3.61</v>
      </c>
      <c r="N19" s="101">
        <v>940</v>
      </c>
      <c r="O19" s="43">
        <v>1840</v>
      </c>
      <c r="P19" s="43">
        <v>14400</v>
      </c>
      <c r="Q19" s="59">
        <v>300</v>
      </c>
    </row>
    <row r="20" spans="2:18" x14ac:dyDescent="0.3">
      <c r="B20" s="77"/>
      <c r="C20" s="214"/>
      <c r="D20" s="18">
        <v>5</v>
      </c>
      <c r="E20" s="81">
        <v>1.83</v>
      </c>
      <c r="F20" s="101">
        <v>2700</v>
      </c>
      <c r="G20" s="43">
        <v>2700</v>
      </c>
      <c r="H20" s="43">
        <v>23600</v>
      </c>
      <c r="I20" s="59">
        <v>350</v>
      </c>
      <c r="K20" s="214"/>
      <c r="L20" s="18">
        <v>5</v>
      </c>
      <c r="M20" s="64">
        <v>3.55</v>
      </c>
      <c r="N20" s="101">
        <v>88</v>
      </c>
      <c r="O20" s="43">
        <v>354</v>
      </c>
      <c r="P20" s="43">
        <v>8000</v>
      </c>
      <c r="Q20" s="59">
        <v>168</v>
      </c>
    </row>
    <row r="21" spans="2:18" x14ac:dyDescent="0.3">
      <c r="B21" s="77"/>
      <c r="C21" s="214"/>
      <c r="D21" s="18">
        <v>10</v>
      </c>
      <c r="E21" s="81">
        <v>1.85</v>
      </c>
      <c r="F21" s="101">
        <v>260</v>
      </c>
      <c r="G21" s="43">
        <v>990</v>
      </c>
      <c r="H21" s="43">
        <v>10000</v>
      </c>
      <c r="I21" s="59">
        <v>230</v>
      </c>
      <c r="K21" s="214"/>
      <c r="L21" s="18">
        <v>10</v>
      </c>
      <c r="M21" s="64">
        <v>3.28</v>
      </c>
      <c r="N21" s="101">
        <v>10</v>
      </c>
      <c r="O21" s="43">
        <v>38</v>
      </c>
      <c r="P21" s="43">
        <v>1800</v>
      </c>
      <c r="Q21" s="59">
        <v>51</v>
      </c>
    </row>
    <row r="22" spans="2:18" x14ac:dyDescent="0.3">
      <c r="B22" s="77"/>
      <c r="C22" s="214"/>
      <c r="D22" s="18">
        <v>30</v>
      </c>
      <c r="E22" s="81">
        <v>1.72</v>
      </c>
      <c r="F22" s="101">
        <v>4</v>
      </c>
      <c r="G22" s="43">
        <v>58</v>
      </c>
      <c r="H22" s="43">
        <v>1030</v>
      </c>
      <c r="I22" s="59">
        <v>42</v>
      </c>
      <c r="K22" s="214"/>
      <c r="L22" s="18">
        <v>30</v>
      </c>
      <c r="M22" s="64">
        <v>3.02</v>
      </c>
      <c r="N22" s="101">
        <v>2</v>
      </c>
      <c r="O22" s="43">
        <v>13</v>
      </c>
      <c r="P22" s="43">
        <v>142</v>
      </c>
      <c r="Q22" s="59">
        <v>3</v>
      </c>
    </row>
    <row r="23" spans="2:18" x14ac:dyDescent="0.3">
      <c r="B23" s="77"/>
      <c r="C23" s="214"/>
      <c r="D23" s="5"/>
      <c r="E23" s="5"/>
      <c r="F23" s="4"/>
      <c r="G23" s="4"/>
      <c r="H23" s="4"/>
      <c r="I23" s="4"/>
      <c r="K23" s="214"/>
      <c r="L23" s="5"/>
      <c r="M23" s="5"/>
      <c r="N23" s="4"/>
      <c r="O23" s="4"/>
      <c r="P23" s="4"/>
      <c r="Q23" s="22"/>
    </row>
    <row r="24" spans="2:18" x14ac:dyDescent="0.3">
      <c r="B24" s="77"/>
      <c r="C24" s="11"/>
      <c r="D24" s="10"/>
      <c r="E24" s="10"/>
      <c r="F24" s="61"/>
      <c r="G24" s="61"/>
      <c r="H24" s="61"/>
      <c r="I24" s="61"/>
      <c r="K24" s="11"/>
      <c r="L24" s="10"/>
      <c r="M24" s="10"/>
      <c r="N24" s="61"/>
      <c r="O24" s="61"/>
      <c r="P24" s="61"/>
      <c r="Q24" s="23"/>
    </row>
    <row r="25" spans="2:18" ht="15" thickBot="1" x14ac:dyDescent="0.35">
      <c r="B25" s="78"/>
      <c r="C25" s="15"/>
      <c r="D25" s="15"/>
      <c r="E25" s="15"/>
      <c r="F25" s="15"/>
      <c r="G25" s="15"/>
      <c r="H25" s="15"/>
      <c r="I25" s="15"/>
      <c r="J25" s="13"/>
      <c r="K25" s="15"/>
      <c r="L25" s="15"/>
      <c r="M25" s="15"/>
      <c r="N25" s="15"/>
      <c r="O25" s="15"/>
      <c r="P25" s="15"/>
      <c r="Q25" s="94"/>
    </row>
    <row r="26" spans="2:18" x14ac:dyDescent="0.3">
      <c r="B26" s="58"/>
      <c r="C26" s="6"/>
      <c r="D26" s="6"/>
      <c r="E26" s="100"/>
      <c r="F26" s="100"/>
      <c r="G26" s="6"/>
      <c r="H26" s="6"/>
      <c r="I26" s="6"/>
      <c r="J26" s="6"/>
      <c r="K26" s="6"/>
      <c r="L26" s="6"/>
      <c r="M26" s="100"/>
      <c r="N26" s="100"/>
      <c r="O26" s="6"/>
      <c r="P26" s="6"/>
      <c r="Q26" s="8"/>
    </row>
    <row r="27" spans="2:18" ht="15" thickBot="1" x14ac:dyDescent="0.35">
      <c r="B27" s="77"/>
      <c r="C27" s="14"/>
      <c r="D27" s="15"/>
      <c r="E27" s="15"/>
      <c r="F27" s="15"/>
      <c r="G27" s="15"/>
      <c r="H27" s="15"/>
      <c r="I27" s="15"/>
      <c r="J27" s="13"/>
      <c r="K27" s="13"/>
      <c r="L27" s="15"/>
      <c r="M27" s="15"/>
      <c r="N27" s="13"/>
      <c r="O27" s="13"/>
      <c r="P27" s="13"/>
      <c r="Q27" s="16"/>
    </row>
    <row r="28" spans="2:18" ht="15" thickBot="1" x14ac:dyDescent="0.35">
      <c r="B28" s="77"/>
      <c r="C28" s="7" t="s">
        <v>42</v>
      </c>
      <c r="D28" s="6"/>
      <c r="E28" s="6" t="s">
        <v>48</v>
      </c>
      <c r="F28" s="6"/>
      <c r="G28" s="6"/>
      <c r="H28" s="6"/>
      <c r="I28" s="6"/>
      <c r="J28" s="6"/>
      <c r="K28" s="7" t="s">
        <v>42</v>
      </c>
      <c r="L28" s="6"/>
      <c r="M28" s="6" t="s">
        <v>48</v>
      </c>
      <c r="N28" s="6"/>
      <c r="O28" s="6"/>
      <c r="P28" s="6"/>
      <c r="Q28" s="8"/>
    </row>
    <row r="29" spans="2:18" x14ac:dyDescent="0.3">
      <c r="B29" s="77"/>
      <c r="C29" s="3" t="s">
        <v>3</v>
      </c>
      <c r="D29" s="3" t="s">
        <v>4</v>
      </c>
      <c r="E29" s="3" t="s">
        <v>49</v>
      </c>
      <c r="F29" s="20" t="s">
        <v>6</v>
      </c>
      <c r="G29" s="20" t="s">
        <v>7</v>
      </c>
      <c r="H29" s="20" t="s">
        <v>8</v>
      </c>
      <c r="I29" s="20" t="s">
        <v>20</v>
      </c>
      <c r="J29" s="74" t="s">
        <v>14</v>
      </c>
      <c r="K29" s="3" t="s">
        <v>3</v>
      </c>
      <c r="L29" s="3" t="s">
        <v>4</v>
      </c>
      <c r="M29" s="3" t="s">
        <v>49</v>
      </c>
      <c r="N29" s="20" t="s">
        <v>6</v>
      </c>
      <c r="O29" s="20" t="s">
        <v>7</v>
      </c>
      <c r="P29" s="20" t="s">
        <v>8</v>
      </c>
      <c r="Q29" s="21" t="s">
        <v>20</v>
      </c>
      <c r="R29" s="74" t="s">
        <v>14</v>
      </c>
    </row>
    <row r="30" spans="2:18" ht="14.25" customHeight="1" x14ac:dyDescent="0.3">
      <c r="B30" s="77"/>
      <c r="C30" s="214" t="s">
        <v>77</v>
      </c>
      <c r="D30" s="18">
        <v>0</v>
      </c>
      <c r="E30" s="81">
        <v>1.9</v>
      </c>
      <c r="F30" s="101">
        <v>2375</v>
      </c>
      <c r="G30" s="43">
        <v>3500</v>
      </c>
      <c r="H30" s="43">
        <v>30500</v>
      </c>
      <c r="I30" s="59">
        <v>180</v>
      </c>
      <c r="J30" s="112"/>
      <c r="K30" s="214" t="s">
        <v>77</v>
      </c>
      <c r="L30" s="18">
        <v>0</v>
      </c>
      <c r="M30" s="64">
        <v>3.98</v>
      </c>
      <c r="N30" s="101">
        <v>1750</v>
      </c>
      <c r="O30" s="43">
        <v>2200</v>
      </c>
      <c r="P30" s="43">
        <v>31000</v>
      </c>
      <c r="Q30" s="59">
        <v>260</v>
      </c>
      <c r="R30" s="112"/>
    </row>
    <row r="31" spans="2:18" x14ac:dyDescent="0.3">
      <c r="B31" s="77"/>
      <c r="C31" s="214"/>
      <c r="D31" s="18">
        <v>1</v>
      </c>
      <c r="E31" s="81">
        <v>1.8</v>
      </c>
      <c r="F31" s="101">
        <v>1600</v>
      </c>
      <c r="G31" s="43">
        <v>3100</v>
      </c>
      <c r="H31" s="43">
        <v>22000</v>
      </c>
      <c r="I31" s="59">
        <v>100</v>
      </c>
      <c r="J31" s="112"/>
      <c r="K31" s="214"/>
      <c r="L31" s="18">
        <v>1</v>
      </c>
      <c r="M31" s="64">
        <v>3.84</v>
      </c>
      <c r="N31" s="101">
        <v>750</v>
      </c>
      <c r="O31" s="43">
        <v>2100</v>
      </c>
      <c r="P31" s="43">
        <v>35000</v>
      </c>
      <c r="Q31" s="59">
        <v>60</v>
      </c>
      <c r="R31" s="112"/>
    </row>
    <row r="32" spans="2:18" ht="14.25" customHeight="1" x14ac:dyDescent="0.3">
      <c r="B32" s="91" t="s">
        <v>15</v>
      </c>
      <c r="C32" s="214"/>
      <c r="D32" s="18">
        <v>3</v>
      </c>
      <c r="E32" s="81">
        <v>1.83</v>
      </c>
      <c r="F32" s="101">
        <v>960</v>
      </c>
      <c r="G32" s="43">
        <v>1900</v>
      </c>
      <c r="H32" s="43">
        <v>25500</v>
      </c>
      <c r="I32" s="59">
        <v>40</v>
      </c>
      <c r="J32" s="112"/>
      <c r="K32" s="214"/>
      <c r="L32" s="18">
        <v>3</v>
      </c>
      <c r="M32" s="64">
        <v>3.76</v>
      </c>
      <c r="N32" s="101">
        <v>132</v>
      </c>
      <c r="O32" s="43">
        <v>230</v>
      </c>
      <c r="P32" s="43">
        <v>17600</v>
      </c>
      <c r="Q32" s="59">
        <v>4</v>
      </c>
      <c r="R32" s="112"/>
    </row>
    <row r="33" spans="2:18" x14ac:dyDescent="0.3">
      <c r="B33" s="77"/>
      <c r="C33" s="214"/>
      <c r="D33" s="18">
        <v>5</v>
      </c>
      <c r="E33" s="81">
        <v>1.79</v>
      </c>
      <c r="F33" s="101">
        <v>240</v>
      </c>
      <c r="G33" s="43">
        <v>520</v>
      </c>
      <c r="H33" s="43">
        <v>26500</v>
      </c>
      <c r="I33" s="59">
        <v>16</v>
      </c>
      <c r="J33" s="112"/>
      <c r="K33" s="214"/>
      <c r="L33" s="18">
        <v>5</v>
      </c>
      <c r="M33" s="64">
        <v>3.74</v>
      </c>
      <c r="N33" s="101">
        <v>30</v>
      </c>
      <c r="O33" s="43">
        <v>36</v>
      </c>
      <c r="P33" s="43">
        <v>6710</v>
      </c>
      <c r="Q33" s="59">
        <v>24</v>
      </c>
      <c r="R33" s="112"/>
    </row>
    <row r="34" spans="2:18" x14ac:dyDescent="0.3">
      <c r="B34" s="77"/>
      <c r="C34" s="214"/>
      <c r="D34" s="18">
        <v>10</v>
      </c>
      <c r="E34" s="81">
        <v>1.8</v>
      </c>
      <c r="F34" s="101">
        <v>48</v>
      </c>
      <c r="G34" s="43">
        <v>164</v>
      </c>
      <c r="H34" s="43">
        <v>13600</v>
      </c>
      <c r="I34" s="59">
        <v>32</v>
      </c>
      <c r="J34" s="115">
        <v>0.40799999999999997</v>
      </c>
      <c r="K34" s="214"/>
      <c r="L34" s="18">
        <v>10</v>
      </c>
      <c r="M34" s="64">
        <v>3.82</v>
      </c>
      <c r="N34" s="101">
        <v>2</v>
      </c>
      <c r="O34" s="43">
        <v>2</v>
      </c>
      <c r="P34" s="43">
        <v>1060</v>
      </c>
      <c r="Q34" s="59">
        <v>3</v>
      </c>
      <c r="R34" s="115">
        <v>0.83299999999999996</v>
      </c>
    </row>
    <row r="35" spans="2:18" ht="15" thickBot="1" x14ac:dyDescent="0.35">
      <c r="B35" s="77"/>
      <c r="C35" s="214"/>
      <c r="D35" s="18">
        <v>30</v>
      </c>
      <c r="E35" s="81">
        <v>1.74</v>
      </c>
      <c r="F35" s="101">
        <v>2</v>
      </c>
      <c r="G35" s="43">
        <v>1</v>
      </c>
      <c r="H35" s="43">
        <v>570</v>
      </c>
      <c r="I35" s="59">
        <v>4</v>
      </c>
      <c r="J35" s="115">
        <v>0.39400000000000002</v>
      </c>
      <c r="K35" s="214"/>
      <c r="L35" s="18">
        <v>30</v>
      </c>
      <c r="M35" s="76">
        <v>3.74</v>
      </c>
      <c r="N35" s="103">
        <v>1</v>
      </c>
      <c r="O35" s="45">
        <v>1</v>
      </c>
      <c r="P35" s="45">
        <v>8</v>
      </c>
      <c r="Q35" s="104">
        <v>1</v>
      </c>
      <c r="R35" s="115">
        <v>0.82799999999999996</v>
      </c>
    </row>
    <row r="36" spans="2:18" ht="15" customHeight="1" x14ac:dyDescent="0.3">
      <c r="B36" s="77"/>
      <c r="C36" s="214"/>
      <c r="D36" s="5"/>
      <c r="E36" s="5"/>
      <c r="F36" s="4"/>
      <c r="G36" s="4"/>
      <c r="H36" s="4"/>
      <c r="I36" s="4"/>
      <c r="J36" s="117"/>
      <c r="K36" s="214"/>
      <c r="L36" s="5"/>
      <c r="M36" s="5"/>
      <c r="N36" s="4"/>
      <c r="O36" s="4"/>
      <c r="P36" s="4"/>
      <c r="Q36" s="22"/>
      <c r="R36" s="117"/>
    </row>
    <row r="37" spans="2:18" x14ac:dyDescent="0.3">
      <c r="B37" s="77"/>
      <c r="C37" s="11"/>
      <c r="D37" s="10"/>
      <c r="E37" s="10"/>
      <c r="F37" s="61"/>
      <c r="G37" s="61"/>
      <c r="H37" s="61"/>
      <c r="I37" s="61"/>
      <c r="K37" s="11"/>
      <c r="L37" s="10"/>
      <c r="M37" s="10"/>
      <c r="N37" s="61"/>
      <c r="O37" s="61"/>
      <c r="P37" s="61"/>
      <c r="Q37" s="23"/>
    </row>
    <row r="38" spans="2:18" ht="15" thickBot="1" x14ac:dyDescent="0.35">
      <c r="B38" s="78"/>
      <c r="C38" s="15"/>
      <c r="D38" s="15"/>
      <c r="E38" s="15"/>
      <c r="F38" s="15"/>
      <c r="G38" s="15"/>
      <c r="H38" s="15"/>
      <c r="I38" s="15"/>
      <c r="J38" s="13"/>
      <c r="K38" s="15"/>
      <c r="L38" s="15"/>
      <c r="M38" s="15"/>
      <c r="N38" s="15"/>
      <c r="O38" s="15"/>
      <c r="P38" s="15"/>
      <c r="Q38" s="94"/>
    </row>
    <row r="39" spans="2:18" ht="15" customHeight="1" x14ac:dyDescent="0.3">
      <c r="B39" s="58"/>
      <c r="C39" s="6"/>
      <c r="D39" s="6"/>
      <c r="E39" s="100"/>
      <c r="F39" s="100"/>
      <c r="G39" s="6"/>
      <c r="H39" s="6"/>
      <c r="I39" s="6"/>
      <c r="J39" s="6"/>
      <c r="K39" s="6"/>
      <c r="L39" s="6"/>
      <c r="M39" s="100"/>
      <c r="N39" s="100"/>
      <c r="O39" s="6"/>
      <c r="P39" s="6"/>
      <c r="Q39" s="8"/>
    </row>
    <row r="40" spans="2:18" ht="15" thickBot="1" x14ac:dyDescent="0.35">
      <c r="B40" s="77"/>
      <c r="C40" s="14"/>
      <c r="D40" s="15"/>
      <c r="E40" s="15"/>
      <c r="F40" s="15"/>
      <c r="G40" s="15"/>
      <c r="H40" s="15"/>
      <c r="I40" s="15"/>
      <c r="J40" s="13"/>
      <c r="K40" s="13"/>
      <c r="L40" s="15"/>
      <c r="M40" s="15"/>
      <c r="N40" s="13"/>
      <c r="O40" s="13"/>
      <c r="P40" s="13"/>
      <c r="Q40" s="16"/>
    </row>
    <row r="41" spans="2:18" ht="15" thickBot="1" x14ac:dyDescent="0.35">
      <c r="B41" s="77"/>
      <c r="C41" s="7" t="s">
        <v>42</v>
      </c>
      <c r="D41" s="6"/>
      <c r="E41" s="6" t="s">
        <v>48</v>
      </c>
      <c r="F41" s="6"/>
      <c r="G41" s="6"/>
      <c r="H41" s="6"/>
      <c r="I41" s="6"/>
      <c r="J41" s="6"/>
      <c r="K41" s="7" t="s">
        <v>42</v>
      </c>
      <c r="L41" s="6"/>
      <c r="M41" s="6" t="s">
        <v>48</v>
      </c>
      <c r="N41" s="6"/>
      <c r="O41" s="6"/>
      <c r="P41" s="6"/>
      <c r="Q41" s="8"/>
    </row>
    <row r="42" spans="2:18" ht="15" thickBot="1" x14ac:dyDescent="0.35">
      <c r="B42" s="77"/>
      <c r="C42" s="3" t="s">
        <v>3</v>
      </c>
      <c r="D42" s="3" t="s">
        <v>4</v>
      </c>
      <c r="E42" s="3" t="s">
        <v>49</v>
      </c>
      <c r="F42" s="20" t="s">
        <v>6</v>
      </c>
      <c r="G42" s="20" t="s">
        <v>7</v>
      </c>
      <c r="H42" s="20" t="s">
        <v>8</v>
      </c>
      <c r="I42" s="20" t="s">
        <v>20</v>
      </c>
      <c r="K42" s="3" t="s">
        <v>3</v>
      </c>
      <c r="L42" s="3" t="s">
        <v>4</v>
      </c>
      <c r="M42" s="3" t="s">
        <v>49</v>
      </c>
      <c r="N42" s="20" t="s">
        <v>6</v>
      </c>
      <c r="O42" s="20" t="s">
        <v>7</v>
      </c>
      <c r="P42" s="20" t="s">
        <v>8</v>
      </c>
      <c r="Q42" s="21" t="s">
        <v>20</v>
      </c>
    </row>
    <row r="43" spans="2:18" ht="14.25" customHeight="1" x14ac:dyDescent="0.3">
      <c r="B43" s="77"/>
      <c r="C43" s="214" t="s">
        <v>77</v>
      </c>
      <c r="D43" s="18">
        <v>0</v>
      </c>
      <c r="E43" s="105">
        <v>1.9</v>
      </c>
      <c r="F43" s="101">
        <v>2375</v>
      </c>
      <c r="G43" s="43">
        <v>3500</v>
      </c>
      <c r="H43" s="43">
        <v>30500</v>
      </c>
      <c r="I43" s="59">
        <v>180</v>
      </c>
      <c r="K43" s="214" t="s">
        <v>77</v>
      </c>
      <c r="L43" s="18">
        <v>0</v>
      </c>
      <c r="M43" s="89">
        <v>3.98</v>
      </c>
      <c r="N43" s="101">
        <v>1750</v>
      </c>
      <c r="O43" s="43">
        <v>2200</v>
      </c>
      <c r="P43" s="43">
        <v>31000</v>
      </c>
      <c r="Q43" s="59">
        <v>260</v>
      </c>
    </row>
    <row r="44" spans="2:18" x14ac:dyDescent="0.3">
      <c r="B44" s="77"/>
      <c r="C44" s="214"/>
      <c r="D44" s="18">
        <v>1</v>
      </c>
      <c r="E44" s="88">
        <v>0.1</v>
      </c>
      <c r="F44" s="101">
        <v>1600</v>
      </c>
      <c r="G44" s="43">
        <v>3100</v>
      </c>
      <c r="H44" s="43">
        <v>22000</v>
      </c>
      <c r="I44" s="59">
        <v>100</v>
      </c>
      <c r="K44" s="214"/>
      <c r="L44" s="18">
        <v>1</v>
      </c>
      <c r="M44" s="89">
        <v>0.15</v>
      </c>
      <c r="N44" s="101">
        <v>750</v>
      </c>
      <c r="O44" s="43">
        <v>2100</v>
      </c>
      <c r="P44" s="43">
        <v>35000</v>
      </c>
      <c r="Q44" s="59">
        <v>60</v>
      </c>
    </row>
    <row r="45" spans="2:18" ht="14.25" customHeight="1" x14ac:dyDescent="0.3">
      <c r="B45" s="91" t="s">
        <v>17</v>
      </c>
      <c r="C45" s="214"/>
      <c r="D45" s="18">
        <v>3</v>
      </c>
      <c r="E45" s="88">
        <v>0.12</v>
      </c>
      <c r="F45" s="101">
        <v>960</v>
      </c>
      <c r="G45" s="43">
        <v>1900</v>
      </c>
      <c r="H45" s="43">
        <v>25500</v>
      </c>
      <c r="I45" s="59">
        <v>40</v>
      </c>
      <c r="K45" s="214"/>
      <c r="L45" s="18">
        <v>3</v>
      </c>
      <c r="M45" s="89">
        <v>0.34</v>
      </c>
      <c r="N45" s="101">
        <v>132</v>
      </c>
      <c r="O45" s="43">
        <v>230</v>
      </c>
      <c r="P45" s="43">
        <v>17600</v>
      </c>
      <c r="Q45" s="59">
        <v>4</v>
      </c>
    </row>
    <row r="46" spans="2:18" x14ac:dyDescent="0.3">
      <c r="B46" s="77"/>
      <c r="C46" s="214"/>
      <c r="D46" s="18">
        <v>5</v>
      </c>
      <c r="E46" s="88">
        <v>0.1</v>
      </c>
      <c r="F46" s="101">
        <v>240</v>
      </c>
      <c r="G46" s="43">
        <v>520</v>
      </c>
      <c r="H46" s="43">
        <v>26500</v>
      </c>
      <c r="I46" s="59">
        <v>16</v>
      </c>
      <c r="K46" s="214"/>
      <c r="L46" s="18">
        <v>5</v>
      </c>
      <c r="M46" s="89">
        <v>0.12</v>
      </c>
      <c r="N46" s="101">
        <v>30</v>
      </c>
      <c r="O46" s="43">
        <v>36</v>
      </c>
      <c r="P46" s="43">
        <v>6710</v>
      </c>
      <c r="Q46" s="59">
        <v>24</v>
      </c>
    </row>
    <row r="47" spans="2:18" x14ac:dyDescent="0.3">
      <c r="B47" s="77"/>
      <c r="C47" s="214"/>
      <c r="D47" s="18">
        <v>10</v>
      </c>
      <c r="E47" s="88">
        <v>0.09</v>
      </c>
      <c r="F47" s="101">
        <v>48</v>
      </c>
      <c r="G47" s="43">
        <v>164</v>
      </c>
      <c r="H47" s="43">
        <v>13600</v>
      </c>
      <c r="I47" s="59">
        <v>32</v>
      </c>
      <c r="K47" s="214"/>
      <c r="L47" s="18">
        <v>10</v>
      </c>
      <c r="M47" s="89">
        <v>0.71</v>
      </c>
      <c r="N47" s="101">
        <v>2</v>
      </c>
      <c r="O47" s="43">
        <v>2</v>
      </c>
      <c r="P47" s="43">
        <v>1060</v>
      </c>
      <c r="Q47" s="59">
        <v>3</v>
      </c>
    </row>
    <row r="48" spans="2:18" ht="15" thickBot="1" x14ac:dyDescent="0.35">
      <c r="B48" s="77"/>
      <c r="C48" s="214"/>
      <c r="D48" s="18">
        <v>30</v>
      </c>
      <c r="E48" s="88">
        <v>0.15</v>
      </c>
      <c r="F48" s="101">
        <v>2</v>
      </c>
      <c r="G48" s="43">
        <v>1</v>
      </c>
      <c r="H48" s="43">
        <v>570</v>
      </c>
      <c r="I48" s="59">
        <v>4</v>
      </c>
      <c r="K48" s="214"/>
      <c r="L48" s="18">
        <v>30</v>
      </c>
      <c r="M48" s="95">
        <v>0.45</v>
      </c>
      <c r="N48" s="103">
        <v>1</v>
      </c>
      <c r="O48" s="45">
        <v>1</v>
      </c>
      <c r="P48" s="45">
        <v>8</v>
      </c>
      <c r="Q48" s="104">
        <v>1</v>
      </c>
    </row>
    <row r="49" spans="2:17" x14ac:dyDescent="0.3">
      <c r="B49" s="77"/>
      <c r="C49" s="214"/>
      <c r="D49" s="5"/>
      <c r="E49" s="5"/>
      <c r="F49" s="4"/>
      <c r="G49" s="4"/>
      <c r="H49" s="4"/>
      <c r="I49" s="4"/>
      <c r="K49" s="214"/>
      <c r="L49" s="5"/>
      <c r="M49" s="5"/>
      <c r="N49" s="4"/>
      <c r="O49" s="4"/>
      <c r="P49" s="4"/>
      <c r="Q49" s="22"/>
    </row>
    <row r="50" spans="2:17" x14ac:dyDescent="0.3">
      <c r="B50" s="77"/>
      <c r="C50" s="11"/>
      <c r="D50" s="10"/>
      <c r="E50" s="10"/>
      <c r="F50" s="61"/>
      <c r="G50" s="61"/>
      <c r="H50" s="61"/>
      <c r="I50" s="61"/>
      <c r="K50" s="11"/>
      <c r="L50" s="10"/>
      <c r="M50" s="10"/>
      <c r="N50" s="61"/>
      <c r="O50" s="61"/>
      <c r="P50" s="61"/>
      <c r="Q50" s="23"/>
    </row>
    <row r="51" spans="2:17" x14ac:dyDescent="0.3">
      <c r="B51" s="77"/>
      <c r="C51" s="11"/>
      <c r="D51" s="11"/>
      <c r="E51" s="11"/>
      <c r="F51" s="11"/>
      <c r="G51" s="11"/>
      <c r="H51" s="11"/>
      <c r="I51" s="11"/>
      <c r="K51" s="11"/>
      <c r="L51" s="11"/>
      <c r="M51" s="11"/>
      <c r="N51" s="11"/>
      <c r="O51" s="11"/>
      <c r="P51" s="11"/>
      <c r="Q51" s="84"/>
    </row>
    <row r="52" spans="2:17" ht="15" customHeight="1" x14ac:dyDescent="0.3">
      <c r="B52" s="77"/>
      <c r="E52" s="11"/>
      <c r="F52" s="11"/>
      <c r="M52" s="11"/>
      <c r="N52" s="11"/>
      <c r="Q52" s="9"/>
    </row>
    <row r="53" spans="2:17" ht="15" thickBot="1" x14ac:dyDescent="0.35">
      <c r="B53" s="7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6"/>
    </row>
    <row r="55" spans="2:17" ht="14.7" customHeight="1" x14ac:dyDescent="0.3"/>
    <row r="56" spans="2:17" ht="14.25" customHeight="1" x14ac:dyDescent="0.3"/>
    <row r="57" spans="2:17" ht="15" customHeight="1" x14ac:dyDescent="0.3"/>
    <row r="58" spans="2:17" ht="14.25" customHeight="1" x14ac:dyDescent="0.3"/>
    <row r="107" spans="2:2" ht="15" thickBot="1" x14ac:dyDescent="0.35">
      <c r="B107" s="13"/>
    </row>
    <row r="108" spans="2:2" ht="14.7" customHeight="1" x14ac:dyDescent="0.3">
      <c r="B108" s="6"/>
    </row>
    <row r="110" spans="2:2" ht="15" customHeight="1" x14ac:dyDescent="0.3"/>
    <row r="160" spans="2:2" ht="15" thickBot="1" x14ac:dyDescent="0.35">
      <c r="B160" s="13"/>
    </row>
    <row r="161" spans="2:2" ht="14.7" customHeight="1" x14ac:dyDescent="0.3">
      <c r="B161" s="6"/>
    </row>
    <row r="163" spans="2:2" ht="15" customHeight="1" x14ac:dyDescent="0.3"/>
    <row r="213" spans="2:2" ht="15" thickBot="1" x14ac:dyDescent="0.35">
      <c r="B213" s="13"/>
    </row>
  </sheetData>
  <mergeCells count="8">
    <mergeCell ref="C43:C49"/>
    <mergeCell ref="K43:K49"/>
    <mergeCell ref="C4:C10"/>
    <mergeCell ref="K4:K10"/>
    <mergeCell ref="C17:C23"/>
    <mergeCell ref="K17:K23"/>
    <mergeCell ref="C30:C36"/>
    <mergeCell ref="K30:K36"/>
  </mergeCells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213"/>
  <sheetViews>
    <sheetView topLeftCell="C3" zoomScale="80" zoomScaleNormal="80" workbookViewId="0">
      <selection activeCell="D69" sqref="D69"/>
    </sheetView>
  </sheetViews>
  <sheetFormatPr defaultColWidth="15.5546875" defaultRowHeight="14.4" x14ac:dyDescent="0.3"/>
  <cols>
    <col min="1" max="16384" width="15.5546875" style="2"/>
  </cols>
  <sheetData>
    <row r="1" spans="1:23" ht="26.4" thickBot="1" x14ac:dyDescent="0.55000000000000004">
      <c r="A1" s="51" t="s">
        <v>63</v>
      </c>
    </row>
    <row r="2" spans="1:23" ht="26.4" thickBot="1" x14ac:dyDescent="0.55000000000000004">
      <c r="A2" s="51" t="s">
        <v>64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5.8" x14ac:dyDescent="0.5">
      <c r="A3" s="51" t="s">
        <v>65</v>
      </c>
      <c r="B3" s="77"/>
      <c r="C3" s="3" t="s">
        <v>3</v>
      </c>
      <c r="D3" s="3" t="s">
        <v>4</v>
      </c>
      <c r="E3" s="3" t="s">
        <v>44</v>
      </c>
      <c r="F3" s="20" t="s">
        <v>6</v>
      </c>
      <c r="G3" s="20" t="s">
        <v>7</v>
      </c>
      <c r="H3" s="20" t="s">
        <v>8</v>
      </c>
      <c r="I3" s="82" t="s">
        <v>20</v>
      </c>
      <c r="K3" s="3" t="s">
        <v>3</v>
      </c>
      <c r="L3" s="3" t="s">
        <v>4</v>
      </c>
      <c r="M3" s="3" t="s">
        <v>44</v>
      </c>
      <c r="N3" s="20" t="s">
        <v>6</v>
      </c>
      <c r="O3" s="20" t="s">
        <v>7</v>
      </c>
      <c r="P3" s="20" t="s">
        <v>8</v>
      </c>
      <c r="Q3" s="21" t="s">
        <v>20</v>
      </c>
      <c r="S3" s="1"/>
      <c r="U3" s="1"/>
      <c r="W3" s="1"/>
    </row>
    <row r="4" spans="1:23" ht="25.8" x14ac:dyDescent="0.5">
      <c r="A4" s="52">
        <v>45544</v>
      </c>
      <c r="B4" s="77"/>
      <c r="C4" s="214" t="s">
        <v>79</v>
      </c>
      <c r="D4" s="18">
        <v>0</v>
      </c>
      <c r="E4" s="64">
        <v>0.99</v>
      </c>
      <c r="F4" s="107">
        <v>62000</v>
      </c>
      <c r="G4" s="41">
        <v>92000</v>
      </c>
      <c r="H4" s="41">
        <v>760000</v>
      </c>
      <c r="I4" s="108">
        <v>6000</v>
      </c>
      <c r="K4" s="214" t="s">
        <v>79</v>
      </c>
      <c r="L4" s="18">
        <v>0</v>
      </c>
      <c r="M4" s="81">
        <v>1.93</v>
      </c>
      <c r="N4" s="101">
        <v>58000</v>
      </c>
      <c r="O4" s="43">
        <v>94000</v>
      </c>
      <c r="P4" s="43">
        <v>820000</v>
      </c>
      <c r="Q4" s="59">
        <v>6000</v>
      </c>
      <c r="S4" s="1"/>
      <c r="U4" s="1"/>
    </row>
    <row r="5" spans="1:23" x14ac:dyDescent="0.3">
      <c r="B5" s="77"/>
      <c r="C5" s="214"/>
      <c r="D5" s="18">
        <v>1</v>
      </c>
      <c r="E5" s="64">
        <v>0.69</v>
      </c>
      <c r="F5" s="101">
        <v>39000</v>
      </c>
      <c r="G5" s="43">
        <v>44000</v>
      </c>
      <c r="H5" s="43">
        <v>560000</v>
      </c>
      <c r="I5" s="59">
        <v>5000</v>
      </c>
      <c r="K5" s="214"/>
      <c r="L5" s="18">
        <v>1</v>
      </c>
      <c r="M5" s="81">
        <v>1.54</v>
      </c>
      <c r="N5" s="101">
        <v>140</v>
      </c>
      <c r="O5" s="43">
        <v>270</v>
      </c>
      <c r="P5" s="43">
        <v>3900</v>
      </c>
      <c r="Q5" s="59">
        <v>1400</v>
      </c>
    </row>
    <row r="6" spans="1:23" ht="25.8" x14ac:dyDescent="0.5">
      <c r="A6" s="51" t="s">
        <v>80</v>
      </c>
      <c r="B6" s="91" t="s">
        <v>12</v>
      </c>
      <c r="C6" s="214"/>
      <c r="D6" s="18">
        <v>3</v>
      </c>
      <c r="E6" s="64">
        <v>0.57999999999999996</v>
      </c>
      <c r="F6" s="101">
        <v>640</v>
      </c>
      <c r="G6" s="43">
        <v>1260</v>
      </c>
      <c r="H6" s="43">
        <v>29800</v>
      </c>
      <c r="I6" s="59">
        <v>2300</v>
      </c>
      <c r="K6" s="214"/>
      <c r="L6" s="18">
        <v>3</v>
      </c>
      <c r="M6" s="81">
        <v>1.44</v>
      </c>
      <c r="N6" s="101">
        <v>20</v>
      </c>
      <c r="O6" s="43">
        <v>44</v>
      </c>
      <c r="P6" s="43">
        <v>320</v>
      </c>
      <c r="Q6" s="59">
        <v>124</v>
      </c>
    </row>
    <row r="7" spans="1:23" x14ac:dyDescent="0.3">
      <c r="B7" s="77"/>
      <c r="C7" s="214"/>
      <c r="D7" s="18">
        <v>5</v>
      </c>
      <c r="E7" s="64">
        <v>0.64</v>
      </c>
      <c r="F7" s="101">
        <v>46</v>
      </c>
      <c r="G7" s="43">
        <v>104</v>
      </c>
      <c r="H7" s="43">
        <v>1470</v>
      </c>
      <c r="I7" s="59">
        <v>726</v>
      </c>
      <c r="K7" s="214"/>
      <c r="L7" s="18">
        <v>5</v>
      </c>
      <c r="M7" s="81">
        <v>1.32</v>
      </c>
      <c r="N7" s="101">
        <v>24</v>
      </c>
      <c r="O7" s="43">
        <v>32</v>
      </c>
      <c r="P7" s="43">
        <v>164</v>
      </c>
      <c r="Q7" s="59">
        <v>20</v>
      </c>
    </row>
    <row r="8" spans="1:23" x14ac:dyDescent="0.3">
      <c r="B8" s="77"/>
      <c r="C8" s="214"/>
      <c r="D8" s="18">
        <v>10</v>
      </c>
      <c r="E8" s="64">
        <v>0.48</v>
      </c>
      <c r="F8" s="101">
        <v>23</v>
      </c>
      <c r="G8" s="43">
        <v>28</v>
      </c>
      <c r="H8" s="43">
        <v>560</v>
      </c>
      <c r="I8" s="59">
        <v>42</v>
      </c>
      <c r="K8" s="214"/>
      <c r="L8" s="18">
        <v>10</v>
      </c>
      <c r="M8" s="81">
        <v>1.18</v>
      </c>
      <c r="N8" s="101">
        <v>18</v>
      </c>
      <c r="O8" s="43">
        <v>18</v>
      </c>
      <c r="P8" s="43">
        <v>144</v>
      </c>
      <c r="Q8" s="59">
        <v>3</v>
      </c>
    </row>
    <row r="9" spans="1:23" ht="23.4" x14ac:dyDescent="0.45">
      <c r="A9" s="109" t="s">
        <v>81</v>
      </c>
      <c r="B9" s="77"/>
      <c r="C9" s="214"/>
      <c r="D9" s="18">
        <v>30</v>
      </c>
      <c r="E9" s="64">
        <v>0.23</v>
      </c>
      <c r="F9" s="101">
        <v>64</v>
      </c>
      <c r="G9" s="43">
        <v>64</v>
      </c>
      <c r="H9" s="43">
        <v>476</v>
      </c>
      <c r="I9" s="59">
        <v>1</v>
      </c>
      <c r="K9" s="214"/>
      <c r="L9" s="18">
        <v>30</v>
      </c>
      <c r="M9" s="81">
        <v>0.78</v>
      </c>
      <c r="N9" s="101">
        <v>8</v>
      </c>
      <c r="O9" s="43">
        <v>16</v>
      </c>
      <c r="P9" s="43">
        <v>50</v>
      </c>
      <c r="Q9" s="59">
        <v>3</v>
      </c>
    </row>
    <row r="10" spans="1:23" x14ac:dyDescent="0.3">
      <c r="B10" s="77"/>
      <c r="C10" s="214"/>
      <c r="D10" s="5"/>
      <c r="E10" s="5"/>
      <c r="F10" s="4"/>
      <c r="G10" s="4"/>
      <c r="H10" s="4"/>
      <c r="I10" s="4"/>
      <c r="K10" s="214"/>
      <c r="L10" s="5"/>
      <c r="M10" s="5"/>
      <c r="N10" s="4"/>
      <c r="O10" s="4"/>
      <c r="P10" s="4"/>
      <c r="Q10" s="22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x14ac:dyDescent="0.3">
      <c r="B13" s="58"/>
      <c r="C13" s="6"/>
      <c r="D13" s="6"/>
      <c r="E13" s="100"/>
      <c r="F13" s="100"/>
      <c r="G13" s="6"/>
      <c r="H13" s="6"/>
      <c r="I13" s="6"/>
      <c r="J13" s="6"/>
      <c r="K13" s="6"/>
      <c r="L13" s="6"/>
      <c r="M13" s="100"/>
      <c r="N13" s="100"/>
      <c r="O13" s="6"/>
      <c r="P13" s="6"/>
      <c r="Q13" s="8"/>
    </row>
    <row r="14" spans="1:23" ht="15" thickBot="1" x14ac:dyDescent="0.35">
      <c r="B14" s="77"/>
      <c r="C14" s="14"/>
      <c r="D14" s="15"/>
      <c r="E14" s="15"/>
      <c r="F14" s="15"/>
      <c r="G14" s="15"/>
      <c r="H14" s="15"/>
      <c r="I14" s="15"/>
      <c r="J14" s="13"/>
      <c r="K14" s="13"/>
      <c r="L14" s="15"/>
      <c r="M14" s="15"/>
      <c r="N14" s="13"/>
      <c r="O14" s="13"/>
      <c r="P14" s="13"/>
      <c r="Q14" s="16"/>
    </row>
    <row r="15" spans="1:23" ht="15" thickBot="1" x14ac:dyDescent="0.35">
      <c r="B15" s="77"/>
      <c r="C15" s="7" t="s">
        <v>42</v>
      </c>
      <c r="D15" s="6"/>
      <c r="E15" s="6" t="s">
        <v>47</v>
      </c>
      <c r="F15" s="6"/>
      <c r="G15" s="6"/>
      <c r="H15" s="6"/>
      <c r="I15" s="6"/>
      <c r="J15" s="6"/>
      <c r="K15" s="7" t="s">
        <v>42</v>
      </c>
      <c r="L15" s="6"/>
      <c r="M15" s="6" t="s">
        <v>47</v>
      </c>
      <c r="N15" s="6"/>
      <c r="O15" s="6"/>
      <c r="P15" s="6"/>
      <c r="Q15" s="8"/>
    </row>
    <row r="16" spans="1:23" x14ac:dyDescent="0.3">
      <c r="B16" s="77"/>
      <c r="C16" s="3" t="s">
        <v>3</v>
      </c>
      <c r="D16" s="3" t="s">
        <v>4</v>
      </c>
      <c r="E16" s="3" t="s">
        <v>55</v>
      </c>
      <c r="F16" s="20" t="s">
        <v>6</v>
      </c>
      <c r="G16" s="20" t="s">
        <v>7</v>
      </c>
      <c r="H16" s="20" t="s">
        <v>8</v>
      </c>
      <c r="I16" s="20" t="s">
        <v>20</v>
      </c>
      <c r="K16" s="3" t="s">
        <v>3</v>
      </c>
      <c r="L16" s="3" t="s">
        <v>4</v>
      </c>
      <c r="M16" s="3" t="s">
        <v>55</v>
      </c>
      <c r="N16" s="20" t="s">
        <v>6</v>
      </c>
      <c r="O16" s="20" t="s">
        <v>7</v>
      </c>
      <c r="P16" s="20" t="s">
        <v>8</v>
      </c>
      <c r="Q16" s="21" t="s">
        <v>20</v>
      </c>
    </row>
    <row r="17" spans="2:18" x14ac:dyDescent="0.3">
      <c r="B17" s="77"/>
      <c r="C17" s="214" t="s">
        <v>79</v>
      </c>
      <c r="D17" s="18">
        <v>0</v>
      </c>
      <c r="E17" s="81">
        <v>2.04</v>
      </c>
      <c r="F17" s="101">
        <v>60500</v>
      </c>
      <c r="G17" s="43">
        <v>85000</v>
      </c>
      <c r="H17" s="43">
        <v>930000</v>
      </c>
      <c r="I17" s="59">
        <v>7000</v>
      </c>
      <c r="K17" s="214" t="s">
        <v>79</v>
      </c>
      <c r="L17" s="18">
        <v>0</v>
      </c>
      <c r="M17" s="64">
        <v>3.91</v>
      </c>
      <c r="N17" s="101">
        <v>54000</v>
      </c>
      <c r="O17" s="43">
        <v>70000</v>
      </c>
      <c r="P17" s="43">
        <v>980000</v>
      </c>
      <c r="Q17" s="59">
        <v>9000</v>
      </c>
    </row>
    <row r="18" spans="2:18" x14ac:dyDescent="0.3">
      <c r="B18" s="77"/>
      <c r="C18" s="214"/>
      <c r="D18" s="18">
        <v>1</v>
      </c>
      <c r="E18" s="81">
        <v>1.69</v>
      </c>
      <c r="F18" s="101">
        <v>65000</v>
      </c>
      <c r="G18" s="43">
        <v>65000</v>
      </c>
      <c r="H18" s="43">
        <v>1780000</v>
      </c>
      <c r="I18" s="59">
        <v>4000</v>
      </c>
      <c r="K18" s="214"/>
      <c r="L18" s="18">
        <v>1</v>
      </c>
      <c r="M18" s="64">
        <v>3.46</v>
      </c>
      <c r="N18" s="101">
        <v>65000</v>
      </c>
      <c r="O18" s="43">
        <v>94000</v>
      </c>
      <c r="P18" s="43">
        <v>980000</v>
      </c>
      <c r="Q18" s="59">
        <v>7000</v>
      </c>
    </row>
    <row r="19" spans="2:18" x14ac:dyDescent="0.3">
      <c r="B19" s="91" t="s">
        <v>13</v>
      </c>
      <c r="C19" s="214"/>
      <c r="D19" s="18">
        <v>3</v>
      </c>
      <c r="E19" s="81">
        <v>1.91</v>
      </c>
      <c r="F19" s="101">
        <v>47000</v>
      </c>
      <c r="G19" s="43">
        <v>78000</v>
      </c>
      <c r="H19" s="43">
        <v>1120000</v>
      </c>
      <c r="I19" s="59">
        <v>2000</v>
      </c>
      <c r="K19" s="214"/>
      <c r="L19" s="18">
        <v>3</v>
      </c>
      <c r="M19" s="64">
        <v>3.43</v>
      </c>
      <c r="N19" s="101">
        <v>42500</v>
      </c>
      <c r="O19" s="43">
        <v>51000</v>
      </c>
      <c r="P19" s="43">
        <v>630000</v>
      </c>
      <c r="Q19" s="59">
        <v>5500</v>
      </c>
    </row>
    <row r="20" spans="2:18" x14ac:dyDescent="0.3">
      <c r="B20" s="77"/>
      <c r="C20" s="214"/>
      <c r="D20" s="18">
        <v>5</v>
      </c>
      <c r="E20" s="81">
        <v>1.58</v>
      </c>
      <c r="F20" s="101">
        <v>53000</v>
      </c>
      <c r="G20" s="43">
        <v>78000</v>
      </c>
      <c r="H20" s="43">
        <v>1280000</v>
      </c>
      <c r="I20" s="59">
        <v>12000</v>
      </c>
      <c r="K20" s="214"/>
      <c r="L20" s="18">
        <v>5</v>
      </c>
      <c r="M20" s="64">
        <v>3.43</v>
      </c>
      <c r="N20" s="101">
        <v>5300</v>
      </c>
      <c r="O20" s="43">
        <v>12500</v>
      </c>
      <c r="P20" s="43">
        <v>182500</v>
      </c>
      <c r="Q20" s="59">
        <v>4050</v>
      </c>
    </row>
    <row r="21" spans="2:18" x14ac:dyDescent="0.3">
      <c r="B21" s="77"/>
      <c r="C21" s="214"/>
      <c r="D21" s="18">
        <v>10</v>
      </c>
      <c r="E21" s="81">
        <v>1.49</v>
      </c>
      <c r="F21" s="101">
        <v>17800</v>
      </c>
      <c r="G21" s="43">
        <v>28000</v>
      </c>
      <c r="H21" s="43">
        <v>320000</v>
      </c>
      <c r="I21" s="59">
        <v>4800</v>
      </c>
      <c r="K21" s="214"/>
      <c r="L21" s="18">
        <v>10</v>
      </c>
      <c r="M21" s="64">
        <v>3.21</v>
      </c>
      <c r="N21" s="101">
        <v>62</v>
      </c>
      <c r="O21" s="43">
        <v>730</v>
      </c>
      <c r="P21" s="43">
        <v>8200</v>
      </c>
      <c r="Q21" s="59">
        <v>1020</v>
      </c>
    </row>
    <row r="22" spans="2:18" x14ac:dyDescent="0.3">
      <c r="B22" s="77"/>
      <c r="C22" s="214"/>
      <c r="D22" s="18">
        <v>30</v>
      </c>
      <c r="E22" s="81">
        <v>1.42</v>
      </c>
      <c r="F22" s="101">
        <v>108</v>
      </c>
      <c r="G22" s="43">
        <v>1180</v>
      </c>
      <c r="H22" s="43">
        <v>8400</v>
      </c>
      <c r="I22" s="59">
        <v>1040</v>
      </c>
      <c r="K22" s="214"/>
      <c r="L22" s="18">
        <v>30</v>
      </c>
      <c r="M22" s="64">
        <v>2.96</v>
      </c>
      <c r="N22" s="101">
        <v>49</v>
      </c>
      <c r="O22" s="43">
        <v>128</v>
      </c>
      <c r="P22" s="43">
        <v>840</v>
      </c>
      <c r="Q22" s="59">
        <v>24</v>
      </c>
    </row>
    <row r="23" spans="2:18" x14ac:dyDescent="0.3">
      <c r="B23" s="77"/>
      <c r="C23" s="214"/>
      <c r="D23" s="5"/>
      <c r="E23" s="5"/>
      <c r="F23" s="4"/>
      <c r="G23" s="4"/>
      <c r="H23" s="4"/>
      <c r="I23" s="4"/>
      <c r="K23" s="214"/>
      <c r="L23" s="5"/>
      <c r="M23" s="5"/>
      <c r="N23" s="4"/>
      <c r="O23" s="4"/>
      <c r="P23" s="4"/>
      <c r="Q23" s="22"/>
    </row>
    <row r="24" spans="2:18" x14ac:dyDescent="0.3">
      <c r="B24" s="77"/>
      <c r="C24" s="11"/>
      <c r="D24" s="10"/>
      <c r="E24" s="10"/>
      <c r="F24" s="61"/>
      <c r="G24" s="61"/>
      <c r="H24" s="61"/>
      <c r="I24" s="61"/>
      <c r="K24" s="11"/>
      <c r="L24" s="10"/>
      <c r="M24" s="10"/>
      <c r="N24" s="61"/>
      <c r="O24" s="61"/>
      <c r="P24" s="61"/>
      <c r="Q24" s="23"/>
    </row>
    <row r="25" spans="2:18" ht="15" thickBot="1" x14ac:dyDescent="0.35">
      <c r="B25" s="78"/>
      <c r="C25" s="15"/>
      <c r="D25" s="15"/>
      <c r="E25" s="15"/>
      <c r="F25" s="15"/>
      <c r="G25" s="15"/>
      <c r="H25" s="15"/>
      <c r="I25" s="15"/>
      <c r="J25" s="13"/>
      <c r="K25" s="15"/>
      <c r="L25" s="15"/>
      <c r="M25" s="15"/>
      <c r="N25" s="15"/>
      <c r="O25" s="15"/>
      <c r="P25" s="15"/>
      <c r="Q25" s="94"/>
    </row>
    <row r="26" spans="2:18" x14ac:dyDescent="0.3">
      <c r="B26" s="58"/>
      <c r="C26" s="6"/>
      <c r="D26" s="6"/>
      <c r="E26" s="100"/>
      <c r="F26" s="100"/>
      <c r="G26" s="6"/>
      <c r="H26" s="6"/>
      <c r="I26" s="6"/>
      <c r="J26" s="6"/>
      <c r="K26" s="6"/>
      <c r="L26" s="6"/>
      <c r="M26" s="100"/>
      <c r="N26" s="100"/>
      <c r="O26" s="6"/>
      <c r="P26" s="6"/>
      <c r="Q26" s="8"/>
    </row>
    <row r="27" spans="2:18" ht="15" thickBot="1" x14ac:dyDescent="0.35">
      <c r="B27" s="77"/>
      <c r="C27" s="14"/>
      <c r="D27" s="15"/>
      <c r="E27" s="15"/>
      <c r="F27" s="15"/>
      <c r="G27" s="15"/>
      <c r="H27" s="15"/>
      <c r="I27" s="15"/>
      <c r="J27" s="13"/>
      <c r="K27" s="13"/>
      <c r="L27" s="15"/>
      <c r="M27" s="15"/>
      <c r="N27" s="13"/>
      <c r="O27" s="13"/>
      <c r="P27" s="13"/>
      <c r="Q27" s="16"/>
    </row>
    <row r="28" spans="2:18" ht="15" thickBot="1" x14ac:dyDescent="0.35">
      <c r="B28" s="77"/>
      <c r="C28" s="7" t="s">
        <v>42</v>
      </c>
      <c r="D28" s="6"/>
      <c r="E28" s="6" t="s">
        <v>48</v>
      </c>
      <c r="F28" s="6"/>
      <c r="G28" s="6"/>
      <c r="H28" s="6"/>
      <c r="I28" s="6"/>
      <c r="J28" s="6"/>
      <c r="K28" s="7" t="s">
        <v>42</v>
      </c>
      <c r="L28" s="6"/>
      <c r="M28" s="6" t="s">
        <v>48</v>
      </c>
      <c r="N28" s="6"/>
      <c r="O28" s="6"/>
      <c r="P28" s="6"/>
      <c r="Q28" s="8"/>
    </row>
    <row r="29" spans="2:18" x14ac:dyDescent="0.3">
      <c r="B29" s="77"/>
      <c r="C29" s="3" t="s">
        <v>3</v>
      </c>
      <c r="D29" s="3" t="s">
        <v>4</v>
      </c>
      <c r="E29" s="3" t="s">
        <v>49</v>
      </c>
      <c r="F29" s="20" t="s">
        <v>6</v>
      </c>
      <c r="G29" s="20" t="s">
        <v>7</v>
      </c>
      <c r="H29" s="20" t="s">
        <v>8</v>
      </c>
      <c r="I29" s="20" t="s">
        <v>20</v>
      </c>
      <c r="J29" s="74" t="s">
        <v>14</v>
      </c>
      <c r="K29" s="3" t="s">
        <v>3</v>
      </c>
      <c r="L29" s="3" t="s">
        <v>4</v>
      </c>
      <c r="M29" s="3" t="s">
        <v>49</v>
      </c>
      <c r="N29" s="20" t="s">
        <v>6</v>
      </c>
      <c r="O29" s="20" t="s">
        <v>7</v>
      </c>
      <c r="P29" s="20" t="s">
        <v>8</v>
      </c>
      <c r="Q29" s="21" t="s">
        <v>20</v>
      </c>
      <c r="R29" s="74" t="s">
        <v>14</v>
      </c>
    </row>
    <row r="30" spans="2:18" x14ac:dyDescent="0.3">
      <c r="B30" s="77"/>
      <c r="C30" s="214" t="s">
        <v>79</v>
      </c>
      <c r="D30" s="18">
        <v>0</v>
      </c>
      <c r="E30" s="81">
        <v>1.91</v>
      </c>
      <c r="F30" s="101">
        <v>58000</v>
      </c>
      <c r="G30" s="43">
        <v>98000</v>
      </c>
      <c r="H30" s="43">
        <v>940000</v>
      </c>
      <c r="I30" s="59">
        <v>6000</v>
      </c>
      <c r="J30" s="112"/>
      <c r="K30" s="214" t="s">
        <v>79</v>
      </c>
      <c r="L30" s="18">
        <v>0</v>
      </c>
      <c r="M30" s="81">
        <v>4.0199999999999996</v>
      </c>
      <c r="N30" s="101">
        <v>65000</v>
      </c>
      <c r="O30" s="43">
        <v>112000</v>
      </c>
      <c r="P30" s="43">
        <v>860000</v>
      </c>
      <c r="Q30" s="59">
        <v>8000</v>
      </c>
      <c r="R30" s="112"/>
    </row>
    <row r="31" spans="2:18" x14ac:dyDescent="0.3">
      <c r="B31" s="77"/>
      <c r="C31" s="214"/>
      <c r="D31" s="18">
        <v>1</v>
      </c>
      <c r="E31" s="81">
        <v>1.57</v>
      </c>
      <c r="F31" s="101">
        <v>33000</v>
      </c>
      <c r="G31" s="43">
        <v>54000</v>
      </c>
      <c r="H31" s="43">
        <v>720000</v>
      </c>
      <c r="I31" s="59">
        <v>5000</v>
      </c>
      <c r="J31" s="112"/>
      <c r="K31" s="214"/>
      <c r="L31" s="18">
        <v>1</v>
      </c>
      <c r="M31" s="81">
        <v>3.38</v>
      </c>
      <c r="N31" s="101">
        <v>7600</v>
      </c>
      <c r="O31" s="43">
        <v>15500</v>
      </c>
      <c r="P31" s="43">
        <v>650000</v>
      </c>
      <c r="Q31" s="59">
        <v>1400</v>
      </c>
      <c r="R31" s="112"/>
    </row>
    <row r="32" spans="2:18" x14ac:dyDescent="0.3">
      <c r="B32" s="91" t="s">
        <v>15</v>
      </c>
      <c r="C32" s="214"/>
      <c r="D32" s="18">
        <v>3</v>
      </c>
      <c r="E32" s="81">
        <v>1.54</v>
      </c>
      <c r="F32" s="101">
        <v>9000</v>
      </c>
      <c r="G32" s="43">
        <v>18000</v>
      </c>
      <c r="H32" s="43">
        <v>1020000</v>
      </c>
      <c r="I32" s="59">
        <v>2500</v>
      </c>
      <c r="J32" s="112"/>
      <c r="K32" s="214"/>
      <c r="L32" s="18">
        <v>3</v>
      </c>
      <c r="M32" s="81">
        <v>3.32</v>
      </c>
      <c r="N32" s="101">
        <v>240</v>
      </c>
      <c r="O32" s="43">
        <v>3300</v>
      </c>
      <c r="P32" s="43">
        <v>455000</v>
      </c>
      <c r="Q32" s="59">
        <v>1020</v>
      </c>
      <c r="R32" s="112"/>
    </row>
    <row r="33" spans="2:18" x14ac:dyDescent="0.3">
      <c r="B33" s="77"/>
      <c r="C33" s="214"/>
      <c r="D33" s="18">
        <v>5</v>
      </c>
      <c r="E33" s="81">
        <v>1.52</v>
      </c>
      <c r="F33" s="101">
        <v>2100</v>
      </c>
      <c r="G33" s="43">
        <v>8750</v>
      </c>
      <c r="H33" s="43">
        <v>500000</v>
      </c>
      <c r="I33" s="59">
        <v>2100</v>
      </c>
      <c r="J33" s="112"/>
      <c r="K33" s="214"/>
      <c r="L33" s="18">
        <v>5</v>
      </c>
      <c r="M33" s="81">
        <v>3.4</v>
      </c>
      <c r="N33" s="101">
        <v>54</v>
      </c>
      <c r="O33" s="43">
        <v>1180</v>
      </c>
      <c r="P33" s="43">
        <v>631500</v>
      </c>
      <c r="Q33" s="59">
        <v>536</v>
      </c>
      <c r="R33" s="112"/>
    </row>
    <row r="34" spans="2:18" x14ac:dyDescent="0.3">
      <c r="B34" s="77"/>
      <c r="C34" s="214"/>
      <c r="D34" s="18">
        <v>10</v>
      </c>
      <c r="E34" s="81">
        <v>1.5</v>
      </c>
      <c r="F34" s="101">
        <v>208</v>
      </c>
      <c r="G34" s="43">
        <v>1260</v>
      </c>
      <c r="H34" s="43">
        <v>172000</v>
      </c>
      <c r="I34" s="59">
        <v>522</v>
      </c>
      <c r="J34" s="115">
        <v>0.313</v>
      </c>
      <c r="K34" s="214"/>
      <c r="L34" s="18">
        <v>10</v>
      </c>
      <c r="M34" s="81">
        <v>3.3</v>
      </c>
      <c r="N34" s="101">
        <v>3</v>
      </c>
      <c r="O34" s="43">
        <v>186</v>
      </c>
      <c r="P34" s="43">
        <v>7100</v>
      </c>
      <c r="Q34" s="59">
        <v>77</v>
      </c>
      <c r="R34" s="115">
        <v>0.68</v>
      </c>
    </row>
    <row r="35" spans="2:18" ht="15" thickBot="1" x14ac:dyDescent="0.35">
      <c r="B35" s="77"/>
      <c r="C35" s="214"/>
      <c r="D35" s="18">
        <v>30</v>
      </c>
      <c r="E35" s="81">
        <v>1.44</v>
      </c>
      <c r="F35" s="101">
        <v>4</v>
      </c>
      <c r="G35" s="43">
        <v>16</v>
      </c>
      <c r="H35" s="43">
        <v>640</v>
      </c>
      <c r="I35" s="59">
        <v>21</v>
      </c>
      <c r="J35" s="115">
        <v>0.30399999999999999</v>
      </c>
      <c r="K35" s="214"/>
      <c r="L35" s="18">
        <v>30</v>
      </c>
      <c r="M35" s="102">
        <v>3.12</v>
      </c>
      <c r="N35" s="103">
        <v>1</v>
      </c>
      <c r="O35" s="45" t="s">
        <v>24</v>
      </c>
      <c r="P35" s="45">
        <v>2</v>
      </c>
      <c r="Q35" s="104" t="s">
        <v>24</v>
      </c>
      <c r="R35" s="115">
        <v>0.64400000000000002</v>
      </c>
    </row>
    <row r="36" spans="2:18" x14ac:dyDescent="0.3">
      <c r="B36" s="77"/>
      <c r="C36" s="214"/>
      <c r="D36" s="5"/>
      <c r="E36" s="5"/>
      <c r="F36" s="4"/>
      <c r="G36" s="4"/>
      <c r="H36" s="4"/>
      <c r="I36" s="4"/>
      <c r="J36" s="117"/>
      <c r="K36" s="214"/>
      <c r="L36" s="5"/>
      <c r="M36" s="5"/>
      <c r="N36" s="4"/>
      <c r="O36" s="4"/>
      <c r="P36" s="4"/>
      <c r="Q36" s="22"/>
      <c r="R36" s="117"/>
    </row>
    <row r="37" spans="2:18" x14ac:dyDescent="0.3">
      <c r="B37" s="77"/>
      <c r="C37" s="11"/>
      <c r="D37" s="10"/>
      <c r="E37" s="10"/>
      <c r="F37" s="61"/>
      <c r="G37" s="61"/>
      <c r="H37" s="61"/>
      <c r="I37" s="61"/>
      <c r="K37" s="11"/>
      <c r="L37" s="10"/>
      <c r="M37" s="10"/>
      <c r="N37" s="61"/>
      <c r="O37" s="61"/>
      <c r="P37" s="61"/>
      <c r="Q37" s="23"/>
    </row>
    <row r="38" spans="2:18" ht="15" thickBot="1" x14ac:dyDescent="0.35">
      <c r="B38" s="78"/>
      <c r="C38" s="15"/>
      <c r="D38" s="15"/>
      <c r="E38" s="15"/>
      <c r="F38" s="15"/>
      <c r="G38" s="15"/>
      <c r="H38" s="15"/>
      <c r="I38" s="15"/>
      <c r="J38" s="13"/>
      <c r="K38" s="15"/>
      <c r="L38" s="15"/>
      <c r="M38" s="15"/>
      <c r="N38" s="15"/>
      <c r="O38" s="15"/>
      <c r="P38" s="15"/>
      <c r="Q38" s="94"/>
    </row>
    <row r="39" spans="2:18" x14ac:dyDescent="0.3">
      <c r="B39" s="58"/>
      <c r="C39" s="6"/>
      <c r="D39" s="6"/>
      <c r="E39" s="100"/>
      <c r="F39" s="100"/>
      <c r="G39" s="6"/>
      <c r="H39" s="6"/>
      <c r="I39" s="6"/>
      <c r="J39" s="6"/>
      <c r="K39" s="6"/>
      <c r="L39" s="6"/>
      <c r="M39" s="100"/>
      <c r="N39" s="100"/>
      <c r="O39" s="6"/>
      <c r="P39" s="6"/>
      <c r="Q39" s="8"/>
    </row>
    <row r="40" spans="2:18" ht="15" thickBot="1" x14ac:dyDescent="0.35">
      <c r="B40" s="77"/>
      <c r="C40" s="14"/>
      <c r="D40" s="15"/>
      <c r="E40" s="15"/>
      <c r="F40" s="15"/>
      <c r="G40" s="15"/>
      <c r="H40" s="15"/>
      <c r="I40" s="15"/>
      <c r="J40" s="13"/>
      <c r="K40" s="13"/>
      <c r="L40" s="15"/>
      <c r="M40" s="15"/>
      <c r="N40" s="13"/>
      <c r="O40" s="13"/>
      <c r="P40" s="13"/>
      <c r="Q40" s="16"/>
    </row>
    <row r="41" spans="2:18" ht="15" thickBot="1" x14ac:dyDescent="0.35">
      <c r="B41" s="77"/>
      <c r="C41" s="7" t="s">
        <v>42</v>
      </c>
      <c r="D41" s="6"/>
      <c r="E41" s="6" t="s">
        <v>48</v>
      </c>
      <c r="F41" s="6"/>
      <c r="G41" s="6"/>
      <c r="H41" s="6"/>
      <c r="I41" s="6"/>
      <c r="J41" s="6"/>
      <c r="K41" s="7" t="s">
        <v>42</v>
      </c>
      <c r="L41" s="6"/>
      <c r="M41" s="6" t="s">
        <v>48</v>
      </c>
      <c r="N41" s="6"/>
      <c r="O41" s="6"/>
      <c r="P41" s="6"/>
      <c r="Q41" s="8"/>
    </row>
    <row r="42" spans="2:18" ht="15" thickBot="1" x14ac:dyDescent="0.35">
      <c r="B42" s="77"/>
      <c r="C42" s="3" t="s">
        <v>3</v>
      </c>
      <c r="D42" s="3" t="s">
        <v>4</v>
      </c>
      <c r="E42" s="3" t="s">
        <v>49</v>
      </c>
      <c r="F42" s="20" t="s">
        <v>6</v>
      </c>
      <c r="G42" s="20" t="s">
        <v>7</v>
      </c>
      <c r="H42" s="20" t="s">
        <v>8</v>
      </c>
      <c r="I42" s="20" t="s">
        <v>20</v>
      </c>
      <c r="K42" s="3" t="s">
        <v>3</v>
      </c>
      <c r="L42" s="3" t="s">
        <v>4</v>
      </c>
      <c r="M42" s="3" t="s">
        <v>49</v>
      </c>
      <c r="N42" s="20" t="s">
        <v>6</v>
      </c>
      <c r="O42" s="20" t="s">
        <v>7</v>
      </c>
      <c r="P42" s="20" t="s">
        <v>8</v>
      </c>
      <c r="Q42" s="21" t="s">
        <v>20</v>
      </c>
    </row>
    <row r="43" spans="2:18" x14ac:dyDescent="0.3">
      <c r="B43" s="77"/>
      <c r="C43" s="214" t="s">
        <v>79</v>
      </c>
      <c r="D43" s="18">
        <v>0</v>
      </c>
      <c r="E43" s="105">
        <v>1.91</v>
      </c>
      <c r="F43" s="101">
        <v>58000</v>
      </c>
      <c r="G43" s="43">
        <v>98000</v>
      </c>
      <c r="H43" s="43">
        <v>940000</v>
      </c>
      <c r="I43" s="59">
        <v>6000</v>
      </c>
      <c r="K43" s="214" t="s">
        <v>79</v>
      </c>
      <c r="L43" s="18">
        <v>0</v>
      </c>
      <c r="M43" s="88">
        <v>4.0199999999999996</v>
      </c>
      <c r="N43" s="101">
        <v>65000</v>
      </c>
      <c r="O43" s="43">
        <v>112000</v>
      </c>
      <c r="P43" s="43">
        <v>860000</v>
      </c>
      <c r="Q43" s="59">
        <v>8000</v>
      </c>
    </row>
    <row r="44" spans="2:18" x14ac:dyDescent="0.3">
      <c r="B44" s="77"/>
      <c r="C44" s="214"/>
      <c r="D44" s="18">
        <v>1</v>
      </c>
      <c r="E44" s="88">
        <v>0.09</v>
      </c>
      <c r="F44" s="101">
        <v>33000</v>
      </c>
      <c r="G44" s="43">
        <v>54000</v>
      </c>
      <c r="H44" s="43">
        <v>720000</v>
      </c>
      <c r="I44" s="59">
        <v>5000</v>
      </c>
      <c r="K44" s="214"/>
      <c r="L44" s="18">
        <v>1</v>
      </c>
      <c r="M44" s="88">
        <v>0.21</v>
      </c>
      <c r="N44" s="101">
        <v>7600</v>
      </c>
      <c r="O44" s="43">
        <v>15500</v>
      </c>
      <c r="P44" s="43">
        <v>650000</v>
      </c>
      <c r="Q44" s="59">
        <v>1400</v>
      </c>
    </row>
    <row r="45" spans="2:18" x14ac:dyDescent="0.3">
      <c r="B45" s="91" t="s">
        <v>17</v>
      </c>
      <c r="C45" s="214"/>
      <c r="D45" s="18">
        <v>3</v>
      </c>
      <c r="E45" s="88">
        <v>7.0000000000000007E-2</v>
      </c>
      <c r="F45" s="101">
        <v>9000</v>
      </c>
      <c r="G45" s="43">
        <v>18000</v>
      </c>
      <c r="H45" s="43">
        <v>1020000</v>
      </c>
      <c r="I45" s="59">
        <v>2500</v>
      </c>
      <c r="K45" s="214"/>
      <c r="L45" s="18">
        <v>3</v>
      </c>
      <c r="M45" s="88">
        <v>0.2</v>
      </c>
      <c r="N45" s="101">
        <v>240</v>
      </c>
      <c r="O45" s="43">
        <v>3300</v>
      </c>
      <c r="P45" s="43">
        <v>455000</v>
      </c>
      <c r="Q45" s="59">
        <v>1020</v>
      </c>
    </row>
    <row r="46" spans="2:18" x14ac:dyDescent="0.3">
      <c r="B46" s="77"/>
      <c r="C46" s="214"/>
      <c r="D46" s="18">
        <v>5</v>
      </c>
      <c r="E46" s="88">
        <v>0.05</v>
      </c>
      <c r="F46" s="101">
        <v>2100</v>
      </c>
      <c r="G46" s="43">
        <v>8750</v>
      </c>
      <c r="H46" s="43">
        <v>500000</v>
      </c>
      <c r="I46" s="59">
        <v>2100</v>
      </c>
      <c r="K46" s="214"/>
      <c r="L46" s="18">
        <v>5</v>
      </c>
      <c r="M46" s="88">
        <v>7.0000000000000007E-2</v>
      </c>
      <c r="N46" s="101">
        <v>54</v>
      </c>
      <c r="O46" s="43">
        <v>1180</v>
      </c>
      <c r="P46" s="43">
        <v>631500</v>
      </c>
      <c r="Q46" s="59">
        <v>536</v>
      </c>
    </row>
    <row r="47" spans="2:18" x14ac:dyDescent="0.3">
      <c r="B47" s="77"/>
      <c r="C47" s="214"/>
      <c r="D47" s="18">
        <v>10</v>
      </c>
      <c r="E47" s="88">
        <v>0.06</v>
      </c>
      <c r="F47" s="101">
        <v>208</v>
      </c>
      <c r="G47" s="43">
        <v>1260</v>
      </c>
      <c r="H47" s="43">
        <v>172000</v>
      </c>
      <c r="I47" s="59">
        <v>522</v>
      </c>
      <c r="K47" s="214"/>
      <c r="L47" s="18">
        <v>10</v>
      </c>
      <c r="M47" s="88">
        <v>7.0000000000000007E-2</v>
      </c>
      <c r="N47" s="101">
        <v>3</v>
      </c>
      <c r="O47" s="43">
        <v>186</v>
      </c>
      <c r="P47" s="43">
        <v>7100</v>
      </c>
      <c r="Q47" s="59">
        <v>77</v>
      </c>
    </row>
    <row r="48" spans="2:18" ht="15" thickBot="1" x14ac:dyDescent="0.35">
      <c r="B48" s="77"/>
      <c r="C48" s="214"/>
      <c r="D48" s="18">
        <v>30</v>
      </c>
      <c r="E48" s="88">
        <v>0.04</v>
      </c>
      <c r="F48" s="101">
        <v>4</v>
      </c>
      <c r="G48" s="43">
        <v>16</v>
      </c>
      <c r="H48" s="43">
        <v>640</v>
      </c>
      <c r="I48" s="59">
        <v>21</v>
      </c>
      <c r="K48" s="214"/>
      <c r="L48" s="18">
        <v>30</v>
      </c>
      <c r="M48" s="90">
        <v>0.09</v>
      </c>
      <c r="N48" s="103">
        <v>1</v>
      </c>
      <c r="O48" s="45">
        <v>1</v>
      </c>
      <c r="P48" s="45">
        <v>2</v>
      </c>
      <c r="Q48" s="104">
        <v>1</v>
      </c>
    </row>
    <row r="49" spans="2:17" x14ac:dyDescent="0.3">
      <c r="B49" s="77"/>
      <c r="C49" s="214"/>
      <c r="D49" s="5"/>
      <c r="E49" s="5"/>
      <c r="F49" s="4"/>
      <c r="G49" s="4"/>
      <c r="H49" s="4"/>
      <c r="I49" s="4"/>
      <c r="K49" s="214"/>
      <c r="L49" s="5"/>
      <c r="M49" s="5"/>
      <c r="N49" s="4"/>
      <c r="O49" s="4"/>
      <c r="P49" s="4"/>
      <c r="Q49" s="22"/>
    </row>
    <row r="50" spans="2:17" x14ac:dyDescent="0.3">
      <c r="B50" s="77"/>
      <c r="C50" s="11"/>
      <c r="D50" s="10"/>
      <c r="E50" s="10"/>
      <c r="F50" s="61"/>
      <c r="G50" s="61"/>
      <c r="H50" s="61"/>
      <c r="I50" s="61"/>
      <c r="K50" s="11"/>
      <c r="L50" s="10"/>
      <c r="M50" s="10"/>
      <c r="N50" s="61"/>
      <c r="O50" s="61"/>
      <c r="P50" s="61"/>
      <c r="Q50" s="23"/>
    </row>
    <row r="51" spans="2:17" x14ac:dyDescent="0.3">
      <c r="B51" s="77"/>
      <c r="C51" s="11"/>
      <c r="D51" s="11"/>
      <c r="E51" s="11"/>
      <c r="F51" s="11"/>
      <c r="G51" s="11"/>
      <c r="H51" s="11"/>
      <c r="I51" s="11"/>
      <c r="K51" s="11"/>
      <c r="L51" s="11"/>
      <c r="M51" s="11"/>
      <c r="N51" s="11"/>
      <c r="O51" s="11"/>
      <c r="P51" s="11"/>
      <c r="Q51" s="84"/>
    </row>
    <row r="52" spans="2:17" x14ac:dyDescent="0.3">
      <c r="B52" s="77"/>
      <c r="E52" s="11"/>
      <c r="F52" s="11"/>
      <c r="M52" s="11"/>
      <c r="N52" s="11"/>
      <c r="Q52" s="9"/>
    </row>
    <row r="53" spans="2:17" ht="15" thickBot="1" x14ac:dyDescent="0.35">
      <c r="B53" s="7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6"/>
    </row>
    <row r="107" spans="2:2" ht="15" thickBot="1" x14ac:dyDescent="0.35">
      <c r="B107" s="13"/>
    </row>
    <row r="108" spans="2:2" x14ac:dyDescent="0.3">
      <c r="B108" s="6"/>
    </row>
    <row r="160" spans="2:2" ht="15" thickBot="1" x14ac:dyDescent="0.35">
      <c r="B160" s="13"/>
    </row>
    <row r="161" spans="2:2" x14ac:dyDescent="0.3">
      <c r="B161" s="6"/>
    </row>
    <row r="213" spans="2:2" ht="15" thickBot="1" x14ac:dyDescent="0.35">
      <c r="B213" s="13"/>
    </row>
  </sheetData>
  <mergeCells count="8">
    <mergeCell ref="C43:C49"/>
    <mergeCell ref="K43:K49"/>
    <mergeCell ref="C4:C10"/>
    <mergeCell ref="K4:K10"/>
    <mergeCell ref="C17:C23"/>
    <mergeCell ref="K17:K23"/>
    <mergeCell ref="C30:C36"/>
    <mergeCell ref="K30:K3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8506-2EB8-4333-B5BA-0497839FAE80}">
  <dimension ref="A1:W213"/>
  <sheetViews>
    <sheetView topLeftCell="H1" zoomScale="80" zoomScaleNormal="80" workbookViewId="0">
      <selection activeCell="Y38" sqref="Y38"/>
    </sheetView>
  </sheetViews>
  <sheetFormatPr defaultColWidth="15.5546875" defaultRowHeight="14.4" x14ac:dyDescent="0.3"/>
  <cols>
    <col min="1" max="16384" width="15.5546875" style="2"/>
  </cols>
  <sheetData>
    <row r="1" spans="1:23" ht="26.4" thickBot="1" x14ac:dyDescent="0.55000000000000004">
      <c r="A1" s="51" t="s">
        <v>63</v>
      </c>
    </row>
    <row r="2" spans="1:23" ht="26.4" thickBot="1" x14ac:dyDescent="0.55000000000000004">
      <c r="A2" s="51" t="s">
        <v>64</v>
      </c>
      <c r="B2" s="58"/>
      <c r="C2" s="7" t="s">
        <v>42</v>
      </c>
      <c r="D2" s="6"/>
      <c r="E2" s="6" t="s">
        <v>43</v>
      </c>
      <c r="F2" s="6"/>
      <c r="G2" s="6"/>
      <c r="H2" s="6"/>
      <c r="I2" s="6"/>
      <c r="J2" s="6"/>
      <c r="K2" s="7" t="s">
        <v>42</v>
      </c>
      <c r="L2" s="6"/>
      <c r="M2" s="6" t="s">
        <v>43</v>
      </c>
      <c r="N2" s="6"/>
      <c r="O2" s="6"/>
      <c r="P2" s="6"/>
      <c r="Q2" s="8"/>
    </row>
    <row r="3" spans="1:23" ht="25.8" x14ac:dyDescent="0.5">
      <c r="A3" s="51" t="s">
        <v>65</v>
      </c>
      <c r="B3" s="77"/>
      <c r="C3" s="3" t="s">
        <v>3</v>
      </c>
      <c r="D3" s="3" t="s">
        <v>4</v>
      </c>
      <c r="E3" s="3" t="s">
        <v>44</v>
      </c>
      <c r="F3" s="20" t="s">
        <v>6</v>
      </c>
      <c r="G3" s="20" t="s">
        <v>7</v>
      </c>
      <c r="H3" s="20" t="s">
        <v>8</v>
      </c>
      <c r="I3" s="82" t="s">
        <v>20</v>
      </c>
      <c r="K3" s="3" t="s">
        <v>3</v>
      </c>
      <c r="L3" s="3" t="s">
        <v>4</v>
      </c>
      <c r="M3" s="3" t="s">
        <v>44</v>
      </c>
      <c r="N3" s="20" t="s">
        <v>6</v>
      </c>
      <c r="O3" s="20" t="s">
        <v>7</v>
      </c>
      <c r="P3" s="20" t="s">
        <v>8</v>
      </c>
      <c r="Q3" s="21" t="s">
        <v>20</v>
      </c>
      <c r="S3" s="1"/>
      <c r="U3" s="1"/>
      <c r="W3" s="1"/>
    </row>
    <row r="4" spans="1:23" ht="25.8" x14ac:dyDescent="0.5">
      <c r="A4" s="52">
        <v>45544</v>
      </c>
      <c r="B4" s="77"/>
      <c r="C4" s="214" t="s">
        <v>79</v>
      </c>
      <c r="D4" s="18">
        <v>0</v>
      </c>
      <c r="E4" s="64">
        <v>0.99</v>
      </c>
      <c r="F4" s="107">
        <v>62000</v>
      </c>
      <c r="G4" s="41">
        <v>92000</v>
      </c>
      <c r="H4" s="41">
        <v>760000</v>
      </c>
      <c r="I4" s="108">
        <v>6000</v>
      </c>
      <c r="K4" s="214" t="s">
        <v>79</v>
      </c>
      <c r="L4" s="18">
        <v>0</v>
      </c>
      <c r="M4" s="81">
        <v>1.93</v>
      </c>
      <c r="N4" s="101">
        <v>58000</v>
      </c>
      <c r="O4" s="43">
        <v>94000</v>
      </c>
      <c r="P4" s="43">
        <v>820000</v>
      </c>
      <c r="Q4" s="59">
        <v>6000</v>
      </c>
      <c r="S4" s="1"/>
      <c r="U4" s="1"/>
    </row>
    <row r="5" spans="1:23" x14ac:dyDescent="0.3">
      <c r="B5" s="77"/>
      <c r="C5" s="214"/>
      <c r="D5" s="18">
        <v>1</v>
      </c>
      <c r="E5" s="64">
        <v>0.69</v>
      </c>
      <c r="F5" s="101">
        <v>39000</v>
      </c>
      <c r="G5" s="43">
        <v>44000</v>
      </c>
      <c r="H5" s="43">
        <v>560000</v>
      </c>
      <c r="I5" s="59">
        <v>5000</v>
      </c>
      <c r="K5" s="214"/>
      <c r="L5" s="18">
        <v>1</v>
      </c>
      <c r="M5" s="81">
        <v>1.54</v>
      </c>
      <c r="N5" s="101">
        <v>140</v>
      </c>
      <c r="O5" s="43">
        <v>270</v>
      </c>
      <c r="P5" s="43">
        <v>3900</v>
      </c>
      <c r="Q5" s="59">
        <v>1400</v>
      </c>
    </row>
    <row r="6" spans="1:23" ht="25.8" x14ac:dyDescent="0.5">
      <c r="A6" s="51" t="s">
        <v>80</v>
      </c>
      <c r="B6" s="91" t="s">
        <v>12</v>
      </c>
      <c r="C6" s="214"/>
      <c r="D6" s="18">
        <v>3</v>
      </c>
      <c r="E6" s="64">
        <v>0.57999999999999996</v>
      </c>
      <c r="F6" s="101">
        <v>640</v>
      </c>
      <c r="G6" s="43">
        <v>1260</v>
      </c>
      <c r="H6" s="43">
        <v>29800</v>
      </c>
      <c r="I6" s="59">
        <v>2300</v>
      </c>
      <c r="K6" s="214"/>
      <c r="L6" s="18">
        <v>3</v>
      </c>
      <c r="M6" s="81">
        <v>1.44</v>
      </c>
      <c r="N6" s="101">
        <v>20</v>
      </c>
      <c r="O6" s="43">
        <v>44</v>
      </c>
      <c r="P6" s="43">
        <v>320</v>
      </c>
      <c r="Q6" s="59">
        <v>124</v>
      </c>
    </row>
    <row r="7" spans="1:23" x14ac:dyDescent="0.3">
      <c r="B7" s="77"/>
      <c r="C7" s="214"/>
      <c r="D7" s="18">
        <v>5</v>
      </c>
      <c r="E7" s="64">
        <v>0.64</v>
      </c>
      <c r="F7" s="101">
        <v>46</v>
      </c>
      <c r="G7" s="43">
        <v>104</v>
      </c>
      <c r="H7" s="43">
        <v>1470</v>
      </c>
      <c r="I7" s="59">
        <v>726</v>
      </c>
      <c r="K7" s="214"/>
      <c r="L7" s="18">
        <v>5</v>
      </c>
      <c r="M7" s="81">
        <v>1.32</v>
      </c>
      <c r="N7" s="101">
        <v>24</v>
      </c>
      <c r="O7" s="43">
        <v>32</v>
      </c>
      <c r="P7" s="43">
        <v>164</v>
      </c>
      <c r="Q7" s="59">
        <v>20</v>
      </c>
    </row>
    <row r="8" spans="1:23" x14ac:dyDescent="0.3">
      <c r="B8" s="77"/>
      <c r="C8" s="214"/>
      <c r="D8" s="18">
        <v>10</v>
      </c>
      <c r="E8" s="64">
        <v>0.48</v>
      </c>
      <c r="F8" s="101">
        <v>23</v>
      </c>
      <c r="G8" s="43">
        <v>28</v>
      </c>
      <c r="H8" s="43">
        <v>560</v>
      </c>
      <c r="I8" s="59">
        <v>42</v>
      </c>
      <c r="K8" s="214"/>
      <c r="L8" s="18">
        <v>10</v>
      </c>
      <c r="M8" s="81">
        <v>1.18</v>
      </c>
      <c r="N8" s="101">
        <v>18</v>
      </c>
      <c r="O8" s="43">
        <v>18</v>
      </c>
      <c r="P8" s="43">
        <v>144</v>
      </c>
      <c r="Q8" s="59">
        <v>3</v>
      </c>
    </row>
    <row r="9" spans="1:23" ht="23.4" x14ac:dyDescent="0.45">
      <c r="A9" s="109" t="s">
        <v>81</v>
      </c>
      <c r="B9" s="77"/>
      <c r="C9" s="214"/>
      <c r="D9" s="18">
        <v>30</v>
      </c>
      <c r="E9" s="64">
        <v>0.23</v>
      </c>
      <c r="F9" s="101">
        <v>64</v>
      </c>
      <c r="G9" s="43">
        <v>64</v>
      </c>
      <c r="H9" s="43">
        <v>476</v>
      </c>
      <c r="I9" s="59">
        <v>1</v>
      </c>
      <c r="K9" s="214"/>
      <c r="L9" s="18">
        <v>30</v>
      </c>
      <c r="M9" s="81">
        <v>0.78</v>
      </c>
      <c r="N9" s="101">
        <v>8</v>
      </c>
      <c r="O9" s="43">
        <v>16</v>
      </c>
      <c r="P9" s="43">
        <v>50</v>
      </c>
      <c r="Q9" s="59">
        <v>3</v>
      </c>
    </row>
    <row r="10" spans="1:23" x14ac:dyDescent="0.3">
      <c r="B10" s="77"/>
      <c r="C10" s="214"/>
      <c r="D10" s="5"/>
      <c r="E10" s="5"/>
      <c r="F10" s="4"/>
      <c r="G10" s="4"/>
      <c r="H10" s="4"/>
      <c r="I10" s="4"/>
      <c r="K10" s="214"/>
      <c r="L10" s="5"/>
      <c r="M10" s="5"/>
      <c r="N10" s="4"/>
      <c r="O10" s="4"/>
      <c r="P10" s="4"/>
      <c r="Q10" s="22"/>
    </row>
    <row r="11" spans="1:23" x14ac:dyDescent="0.3">
      <c r="B11" s="77"/>
      <c r="C11" s="11"/>
      <c r="D11" s="10"/>
      <c r="E11" s="10"/>
      <c r="F11" s="61"/>
      <c r="G11" s="61"/>
      <c r="H11" s="61"/>
      <c r="I11" s="61"/>
      <c r="K11" s="11"/>
      <c r="L11" s="10"/>
      <c r="M11" s="10"/>
      <c r="N11" s="61"/>
      <c r="O11" s="61"/>
      <c r="P11" s="61"/>
      <c r="Q11" s="23"/>
    </row>
    <row r="12" spans="1:23" ht="15" thickBot="1" x14ac:dyDescent="0.35">
      <c r="B12" s="78"/>
      <c r="C12" s="15"/>
      <c r="D12" s="15"/>
      <c r="E12" s="15"/>
      <c r="F12" s="15"/>
      <c r="G12" s="15"/>
      <c r="H12" s="15"/>
      <c r="I12" s="15"/>
      <c r="J12" s="13"/>
      <c r="K12" s="15"/>
      <c r="L12" s="15"/>
      <c r="M12" s="15"/>
      <c r="N12" s="15"/>
      <c r="O12" s="15"/>
      <c r="P12" s="15"/>
      <c r="Q12" s="94"/>
    </row>
    <row r="13" spans="1:23" x14ac:dyDescent="0.3">
      <c r="B13" s="58"/>
      <c r="C13" s="6"/>
      <c r="D13" s="6"/>
      <c r="E13" s="100"/>
      <c r="F13" s="100"/>
      <c r="G13" s="6"/>
      <c r="H13" s="6"/>
      <c r="I13" s="6"/>
      <c r="J13" s="6"/>
      <c r="K13" s="6"/>
      <c r="L13" s="6"/>
      <c r="M13" s="100"/>
      <c r="N13" s="100"/>
      <c r="O13" s="6"/>
      <c r="P13" s="6"/>
      <c r="Q13" s="8"/>
    </row>
    <row r="14" spans="1:23" ht="15" thickBot="1" x14ac:dyDescent="0.35">
      <c r="B14" s="77"/>
      <c r="C14" s="14"/>
      <c r="D14" s="15"/>
      <c r="E14" s="15"/>
      <c r="F14" s="15"/>
      <c r="G14" s="15"/>
      <c r="H14" s="15"/>
      <c r="I14" s="15"/>
      <c r="J14" s="13"/>
      <c r="K14" s="13"/>
      <c r="L14" s="15"/>
      <c r="M14" s="15"/>
      <c r="N14" s="13"/>
      <c r="O14" s="13"/>
      <c r="P14" s="13"/>
      <c r="Q14" s="16"/>
    </row>
    <row r="15" spans="1:23" ht="15" thickBot="1" x14ac:dyDescent="0.35">
      <c r="B15" s="77"/>
      <c r="C15" s="7" t="s">
        <v>42</v>
      </c>
      <c r="D15" s="6"/>
      <c r="E15" s="6" t="s">
        <v>47</v>
      </c>
      <c r="F15" s="6"/>
      <c r="G15" s="6"/>
      <c r="H15" s="6"/>
      <c r="I15" s="6"/>
      <c r="J15" s="6"/>
      <c r="K15" s="7" t="s">
        <v>42</v>
      </c>
      <c r="L15" s="6"/>
      <c r="M15" s="6" t="s">
        <v>47</v>
      </c>
      <c r="N15" s="6"/>
      <c r="O15" s="6"/>
      <c r="P15" s="6"/>
      <c r="Q15" s="8"/>
    </row>
    <row r="16" spans="1:23" x14ac:dyDescent="0.3">
      <c r="B16" s="77"/>
      <c r="C16" s="3" t="s">
        <v>3</v>
      </c>
      <c r="D16" s="3" t="s">
        <v>4</v>
      </c>
      <c r="E16" s="3" t="s">
        <v>55</v>
      </c>
      <c r="F16" s="20" t="s">
        <v>6</v>
      </c>
      <c r="G16" s="20" t="s">
        <v>7</v>
      </c>
      <c r="H16" s="20" t="s">
        <v>8</v>
      </c>
      <c r="I16" s="20" t="s">
        <v>20</v>
      </c>
      <c r="K16" s="3" t="s">
        <v>3</v>
      </c>
      <c r="L16" s="3" t="s">
        <v>4</v>
      </c>
      <c r="M16" s="3" t="s">
        <v>55</v>
      </c>
      <c r="N16" s="20" t="s">
        <v>6</v>
      </c>
      <c r="O16" s="20" t="s">
        <v>7</v>
      </c>
      <c r="P16" s="20" t="s">
        <v>8</v>
      </c>
      <c r="Q16" s="21" t="s">
        <v>20</v>
      </c>
    </row>
    <row r="17" spans="2:18" x14ac:dyDescent="0.3">
      <c r="B17" s="77"/>
      <c r="C17" s="214" t="s">
        <v>79</v>
      </c>
      <c r="D17" s="18">
        <v>0</v>
      </c>
      <c r="E17" s="81">
        <v>2.04</v>
      </c>
      <c r="F17" s="101">
        <v>60500</v>
      </c>
      <c r="G17" s="43">
        <v>85000</v>
      </c>
      <c r="H17" s="43">
        <v>930000</v>
      </c>
      <c r="I17" s="59">
        <v>7000</v>
      </c>
      <c r="K17" s="214" t="s">
        <v>79</v>
      </c>
      <c r="L17" s="18">
        <v>0</v>
      </c>
      <c r="M17" s="64">
        <v>3.91</v>
      </c>
      <c r="N17" s="101">
        <v>54000</v>
      </c>
      <c r="O17" s="43">
        <v>70000</v>
      </c>
      <c r="P17" s="43">
        <v>980000</v>
      </c>
      <c r="Q17" s="59">
        <v>9000</v>
      </c>
    </row>
    <row r="18" spans="2:18" x14ac:dyDescent="0.3">
      <c r="B18" s="77"/>
      <c r="C18" s="214"/>
      <c r="D18" s="18">
        <v>1</v>
      </c>
      <c r="E18" s="81">
        <v>1.69</v>
      </c>
      <c r="F18" s="101">
        <v>65000</v>
      </c>
      <c r="G18" s="43">
        <v>65000</v>
      </c>
      <c r="H18" s="43">
        <v>1780000</v>
      </c>
      <c r="I18" s="59">
        <v>4000</v>
      </c>
      <c r="K18" s="214"/>
      <c r="L18" s="18">
        <v>1</v>
      </c>
      <c r="M18" s="64">
        <v>3.46</v>
      </c>
      <c r="N18" s="101">
        <v>65000</v>
      </c>
      <c r="O18" s="43">
        <v>94000</v>
      </c>
      <c r="P18" s="43">
        <v>980000</v>
      </c>
      <c r="Q18" s="59">
        <v>7000</v>
      </c>
    </row>
    <row r="19" spans="2:18" x14ac:dyDescent="0.3">
      <c r="B19" s="91" t="s">
        <v>13</v>
      </c>
      <c r="C19" s="214"/>
      <c r="D19" s="18">
        <v>3</v>
      </c>
      <c r="E19" s="81">
        <v>1.91</v>
      </c>
      <c r="F19" s="101">
        <v>47000</v>
      </c>
      <c r="G19" s="43">
        <v>78000</v>
      </c>
      <c r="H19" s="43">
        <v>1120000</v>
      </c>
      <c r="I19" s="59">
        <v>2000</v>
      </c>
      <c r="K19" s="214"/>
      <c r="L19" s="18">
        <v>3</v>
      </c>
      <c r="M19" s="64">
        <v>3.43</v>
      </c>
      <c r="N19" s="101">
        <v>42500</v>
      </c>
      <c r="O19" s="43">
        <v>51000</v>
      </c>
      <c r="P19" s="43">
        <v>630000</v>
      </c>
      <c r="Q19" s="59">
        <v>5500</v>
      </c>
    </row>
    <row r="20" spans="2:18" x14ac:dyDescent="0.3">
      <c r="B20" s="77"/>
      <c r="C20" s="214"/>
      <c r="D20" s="18">
        <v>5</v>
      </c>
      <c r="E20" s="81">
        <v>1.58</v>
      </c>
      <c r="F20" s="101">
        <v>53000</v>
      </c>
      <c r="G20" s="43">
        <v>78000</v>
      </c>
      <c r="H20" s="43">
        <v>1280000</v>
      </c>
      <c r="I20" s="59">
        <v>12000</v>
      </c>
      <c r="K20" s="214"/>
      <c r="L20" s="18">
        <v>5</v>
      </c>
      <c r="M20" s="64">
        <v>3.43</v>
      </c>
      <c r="N20" s="101">
        <v>5300</v>
      </c>
      <c r="O20" s="43">
        <v>12500</v>
      </c>
      <c r="P20" s="43">
        <v>182500</v>
      </c>
      <c r="Q20" s="59">
        <v>4050</v>
      </c>
    </row>
    <row r="21" spans="2:18" x14ac:dyDescent="0.3">
      <c r="B21" s="77"/>
      <c r="C21" s="214"/>
      <c r="D21" s="18">
        <v>10</v>
      </c>
      <c r="E21" s="81">
        <v>1.49</v>
      </c>
      <c r="F21" s="101">
        <v>17800</v>
      </c>
      <c r="G21" s="43">
        <v>28000</v>
      </c>
      <c r="H21" s="43">
        <v>320000</v>
      </c>
      <c r="I21" s="59">
        <v>4800</v>
      </c>
      <c r="K21" s="214"/>
      <c r="L21" s="18">
        <v>10</v>
      </c>
      <c r="M21" s="64">
        <v>3.21</v>
      </c>
      <c r="N21" s="101">
        <v>62</v>
      </c>
      <c r="O21" s="43">
        <v>730</v>
      </c>
      <c r="P21" s="43">
        <v>8200</v>
      </c>
      <c r="Q21" s="59">
        <v>1020</v>
      </c>
    </row>
    <row r="22" spans="2:18" x14ac:dyDescent="0.3">
      <c r="B22" s="77"/>
      <c r="C22" s="214"/>
      <c r="D22" s="18">
        <v>30</v>
      </c>
      <c r="E22" s="81">
        <v>1.42</v>
      </c>
      <c r="F22" s="101">
        <v>108</v>
      </c>
      <c r="G22" s="43">
        <v>1180</v>
      </c>
      <c r="H22" s="43">
        <v>8400</v>
      </c>
      <c r="I22" s="59">
        <v>1040</v>
      </c>
      <c r="K22" s="214"/>
      <c r="L22" s="18">
        <v>30</v>
      </c>
      <c r="M22" s="64">
        <v>2.96</v>
      </c>
      <c r="N22" s="101">
        <v>49</v>
      </c>
      <c r="O22" s="43">
        <v>128</v>
      </c>
      <c r="P22" s="43">
        <v>840</v>
      </c>
      <c r="Q22" s="59">
        <v>24</v>
      </c>
    </row>
    <row r="23" spans="2:18" x14ac:dyDescent="0.3">
      <c r="B23" s="77"/>
      <c r="C23" s="214"/>
      <c r="D23" s="5"/>
      <c r="E23" s="5"/>
      <c r="F23" s="4"/>
      <c r="G23" s="4"/>
      <c r="H23" s="4"/>
      <c r="I23" s="4"/>
      <c r="K23" s="214"/>
      <c r="L23" s="5"/>
      <c r="M23" s="5"/>
      <c r="N23" s="4"/>
      <c r="O23" s="4"/>
      <c r="P23" s="4"/>
      <c r="Q23" s="22"/>
    </row>
    <row r="24" spans="2:18" x14ac:dyDescent="0.3">
      <c r="B24" s="77"/>
      <c r="C24" s="11"/>
      <c r="D24" s="10"/>
      <c r="E24" s="10"/>
      <c r="F24" s="61"/>
      <c r="G24" s="61"/>
      <c r="H24" s="61"/>
      <c r="I24" s="61"/>
      <c r="K24" s="11"/>
      <c r="L24" s="10"/>
      <c r="M24" s="10"/>
      <c r="N24" s="61"/>
      <c r="O24" s="61"/>
      <c r="P24" s="61"/>
      <c r="Q24" s="23"/>
    </row>
    <row r="25" spans="2:18" ht="15" thickBot="1" x14ac:dyDescent="0.35">
      <c r="B25" s="78"/>
      <c r="C25" s="15"/>
      <c r="D25" s="15"/>
      <c r="E25" s="15"/>
      <c r="F25" s="15"/>
      <c r="G25" s="15"/>
      <c r="H25" s="15"/>
      <c r="I25" s="15"/>
      <c r="J25" s="13"/>
      <c r="K25" s="15"/>
      <c r="L25" s="15"/>
      <c r="M25" s="15"/>
      <c r="N25" s="15"/>
      <c r="O25" s="15"/>
      <c r="P25" s="15"/>
      <c r="Q25" s="94"/>
    </row>
    <row r="26" spans="2:18" x14ac:dyDescent="0.3">
      <c r="B26" s="58"/>
      <c r="C26" s="6"/>
      <c r="D26" s="6"/>
      <c r="E26" s="100"/>
      <c r="F26" s="100"/>
      <c r="G26" s="6"/>
      <c r="H26" s="6"/>
      <c r="I26" s="6"/>
      <c r="J26" s="6"/>
      <c r="K26" s="6"/>
      <c r="L26" s="6"/>
      <c r="M26" s="100"/>
      <c r="N26" s="100"/>
      <c r="O26" s="6"/>
      <c r="P26" s="6"/>
      <c r="Q26" s="8"/>
    </row>
    <row r="27" spans="2:18" ht="15" thickBot="1" x14ac:dyDescent="0.35">
      <c r="B27" s="77"/>
      <c r="C27" s="14"/>
      <c r="D27" s="15"/>
      <c r="E27" s="15"/>
      <c r="F27" s="15"/>
      <c r="G27" s="15"/>
      <c r="H27" s="15"/>
      <c r="I27" s="15"/>
      <c r="J27" s="13"/>
      <c r="K27" s="13"/>
      <c r="L27" s="15"/>
      <c r="M27" s="15"/>
      <c r="N27" s="13"/>
      <c r="O27" s="13"/>
      <c r="P27" s="13"/>
      <c r="Q27" s="16"/>
    </row>
    <row r="28" spans="2:18" ht="15" thickBot="1" x14ac:dyDescent="0.35">
      <c r="B28" s="77"/>
      <c r="C28" s="7" t="s">
        <v>42</v>
      </c>
      <c r="D28" s="6"/>
      <c r="E28" s="6" t="s">
        <v>48</v>
      </c>
      <c r="F28" s="6"/>
      <c r="G28" s="6"/>
      <c r="H28" s="6"/>
      <c r="I28" s="6"/>
      <c r="J28" s="6"/>
      <c r="K28" s="7" t="s">
        <v>42</v>
      </c>
      <c r="L28" s="6"/>
      <c r="M28" s="6" t="s">
        <v>48</v>
      </c>
      <c r="N28" s="6"/>
      <c r="O28" s="6"/>
      <c r="P28" s="6"/>
      <c r="Q28" s="8"/>
    </row>
    <row r="29" spans="2:18" x14ac:dyDescent="0.3">
      <c r="B29" s="77"/>
      <c r="C29" s="3" t="s">
        <v>3</v>
      </c>
      <c r="D29" s="3" t="s">
        <v>4</v>
      </c>
      <c r="E29" s="3" t="s">
        <v>49</v>
      </c>
      <c r="F29" s="20" t="s">
        <v>6</v>
      </c>
      <c r="G29" s="20" t="s">
        <v>7</v>
      </c>
      <c r="H29" s="20" t="s">
        <v>8</v>
      </c>
      <c r="I29" s="20" t="s">
        <v>20</v>
      </c>
      <c r="J29" s="74" t="s">
        <v>14</v>
      </c>
      <c r="K29" s="3" t="s">
        <v>3</v>
      </c>
      <c r="L29" s="3" t="s">
        <v>4</v>
      </c>
      <c r="M29" s="3" t="s">
        <v>49</v>
      </c>
      <c r="N29" s="20" t="s">
        <v>6</v>
      </c>
      <c r="O29" s="20" t="s">
        <v>7</v>
      </c>
      <c r="P29" s="20" t="s">
        <v>8</v>
      </c>
      <c r="Q29" s="21" t="s">
        <v>20</v>
      </c>
      <c r="R29" s="74" t="s">
        <v>14</v>
      </c>
    </row>
    <row r="30" spans="2:18" x14ac:dyDescent="0.3">
      <c r="B30" s="77"/>
      <c r="C30" s="214" t="s">
        <v>79</v>
      </c>
      <c r="D30" s="18">
        <v>0</v>
      </c>
      <c r="E30" s="81">
        <v>1.91</v>
      </c>
      <c r="F30" s="101">
        <v>58000</v>
      </c>
      <c r="G30" s="43">
        <v>98000</v>
      </c>
      <c r="H30" s="43">
        <v>940000</v>
      </c>
      <c r="I30" s="59">
        <v>6000</v>
      </c>
      <c r="J30" s="112"/>
      <c r="K30" s="214" t="s">
        <v>79</v>
      </c>
      <c r="L30" s="18">
        <v>0</v>
      </c>
      <c r="M30" s="81">
        <v>4.0199999999999996</v>
      </c>
      <c r="N30" s="101">
        <v>65000</v>
      </c>
      <c r="O30" s="43">
        <v>112000</v>
      </c>
      <c r="P30" s="43">
        <v>860000</v>
      </c>
      <c r="Q30" s="59">
        <v>8000</v>
      </c>
      <c r="R30" s="112"/>
    </row>
    <row r="31" spans="2:18" x14ac:dyDescent="0.3">
      <c r="B31" s="77"/>
      <c r="C31" s="214"/>
      <c r="D31" s="18">
        <v>1</v>
      </c>
      <c r="E31" s="81">
        <v>1.57</v>
      </c>
      <c r="F31" s="101">
        <v>33000</v>
      </c>
      <c r="G31" s="43">
        <v>54000</v>
      </c>
      <c r="H31" s="43">
        <v>720000</v>
      </c>
      <c r="I31" s="59">
        <v>5000</v>
      </c>
      <c r="J31" s="112"/>
      <c r="K31" s="214"/>
      <c r="L31" s="18">
        <v>1</v>
      </c>
      <c r="M31" s="81">
        <v>3.38</v>
      </c>
      <c r="N31" s="101">
        <v>7600</v>
      </c>
      <c r="O31" s="43">
        <v>15500</v>
      </c>
      <c r="P31" s="43">
        <v>650000</v>
      </c>
      <c r="Q31" s="59">
        <v>1400</v>
      </c>
      <c r="R31" s="112"/>
    </row>
    <row r="32" spans="2:18" x14ac:dyDescent="0.3">
      <c r="B32" s="91" t="s">
        <v>15</v>
      </c>
      <c r="C32" s="214"/>
      <c r="D32" s="18">
        <v>3</v>
      </c>
      <c r="E32" s="81">
        <v>1.54</v>
      </c>
      <c r="F32" s="101">
        <v>9000</v>
      </c>
      <c r="G32" s="43">
        <v>18000</v>
      </c>
      <c r="H32" s="43">
        <v>1020000</v>
      </c>
      <c r="I32" s="59">
        <v>2500</v>
      </c>
      <c r="J32" s="112"/>
      <c r="K32" s="214"/>
      <c r="L32" s="18">
        <v>3</v>
      </c>
      <c r="M32" s="81">
        <v>3.32</v>
      </c>
      <c r="N32" s="101">
        <v>240</v>
      </c>
      <c r="O32" s="43">
        <v>3300</v>
      </c>
      <c r="P32" s="43">
        <v>455000</v>
      </c>
      <c r="Q32" s="59">
        <v>1020</v>
      </c>
      <c r="R32" s="112"/>
    </row>
    <row r="33" spans="2:18" x14ac:dyDescent="0.3">
      <c r="B33" s="77"/>
      <c r="C33" s="214"/>
      <c r="D33" s="18">
        <v>5</v>
      </c>
      <c r="E33" s="81">
        <v>1.52</v>
      </c>
      <c r="F33" s="101">
        <v>2100</v>
      </c>
      <c r="G33" s="43">
        <v>8750</v>
      </c>
      <c r="H33" s="43">
        <v>500000</v>
      </c>
      <c r="I33" s="59">
        <v>2100</v>
      </c>
      <c r="J33" s="112"/>
      <c r="K33" s="214"/>
      <c r="L33" s="18">
        <v>5</v>
      </c>
      <c r="M33" s="81">
        <v>3.4</v>
      </c>
      <c r="N33" s="101">
        <v>54</v>
      </c>
      <c r="O33" s="43">
        <v>1180</v>
      </c>
      <c r="P33" s="43">
        <v>631500</v>
      </c>
      <c r="Q33" s="59">
        <v>536</v>
      </c>
      <c r="R33" s="112"/>
    </row>
    <row r="34" spans="2:18" x14ac:dyDescent="0.3">
      <c r="B34" s="77"/>
      <c r="C34" s="214"/>
      <c r="D34" s="18">
        <v>10</v>
      </c>
      <c r="E34" s="81">
        <v>1.5</v>
      </c>
      <c r="F34" s="101">
        <v>208</v>
      </c>
      <c r="G34" s="43">
        <v>1260</v>
      </c>
      <c r="H34" s="43">
        <v>172000</v>
      </c>
      <c r="I34" s="59">
        <v>522</v>
      </c>
      <c r="J34" s="115">
        <v>0.313</v>
      </c>
      <c r="K34" s="214"/>
      <c r="L34" s="18">
        <v>10</v>
      </c>
      <c r="M34" s="81">
        <v>3.3</v>
      </c>
      <c r="N34" s="101">
        <v>3</v>
      </c>
      <c r="O34" s="43">
        <v>186</v>
      </c>
      <c r="P34" s="43">
        <v>7100</v>
      </c>
      <c r="Q34" s="59">
        <v>77</v>
      </c>
      <c r="R34" s="115">
        <v>0.68</v>
      </c>
    </row>
    <row r="35" spans="2:18" ht="15" thickBot="1" x14ac:dyDescent="0.35">
      <c r="B35" s="77"/>
      <c r="C35" s="214"/>
      <c r="D35" s="18">
        <v>30</v>
      </c>
      <c r="E35" s="81">
        <v>1.44</v>
      </c>
      <c r="F35" s="101">
        <v>4</v>
      </c>
      <c r="G35" s="43">
        <v>16</v>
      </c>
      <c r="H35" s="43">
        <v>640</v>
      </c>
      <c r="I35" s="59">
        <v>21</v>
      </c>
      <c r="J35" s="115">
        <v>0.30399999999999999</v>
      </c>
      <c r="K35" s="214"/>
      <c r="L35" s="18">
        <v>30</v>
      </c>
      <c r="M35" s="102">
        <v>3.12</v>
      </c>
      <c r="N35" s="103">
        <v>1</v>
      </c>
      <c r="O35" s="45" t="s">
        <v>24</v>
      </c>
      <c r="P35" s="45">
        <v>2</v>
      </c>
      <c r="Q35" s="104" t="s">
        <v>24</v>
      </c>
      <c r="R35" s="115">
        <v>0.64400000000000002</v>
      </c>
    </row>
    <row r="36" spans="2:18" x14ac:dyDescent="0.3">
      <c r="B36" s="77"/>
      <c r="C36" s="214"/>
      <c r="D36" s="5"/>
      <c r="E36" s="5"/>
      <c r="F36" s="4"/>
      <c r="G36" s="4"/>
      <c r="H36" s="4"/>
      <c r="I36" s="4"/>
      <c r="J36" s="117"/>
      <c r="K36" s="214"/>
      <c r="L36" s="5"/>
      <c r="M36" s="5"/>
      <c r="N36" s="4"/>
      <c r="O36" s="4"/>
      <c r="P36" s="4"/>
      <c r="Q36" s="22"/>
      <c r="R36" s="117"/>
    </row>
    <row r="37" spans="2:18" x14ac:dyDescent="0.3">
      <c r="B37" s="77"/>
      <c r="C37" s="11"/>
      <c r="D37" s="10"/>
      <c r="E37" s="10"/>
      <c r="F37" s="61"/>
      <c r="G37" s="61"/>
      <c r="H37" s="61"/>
      <c r="I37" s="61"/>
      <c r="K37" s="11"/>
      <c r="L37" s="10"/>
      <c r="M37" s="10"/>
      <c r="N37" s="61"/>
      <c r="O37" s="61"/>
      <c r="P37" s="61"/>
      <c r="Q37" s="23"/>
    </row>
    <row r="38" spans="2:18" ht="15" thickBot="1" x14ac:dyDescent="0.35">
      <c r="B38" s="78"/>
      <c r="C38" s="15"/>
      <c r="D38" s="15"/>
      <c r="E38" s="15"/>
      <c r="F38" s="15"/>
      <c r="G38" s="15"/>
      <c r="H38" s="15"/>
      <c r="I38" s="15"/>
      <c r="J38" s="13"/>
      <c r="K38" s="15"/>
      <c r="L38" s="15"/>
      <c r="M38" s="15"/>
      <c r="N38" s="15"/>
      <c r="O38" s="15"/>
      <c r="P38" s="15"/>
      <c r="Q38" s="94"/>
    </row>
    <row r="39" spans="2:18" x14ac:dyDescent="0.3">
      <c r="B39" s="58"/>
      <c r="C39" s="6"/>
      <c r="D39" s="6"/>
      <c r="E39" s="100"/>
      <c r="F39" s="100"/>
      <c r="G39" s="6"/>
      <c r="H39" s="6"/>
      <c r="I39" s="6"/>
      <c r="J39" s="6"/>
      <c r="K39" s="6"/>
      <c r="L39" s="6"/>
      <c r="M39" s="100"/>
      <c r="N39" s="100"/>
      <c r="O39" s="6"/>
      <c r="P39" s="6"/>
      <c r="Q39" s="8"/>
    </row>
    <row r="40" spans="2:18" ht="15" thickBot="1" x14ac:dyDescent="0.35">
      <c r="B40" s="77"/>
      <c r="C40" s="14"/>
      <c r="D40" s="15"/>
      <c r="E40" s="15"/>
      <c r="F40" s="15"/>
      <c r="G40" s="15"/>
      <c r="H40" s="15"/>
      <c r="I40" s="15"/>
      <c r="J40" s="13"/>
      <c r="K40" s="13"/>
      <c r="L40" s="15"/>
      <c r="M40" s="15"/>
      <c r="N40" s="13"/>
      <c r="O40" s="13"/>
      <c r="P40" s="13"/>
      <c r="Q40" s="16"/>
    </row>
    <row r="41" spans="2:18" ht="15" thickBot="1" x14ac:dyDescent="0.35">
      <c r="B41" s="77"/>
      <c r="C41" s="7" t="s">
        <v>42</v>
      </c>
      <c r="D41" s="6"/>
      <c r="E41" s="6" t="s">
        <v>48</v>
      </c>
      <c r="F41" s="6"/>
      <c r="G41" s="6"/>
      <c r="H41" s="6"/>
      <c r="I41" s="6"/>
      <c r="J41" s="6"/>
      <c r="K41" s="7" t="s">
        <v>42</v>
      </c>
      <c r="L41" s="6"/>
      <c r="M41" s="6" t="s">
        <v>48</v>
      </c>
      <c r="N41" s="6"/>
      <c r="O41" s="6"/>
      <c r="P41" s="6"/>
      <c r="Q41" s="8"/>
    </row>
    <row r="42" spans="2:18" ht="15" thickBot="1" x14ac:dyDescent="0.35">
      <c r="B42" s="77"/>
      <c r="C42" s="3" t="s">
        <v>3</v>
      </c>
      <c r="D42" s="3" t="s">
        <v>4</v>
      </c>
      <c r="E42" s="3" t="s">
        <v>49</v>
      </c>
      <c r="F42" s="20" t="s">
        <v>6</v>
      </c>
      <c r="G42" s="20" t="s">
        <v>7</v>
      </c>
      <c r="H42" s="20" t="s">
        <v>8</v>
      </c>
      <c r="I42" s="20" t="s">
        <v>20</v>
      </c>
      <c r="K42" s="3" t="s">
        <v>3</v>
      </c>
      <c r="L42" s="3" t="s">
        <v>4</v>
      </c>
      <c r="M42" s="3" t="s">
        <v>49</v>
      </c>
      <c r="N42" s="20" t="s">
        <v>6</v>
      </c>
      <c r="O42" s="20" t="s">
        <v>7</v>
      </c>
      <c r="P42" s="20" t="s">
        <v>8</v>
      </c>
      <c r="Q42" s="21" t="s">
        <v>20</v>
      </c>
    </row>
    <row r="43" spans="2:18" x14ac:dyDescent="0.3">
      <c r="B43" s="77"/>
      <c r="C43" s="214" t="s">
        <v>79</v>
      </c>
      <c r="D43" s="18">
        <v>0</v>
      </c>
      <c r="E43" s="105">
        <v>1.91</v>
      </c>
      <c r="F43" s="101">
        <v>58000</v>
      </c>
      <c r="G43" s="43">
        <v>98000</v>
      </c>
      <c r="H43" s="43">
        <v>940000</v>
      </c>
      <c r="I43" s="59">
        <v>6000</v>
      </c>
      <c r="K43" s="214" t="s">
        <v>79</v>
      </c>
      <c r="L43" s="18">
        <v>0</v>
      </c>
      <c r="M43" s="88">
        <v>4.0199999999999996</v>
      </c>
      <c r="N43" s="101">
        <v>65000</v>
      </c>
      <c r="O43" s="43">
        <v>112000</v>
      </c>
      <c r="P43" s="43">
        <v>860000</v>
      </c>
      <c r="Q43" s="59">
        <v>8000</v>
      </c>
    </row>
    <row r="44" spans="2:18" x14ac:dyDescent="0.3">
      <c r="B44" s="77"/>
      <c r="C44" s="214"/>
      <c r="D44" s="18">
        <v>1</v>
      </c>
      <c r="E44" s="88">
        <v>0.09</v>
      </c>
      <c r="F44" s="101">
        <v>33000</v>
      </c>
      <c r="G44" s="43">
        <v>54000</v>
      </c>
      <c r="H44" s="43">
        <v>720000</v>
      </c>
      <c r="I44" s="59">
        <v>5000</v>
      </c>
      <c r="K44" s="214"/>
      <c r="L44" s="18">
        <v>1</v>
      </c>
      <c r="M44" s="88">
        <v>0.21</v>
      </c>
      <c r="N44" s="101">
        <v>7600</v>
      </c>
      <c r="O44" s="43">
        <v>15500</v>
      </c>
      <c r="P44" s="43">
        <v>650000</v>
      </c>
      <c r="Q44" s="59">
        <v>1400</v>
      </c>
    </row>
    <row r="45" spans="2:18" x14ac:dyDescent="0.3">
      <c r="B45" s="91" t="s">
        <v>17</v>
      </c>
      <c r="C45" s="214"/>
      <c r="D45" s="18">
        <v>3</v>
      </c>
      <c r="E45" s="88">
        <v>7.0000000000000007E-2</v>
      </c>
      <c r="F45" s="101">
        <v>9000</v>
      </c>
      <c r="G45" s="43">
        <v>18000</v>
      </c>
      <c r="H45" s="43">
        <v>1020000</v>
      </c>
      <c r="I45" s="59">
        <v>2500</v>
      </c>
      <c r="K45" s="214"/>
      <c r="L45" s="18">
        <v>3</v>
      </c>
      <c r="M45" s="88">
        <v>0.2</v>
      </c>
      <c r="N45" s="101">
        <v>240</v>
      </c>
      <c r="O45" s="43">
        <v>3300</v>
      </c>
      <c r="P45" s="43">
        <v>455000</v>
      </c>
      <c r="Q45" s="59">
        <v>1020</v>
      </c>
    </row>
    <row r="46" spans="2:18" x14ac:dyDescent="0.3">
      <c r="B46" s="77"/>
      <c r="C46" s="214"/>
      <c r="D46" s="18">
        <v>5</v>
      </c>
      <c r="E46" s="88">
        <v>0.05</v>
      </c>
      <c r="F46" s="101">
        <v>2100</v>
      </c>
      <c r="G46" s="43">
        <v>8750</v>
      </c>
      <c r="H46" s="43">
        <v>500000</v>
      </c>
      <c r="I46" s="59">
        <v>2100</v>
      </c>
      <c r="K46" s="214"/>
      <c r="L46" s="18">
        <v>5</v>
      </c>
      <c r="M46" s="88">
        <v>7.0000000000000007E-2</v>
      </c>
      <c r="N46" s="101">
        <v>54</v>
      </c>
      <c r="O46" s="43">
        <v>1180</v>
      </c>
      <c r="P46" s="43">
        <v>631500</v>
      </c>
      <c r="Q46" s="59">
        <v>536</v>
      </c>
    </row>
    <row r="47" spans="2:18" x14ac:dyDescent="0.3">
      <c r="B47" s="77"/>
      <c r="C47" s="214"/>
      <c r="D47" s="18">
        <v>10</v>
      </c>
      <c r="E47" s="88">
        <v>0.06</v>
      </c>
      <c r="F47" s="101">
        <v>208</v>
      </c>
      <c r="G47" s="43">
        <v>1260</v>
      </c>
      <c r="H47" s="43">
        <v>172000</v>
      </c>
      <c r="I47" s="59">
        <v>522</v>
      </c>
      <c r="K47" s="214"/>
      <c r="L47" s="18">
        <v>10</v>
      </c>
      <c r="M47" s="88">
        <v>7.0000000000000007E-2</v>
      </c>
      <c r="N47" s="101">
        <v>3</v>
      </c>
      <c r="O47" s="43">
        <v>186</v>
      </c>
      <c r="P47" s="43">
        <v>7100</v>
      </c>
      <c r="Q47" s="59">
        <v>77</v>
      </c>
    </row>
    <row r="48" spans="2:18" ht="15" thickBot="1" x14ac:dyDescent="0.35">
      <c r="B48" s="77"/>
      <c r="C48" s="214"/>
      <c r="D48" s="18">
        <v>30</v>
      </c>
      <c r="E48" s="88">
        <v>0.04</v>
      </c>
      <c r="F48" s="101">
        <v>4</v>
      </c>
      <c r="G48" s="43">
        <v>16</v>
      </c>
      <c r="H48" s="43">
        <v>640</v>
      </c>
      <c r="I48" s="59">
        <v>21</v>
      </c>
      <c r="K48" s="214"/>
      <c r="L48" s="18">
        <v>30</v>
      </c>
      <c r="M48" s="90">
        <v>0.09</v>
      </c>
      <c r="N48" s="103">
        <v>1</v>
      </c>
      <c r="O48" s="45">
        <v>1</v>
      </c>
      <c r="P48" s="45">
        <v>2</v>
      </c>
      <c r="Q48" s="104">
        <v>1</v>
      </c>
    </row>
    <row r="49" spans="2:17" x14ac:dyDescent="0.3">
      <c r="B49" s="77"/>
      <c r="C49" s="214"/>
      <c r="D49" s="5"/>
      <c r="E49" s="5"/>
      <c r="F49" s="4"/>
      <c r="G49" s="4"/>
      <c r="H49" s="4"/>
      <c r="I49" s="4"/>
      <c r="K49" s="214"/>
      <c r="L49" s="5"/>
      <c r="M49" s="5"/>
      <c r="N49" s="4"/>
      <c r="O49" s="4"/>
      <c r="P49" s="4"/>
      <c r="Q49" s="22"/>
    </row>
    <row r="50" spans="2:17" x14ac:dyDescent="0.3">
      <c r="B50" s="77"/>
      <c r="C50" s="11"/>
      <c r="D50" s="10"/>
      <c r="E50" s="10"/>
      <c r="F50" s="61"/>
      <c r="G50" s="61"/>
      <c r="H50" s="61"/>
      <c r="I50" s="61"/>
      <c r="K50" s="11"/>
      <c r="L50" s="10"/>
      <c r="M50" s="10"/>
      <c r="N50" s="61"/>
      <c r="O50" s="61"/>
      <c r="P50" s="61"/>
      <c r="Q50" s="23"/>
    </row>
    <row r="51" spans="2:17" x14ac:dyDescent="0.3">
      <c r="B51" s="77"/>
      <c r="C51" s="11"/>
      <c r="D51" s="11"/>
      <c r="E51" s="11"/>
      <c r="F51" s="11"/>
      <c r="G51" s="11"/>
      <c r="H51" s="11"/>
      <c r="I51" s="11"/>
      <c r="K51" s="11"/>
      <c r="L51" s="11"/>
      <c r="M51" s="11"/>
      <c r="N51" s="11"/>
      <c r="O51" s="11"/>
      <c r="P51" s="11"/>
      <c r="Q51" s="84"/>
    </row>
    <row r="52" spans="2:17" x14ac:dyDescent="0.3">
      <c r="B52" s="77"/>
      <c r="E52" s="11"/>
      <c r="F52" s="11"/>
      <c r="M52" s="11"/>
      <c r="N52" s="11"/>
      <c r="Q52" s="9"/>
    </row>
    <row r="53" spans="2:17" ht="15" thickBot="1" x14ac:dyDescent="0.35">
      <c r="B53" s="7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6"/>
    </row>
    <row r="107" spans="2:2" ht="15" thickBot="1" x14ac:dyDescent="0.35">
      <c r="B107" s="13"/>
    </row>
    <row r="108" spans="2:2" x14ac:dyDescent="0.3">
      <c r="B108" s="6"/>
    </row>
    <row r="160" spans="2:2" ht="15" thickBot="1" x14ac:dyDescent="0.35">
      <c r="B160" s="13"/>
    </row>
    <row r="161" spans="2:2" x14ac:dyDescent="0.3">
      <c r="B161" s="6"/>
    </row>
    <row r="213" spans="2:2" ht="15" thickBot="1" x14ac:dyDescent="0.35">
      <c r="B213" s="13"/>
    </row>
  </sheetData>
  <mergeCells count="8">
    <mergeCell ref="C43:C49"/>
    <mergeCell ref="K43:K49"/>
    <mergeCell ref="C4:C10"/>
    <mergeCell ref="K4:K10"/>
    <mergeCell ref="C17:C23"/>
    <mergeCell ref="K17:K23"/>
    <mergeCell ref="C30:C36"/>
    <mergeCell ref="K30:K36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CB9E-13EB-4471-B532-A1684B79395F}">
  <dimension ref="E4:E13"/>
  <sheetViews>
    <sheetView workbookViewId="0">
      <selection activeCell="J22" sqref="J22"/>
    </sheetView>
  </sheetViews>
  <sheetFormatPr defaultRowHeight="14.4" x14ac:dyDescent="0.3"/>
  <sheetData>
    <row r="4" spans="5:5" x14ac:dyDescent="0.3">
      <c r="E4" t="s">
        <v>86</v>
      </c>
    </row>
    <row r="5" spans="5:5" x14ac:dyDescent="0.3">
      <c r="E5" t="s">
        <v>83</v>
      </c>
    </row>
    <row r="6" spans="5:5" x14ac:dyDescent="0.3">
      <c r="E6" t="s">
        <v>84</v>
      </c>
    </row>
    <row r="7" spans="5:5" x14ac:dyDescent="0.3">
      <c r="E7" t="s">
        <v>89</v>
      </c>
    </row>
    <row r="8" spans="5:5" x14ac:dyDescent="0.3">
      <c r="E8" t="s">
        <v>87</v>
      </c>
    </row>
    <row r="9" spans="5:5" x14ac:dyDescent="0.3">
      <c r="E9" t="s">
        <v>85</v>
      </c>
    </row>
    <row r="10" spans="5:5" x14ac:dyDescent="0.3">
      <c r="E10" t="s">
        <v>13</v>
      </c>
    </row>
    <row r="11" spans="5:5" x14ac:dyDescent="0.3">
      <c r="E11" t="s">
        <v>12</v>
      </c>
    </row>
    <row r="12" spans="5:5" x14ac:dyDescent="0.3">
      <c r="E12" t="s">
        <v>82</v>
      </c>
    </row>
    <row r="13" spans="5:5" x14ac:dyDescent="0.3">
      <c r="E13" t="s">
        <v>88</v>
      </c>
    </row>
  </sheetData>
  <sortState xmlns:xlrd2="http://schemas.microsoft.com/office/spreadsheetml/2017/richdata2" ref="E4:E13">
    <sortCondition ref="E4:E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e9ab2d-9759-4e7b-bb95-9404cb6b5cfd" xsi:nil="true"/>
    <lcf76f155ced4ddcb4097134ff3c332f xmlns="0e457b94-5754-42cf-96c8-f77c1c25a41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BCB2B1D052A148977F3B33F413DE67" ma:contentTypeVersion="14" ma:contentTypeDescription="Create a new document." ma:contentTypeScope="" ma:versionID="418a7dba5a668ad6fe6d5c013e018401">
  <xsd:schema xmlns:xsd="http://www.w3.org/2001/XMLSchema" xmlns:xs="http://www.w3.org/2001/XMLSchema" xmlns:p="http://schemas.microsoft.com/office/2006/metadata/properties" xmlns:ns2="0e457b94-5754-42cf-96c8-f77c1c25a419" xmlns:ns3="24e9ab2d-9759-4e7b-bb95-9404cb6b5cfd" targetNamespace="http://schemas.microsoft.com/office/2006/metadata/properties" ma:root="true" ma:fieldsID="33846d36e5879d488a6c6df44f817aa9" ns2:_="" ns3:_="">
    <xsd:import namespace="0e457b94-5754-42cf-96c8-f77c1c25a419"/>
    <xsd:import namespace="24e9ab2d-9759-4e7b-bb95-9404cb6b5c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57b94-5754-42cf-96c8-f77c1c25a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c4e1c1e-bac0-4b76-8556-135f3febe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e9ab2d-9759-4e7b-bb95-9404cb6b5c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5d81a78-7651-4351-aa57-7b6b8a6bb103}" ma:internalName="TaxCatchAll" ma:showField="CatchAllData" ma:web="24e9ab2d-9759-4e7b-bb95-9404cb6b5c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27E84B-7FB5-40A4-875E-2051375B6F16}">
  <ds:schemaRefs>
    <ds:schemaRef ds:uri="http://schemas.microsoft.com/office/2006/metadata/properties"/>
    <ds:schemaRef ds:uri="http://schemas.microsoft.com/office/infopath/2007/PartnerControls"/>
    <ds:schemaRef ds:uri="24e9ab2d-9759-4e7b-bb95-9404cb6b5cfd"/>
    <ds:schemaRef ds:uri="0e457b94-5754-42cf-96c8-f77c1c25a419"/>
  </ds:schemaRefs>
</ds:datastoreItem>
</file>

<file path=customXml/itemProps2.xml><?xml version="1.0" encoding="utf-8"?>
<ds:datastoreItem xmlns:ds="http://schemas.openxmlformats.org/officeDocument/2006/customXml" ds:itemID="{855E729D-EA16-453C-AD88-C6D43BC03C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457b94-5754-42cf-96c8-f77c1c25a419"/>
    <ds:schemaRef ds:uri="24e9ab2d-9759-4e7b-bb95-9404cb6b5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FDC796-DF06-4B5B-A56A-18AE5BD949B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e29e37d-a8a4-4222-a804-8a2bb3536c03}" enabled="1" method="Standard" siteId="{cb2bab3d-7d90-44ea-9e31-531011b121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Sample 1</vt:lpstr>
      <vt:lpstr>Sample 1 plots</vt:lpstr>
      <vt:lpstr>Sample 2</vt:lpstr>
      <vt:lpstr>Sample 2 plots</vt:lpstr>
      <vt:lpstr>Sample 3</vt:lpstr>
      <vt:lpstr>Sample 3 plots</vt:lpstr>
      <vt:lpstr>Sample 4</vt:lpstr>
      <vt:lpstr>Sample 4 plots</vt:lpstr>
      <vt:lpstr>Sample 5</vt:lpstr>
      <vt:lpstr>Sample 5 plots</vt:lpstr>
      <vt:lpstr>Sample 6</vt:lpstr>
      <vt:lpstr>Sample 6 plots</vt:lpstr>
      <vt:lpstr>Sample 7</vt:lpstr>
      <vt:lpstr>Sample 7 plots</vt:lpstr>
      <vt:lpstr>Sample 8</vt:lpstr>
      <vt:lpstr>Sample 8 plots</vt:lpstr>
      <vt:lpstr>Sample 9</vt:lpstr>
      <vt:lpstr>Sample 9 plots</vt:lpstr>
      <vt:lpstr>Sample 10</vt:lpstr>
      <vt:lpstr>Sample 10 plots</vt:lpstr>
      <vt:lpstr>Sample 11</vt:lpstr>
      <vt:lpstr>Sample 11 plots</vt:lpstr>
      <vt:lpstr>Sample 12</vt:lpstr>
      <vt:lpstr>Sample 12 plots</vt:lpstr>
      <vt:lpstr>Sample 13</vt:lpstr>
      <vt:lpstr>Sample 13 plots</vt:lpstr>
      <vt:lpstr>Sample 14</vt:lpstr>
      <vt:lpstr>Sample 14 plots</vt:lpstr>
      <vt:lpstr>Sample 15</vt:lpstr>
      <vt:lpstr>Sample 15 plots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Eunkyung Jang</dc:creator>
  <cp:keywords/>
  <dc:description/>
  <cp:lastModifiedBy>Shubha Oza</cp:lastModifiedBy>
  <cp:revision/>
  <dcterms:created xsi:type="dcterms:W3CDTF">2024-01-03T17:06:48Z</dcterms:created>
  <dcterms:modified xsi:type="dcterms:W3CDTF">2026-06-19T16:17:55Z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5af749-5203-4d12-a425-ac898e3ac312_ActionId">
    <vt:lpwstr>e1ea2bb0-01fe-490a-9a4e-8d195b9d5528</vt:lpwstr>
  </property>
  <property fmtid="{D5CDD505-2E9C-101B-9397-08002B2CF9AE}" pid="3" name="MSIP_Label_185af749-5203-4d12-a425-ac898e3ac312_Name">
    <vt:lpwstr>Restricted</vt:lpwstr>
  </property>
  <property fmtid="{D5CDD505-2E9C-101B-9397-08002B2CF9AE}" pid="4" name="MSIP_Label_185af749-5203-4d12-a425-ac898e3ac312_SetDate">
    <vt:lpwstr>2024-02-22T13:19:05Z</vt:lpwstr>
  </property>
  <property fmtid="{D5CDD505-2E9C-101B-9397-08002B2CF9AE}" pid="5" name="MSIP_Label_185af749-5203-4d12-a425-ac898e3ac312_SiteId">
    <vt:lpwstr>b6417cd0-1f73-4471-9a39-20953822a34a</vt:lpwstr>
  </property>
  <property fmtid="{D5CDD505-2E9C-101B-9397-08002B2CF9AE}" pid="6" name="MSIP_Label_185af749-5203-4d12-a425-ac898e3ac312_Enabled">
    <vt:lpwstr>True</vt:lpwstr>
  </property>
  <property fmtid="{D5CDD505-2E9C-101B-9397-08002B2CF9AE}" pid="7" name="MSIP_Label_185af749-5203-4d12-a425-ac898e3ac312_Removed">
    <vt:lpwstr>False</vt:lpwstr>
  </property>
  <property fmtid="{D5CDD505-2E9C-101B-9397-08002B2CF9AE}" pid="8" name="MSIP_Label_185af749-5203-4d12-a425-ac898e3ac312_Extended_MSFT_Method">
    <vt:lpwstr>Standard</vt:lpwstr>
  </property>
  <property fmtid="{D5CDD505-2E9C-101B-9397-08002B2CF9AE}" pid="9" name="MSIP_Label_78fc3b9b-35b0-4549-b8c7-7249a2740519_Enabled">
    <vt:lpwstr>True</vt:lpwstr>
  </property>
  <property fmtid="{D5CDD505-2E9C-101B-9397-08002B2CF9AE}" pid="10" name="MSIP_Label_78fc3b9b-35b0-4549-b8c7-7249a2740519_SiteId">
    <vt:lpwstr>2c518df7-6644-41f8-8350-3f75e61362ac</vt:lpwstr>
  </property>
  <property fmtid="{D5CDD505-2E9C-101B-9397-08002B2CF9AE}" pid="11" name="MSIP_Label_78fc3b9b-35b0-4549-b8c7-7249a2740519_SetDate">
    <vt:lpwstr>2024-01-03T17:08:26Z</vt:lpwstr>
  </property>
  <property fmtid="{D5CDD505-2E9C-101B-9397-08002B2CF9AE}" pid="12" name="MSIP_Label_78fc3b9b-35b0-4549-b8c7-7249a2740519_Name">
    <vt:lpwstr>Confidential</vt:lpwstr>
  </property>
  <property fmtid="{D5CDD505-2E9C-101B-9397-08002B2CF9AE}" pid="13" name="MSIP_Label_78fc3b9b-35b0-4549-b8c7-7249a2740519_ActionId">
    <vt:lpwstr>d58cade8-bfa5-48fb-8055-f4bca53048d3</vt:lpwstr>
  </property>
  <property fmtid="{D5CDD505-2E9C-101B-9397-08002B2CF9AE}" pid="14" name="MSIP_Label_78fc3b9b-35b0-4549-b8c7-7249a2740519_Extended_MSFT_Method">
    <vt:lpwstr>Privileged</vt:lpwstr>
  </property>
  <property fmtid="{D5CDD505-2E9C-101B-9397-08002B2CF9AE}" pid="15" name="Sensitivity">
    <vt:lpwstr>Restricted Confidential</vt:lpwstr>
  </property>
  <property fmtid="{D5CDD505-2E9C-101B-9397-08002B2CF9AE}" pid="16" name="ContentTypeId">
    <vt:lpwstr>0x0101004CBCB2B1D052A148977F3B33F413DE67</vt:lpwstr>
  </property>
  <property fmtid="{D5CDD505-2E9C-101B-9397-08002B2CF9AE}" pid="17" name="MediaServiceImageTags">
    <vt:lpwstr/>
  </property>
</Properties>
</file>